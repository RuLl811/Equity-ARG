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chartsheets/sheet1.xml" ContentType="application/vnd.openxmlformats-officedocument.spreadsheetml.chart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persons/person.xml" ContentType="application/vnd.ms-excel.person+xml"/>
  <Override PartName="/xl/calcChain.xml" ContentType="application/vnd.openxmlformats-officedocument.spreadsheetml.calcChain+xml"/>
  <Override PartName="/xl/volatileDependencies.xml" ContentType="application/vnd.openxmlformats-officedocument.spreadsheetml.volatileDependenc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124226"/>
  <mc:AlternateContent xmlns:mc="http://schemas.openxmlformats.org/markup-compatibility/2006">
    <mc:Choice Requires="x15">
      <x15ac:absPath xmlns:x15ac="http://schemas.microsoft.com/office/spreadsheetml/2010/11/ac" url="R:\Files\User\PORTFOLI\PORFOLIO\Mercados Equity Global\"/>
    </mc:Choice>
  </mc:AlternateContent>
  <xr:revisionPtr revIDLastSave="0" documentId="13_ncr:1_{724DE7C8-0600-4879-BF23-062031FB77D8}" xr6:coauthVersionLast="47" xr6:coauthVersionMax="47" xr10:uidLastSave="{00000000-0000-0000-0000-000000000000}"/>
  <bookViews>
    <workbookView xWindow="-120" yWindow="-120" windowWidth="29040" windowHeight="15720" activeTab="2" xr2:uid="{00000000-000D-0000-FFFF-FFFF00000000}"/>
  </bookViews>
  <sheets>
    <sheet name="Base" sheetId="20" r:id="rId1"/>
    <sheet name="Indice" sheetId="7" r:id="rId2"/>
    <sheet name="Ratio MktCapW" sheetId="19" r:id="rId3"/>
  </sheets>
  <definedNames>
    <definedName name="SpreadsheetBuilder_1" hidden="1">#REF!</definedName>
    <definedName name="SpreadsheetBuilder_10" hidden="1">#REF!</definedName>
    <definedName name="SpreadsheetBuilder_2" hidden="1">#REF!</definedName>
    <definedName name="SpreadsheetBuilder_3" hidden="1">#REF!</definedName>
    <definedName name="SpreadsheetBuilder_4" hidden="1">#REF!</definedName>
    <definedName name="SpreadsheetBuilder_5" hidden="1">#REF!</definedName>
    <definedName name="SpreadsheetBuilder_6" hidden="1">#REF!</definedName>
    <definedName name="SpreadsheetBuilder_7" hidden="1">#REF!</definedName>
    <definedName name="SpreadsheetBuilder_8" hidden="1">#REF!</definedName>
    <definedName name="SpreadsheetBuilder_9" hidden="1">#REF!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O623" i="7" l="1"/>
  <c r="O622" i="7"/>
  <c r="O621" i="7"/>
  <c r="O620" i="7"/>
  <c r="O619" i="7"/>
  <c r="O618" i="7"/>
  <c r="O617" i="7"/>
  <c r="O616" i="7"/>
  <c r="O615" i="7"/>
  <c r="O614" i="7"/>
  <c r="O613" i="7"/>
  <c r="O612" i="7"/>
  <c r="O611" i="7"/>
  <c r="O610" i="7"/>
  <c r="O609" i="7"/>
  <c r="O608" i="7"/>
  <c r="O607" i="7"/>
  <c r="O606" i="7"/>
  <c r="O605" i="7"/>
  <c r="O604" i="7"/>
  <c r="O603" i="7"/>
  <c r="O602" i="7"/>
  <c r="O601" i="7"/>
  <c r="O600" i="7"/>
  <c r="O599" i="7"/>
  <c r="O598" i="7"/>
  <c r="O597" i="7"/>
  <c r="O596" i="7"/>
  <c r="O595" i="7"/>
  <c r="O594" i="7"/>
  <c r="O593" i="7"/>
  <c r="O592" i="7"/>
  <c r="O591" i="7"/>
  <c r="O590" i="7"/>
  <c r="O589" i="7"/>
  <c r="O588" i="7"/>
  <c r="O587" i="7"/>
  <c r="O586" i="7"/>
  <c r="O585" i="7"/>
  <c r="O584" i="7"/>
  <c r="O583" i="7"/>
  <c r="O582" i="7"/>
  <c r="O581" i="7"/>
  <c r="O580" i="7"/>
  <c r="O579" i="7"/>
  <c r="O578" i="7"/>
  <c r="O577" i="7"/>
  <c r="O576" i="7"/>
  <c r="O575" i="7"/>
  <c r="O574" i="7"/>
  <c r="O573" i="7"/>
  <c r="O572" i="7"/>
  <c r="O571" i="7"/>
  <c r="O570" i="7"/>
  <c r="O569" i="7"/>
  <c r="O568" i="7"/>
  <c r="O567" i="7"/>
  <c r="O566" i="7"/>
  <c r="O565" i="7"/>
  <c r="O564" i="7"/>
  <c r="O563" i="7"/>
  <c r="O562" i="7"/>
  <c r="O561" i="7"/>
  <c r="O560" i="7"/>
  <c r="O559" i="7"/>
  <c r="O558" i="7"/>
  <c r="O557" i="7"/>
  <c r="O556" i="7"/>
  <c r="O555" i="7"/>
  <c r="O554" i="7"/>
  <c r="O553" i="7"/>
  <c r="O552" i="7"/>
  <c r="O551" i="7"/>
  <c r="O550" i="7"/>
  <c r="O549" i="7"/>
  <c r="O548" i="7"/>
  <c r="O547" i="7"/>
  <c r="O546" i="7"/>
  <c r="O545" i="7"/>
  <c r="O544" i="7"/>
  <c r="O543" i="7"/>
  <c r="O542" i="7"/>
  <c r="O541" i="7"/>
  <c r="O540" i="7"/>
  <c r="O539" i="7"/>
  <c r="O538" i="7"/>
  <c r="O537" i="7"/>
  <c r="O536" i="7"/>
  <c r="O535" i="7"/>
  <c r="O534" i="7"/>
  <c r="O533" i="7"/>
  <c r="O532" i="7"/>
  <c r="O531" i="7"/>
  <c r="O530" i="7"/>
  <c r="O529" i="7"/>
  <c r="O528" i="7"/>
  <c r="O527" i="7"/>
  <c r="O526" i="7"/>
  <c r="O525" i="7"/>
  <c r="O524" i="7"/>
  <c r="O523" i="7"/>
  <c r="O522" i="7"/>
  <c r="O521" i="7"/>
  <c r="O520" i="7"/>
  <c r="O519" i="7"/>
  <c r="O518" i="7"/>
  <c r="O517" i="7"/>
  <c r="O516" i="7"/>
  <c r="O515" i="7"/>
  <c r="O514" i="7"/>
  <c r="O513" i="7"/>
  <c r="O512" i="7"/>
  <c r="O511" i="7"/>
  <c r="O510" i="7"/>
  <c r="O509" i="7"/>
  <c r="O508" i="7"/>
  <c r="O507" i="7"/>
  <c r="O506" i="7"/>
  <c r="O505" i="7"/>
  <c r="O504" i="7"/>
  <c r="O503" i="7"/>
  <c r="O502" i="7"/>
  <c r="O501" i="7"/>
  <c r="O500" i="7"/>
  <c r="O499" i="7"/>
  <c r="O498" i="7"/>
  <c r="O497" i="7"/>
  <c r="O496" i="7"/>
  <c r="O495" i="7"/>
  <c r="O494" i="7"/>
  <c r="O493" i="7"/>
  <c r="O492" i="7"/>
  <c r="O491" i="7"/>
  <c r="O490" i="7"/>
  <c r="O489" i="7"/>
  <c r="O488" i="7"/>
  <c r="O487" i="7"/>
  <c r="O486" i="7"/>
  <c r="O485" i="7"/>
  <c r="O484" i="7"/>
  <c r="O483" i="7"/>
  <c r="O482" i="7"/>
  <c r="O481" i="7"/>
  <c r="O480" i="7"/>
  <c r="O479" i="7"/>
  <c r="O478" i="7"/>
  <c r="O477" i="7"/>
  <c r="O476" i="7"/>
  <c r="O475" i="7"/>
  <c r="O474" i="7"/>
  <c r="O473" i="7"/>
  <c r="O472" i="7"/>
  <c r="O471" i="7"/>
  <c r="O470" i="7"/>
  <c r="O469" i="7"/>
  <c r="O468" i="7"/>
  <c r="O467" i="7"/>
  <c r="O466" i="7"/>
  <c r="O465" i="7"/>
  <c r="O464" i="7"/>
  <c r="O463" i="7"/>
  <c r="O462" i="7"/>
  <c r="O461" i="7"/>
  <c r="O460" i="7"/>
  <c r="O459" i="7"/>
  <c r="O458" i="7"/>
  <c r="O457" i="7"/>
  <c r="O456" i="7"/>
  <c r="O455" i="7"/>
  <c r="O454" i="7"/>
  <c r="O453" i="7"/>
  <c r="O452" i="7"/>
  <c r="O451" i="7"/>
  <c r="O450" i="7"/>
  <c r="O449" i="7"/>
  <c r="O448" i="7"/>
  <c r="O447" i="7"/>
  <c r="O446" i="7"/>
  <c r="O445" i="7"/>
  <c r="O444" i="7"/>
  <c r="O443" i="7"/>
  <c r="O442" i="7"/>
  <c r="O441" i="7"/>
  <c r="O440" i="7"/>
  <c r="O439" i="7"/>
  <c r="O438" i="7"/>
  <c r="O437" i="7"/>
  <c r="O436" i="7"/>
  <c r="O435" i="7"/>
  <c r="O434" i="7"/>
  <c r="O433" i="7"/>
  <c r="O432" i="7"/>
  <c r="O431" i="7"/>
  <c r="O430" i="7"/>
  <c r="O429" i="7"/>
  <c r="O428" i="7"/>
  <c r="O427" i="7"/>
  <c r="O426" i="7"/>
  <c r="O425" i="7"/>
  <c r="O424" i="7"/>
  <c r="O423" i="7"/>
  <c r="O422" i="7"/>
  <c r="O421" i="7"/>
  <c r="O420" i="7"/>
  <c r="O419" i="7"/>
  <c r="O418" i="7"/>
  <c r="O417" i="7"/>
  <c r="O416" i="7"/>
  <c r="O415" i="7"/>
  <c r="O414" i="7"/>
  <c r="O413" i="7"/>
  <c r="O412" i="7"/>
  <c r="O411" i="7"/>
  <c r="O410" i="7"/>
  <c r="O409" i="7"/>
  <c r="O408" i="7"/>
  <c r="O407" i="7"/>
  <c r="O406" i="7"/>
  <c r="O405" i="7"/>
  <c r="O404" i="7"/>
  <c r="O403" i="7"/>
  <c r="O402" i="7"/>
  <c r="O401" i="7"/>
  <c r="O400" i="7"/>
  <c r="O399" i="7"/>
  <c r="O398" i="7"/>
  <c r="O397" i="7"/>
  <c r="O396" i="7"/>
  <c r="O395" i="7"/>
  <c r="O394" i="7"/>
  <c r="O393" i="7"/>
  <c r="O392" i="7"/>
  <c r="O391" i="7"/>
  <c r="O390" i="7"/>
  <c r="O389" i="7"/>
  <c r="O388" i="7"/>
  <c r="O387" i="7"/>
  <c r="O386" i="7"/>
  <c r="O385" i="7"/>
  <c r="O384" i="7"/>
  <c r="O383" i="7"/>
  <c r="O382" i="7"/>
  <c r="O381" i="7"/>
  <c r="O380" i="7"/>
  <c r="O379" i="7"/>
  <c r="O378" i="7"/>
  <c r="O377" i="7"/>
  <c r="O376" i="7"/>
  <c r="O375" i="7"/>
  <c r="O374" i="7"/>
  <c r="O373" i="7"/>
  <c r="O372" i="7"/>
  <c r="O371" i="7"/>
  <c r="O370" i="7"/>
  <c r="O369" i="7"/>
  <c r="O368" i="7"/>
  <c r="O367" i="7"/>
  <c r="O366" i="7"/>
  <c r="O365" i="7"/>
  <c r="O364" i="7"/>
  <c r="O363" i="7"/>
  <c r="O362" i="7"/>
  <c r="O361" i="7"/>
  <c r="O360" i="7"/>
  <c r="O359" i="7"/>
  <c r="O358" i="7"/>
  <c r="O357" i="7"/>
  <c r="O356" i="7"/>
  <c r="O355" i="7"/>
  <c r="O354" i="7"/>
  <c r="O353" i="7"/>
  <c r="O352" i="7"/>
  <c r="O351" i="7"/>
  <c r="O350" i="7"/>
  <c r="O349" i="7"/>
  <c r="O348" i="7"/>
  <c r="O347" i="7"/>
  <c r="O346" i="7"/>
  <c r="O345" i="7"/>
  <c r="O344" i="7"/>
  <c r="O343" i="7"/>
  <c r="O342" i="7"/>
  <c r="O341" i="7"/>
  <c r="O340" i="7"/>
  <c r="O339" i="7"/>
  <c r="O338" i="7"/>
  <c r="O337" i="7"/>
  <c r="O336" i="7"/>
  <c r="O335" i="7"/>
  <c r="O334" i="7"/>
  <c r="O333" i="7"/>
  <c r="O332" i="7"/>
  <c r="O331" i="7"/>
  <c r="O330" i="7"/>
  <c r="O329" i="7"/>
  <c r="O328" i="7"/>
  <c r="O327" i="7"/>
  <c r="O326" i="7"/>
  <c r="O325" i="7"/>
  <c r="O324" i="7"/>
  <c r="O323" i="7"/>
  <c r="O322" i="7"/>
  <c r="O321" i="7"/>
  <c r="O320" i="7"/>
  <c r="O319" i="7"/>
  <c r="O318" i="7"/>
  <c r="O317" i="7"/>
  <c r="O316" i="7"/>
  <c r="O315" i="7"/>
  <c r="O314" i="7"/>
  <c r="O313" i="7"/>
  <c r="O312" i="7"/>
  <c r="O311" i="7"/>
  <c r="O310" i="7"/>
  <c r="O309" i="7"/>
  <c r="O308" i="7"/>
  <c r="O307" i="7"/>
  <c r="O306" i="7"/>
  <c r="O305" i="7"/>
  <c r="O304" i="7"/>
  <c r="O303" i="7"/>
  <c r="O302" i="7"/>
  <c r="O301" i="7"/>
  <c r="O300" i="7"/>
  <c r="O299" i="7"/>
  <c r="O298" i="7"/>
  <c r="O297" i="7"/>
  <c r="O296" i="7"/>
  <c r="O295" i="7"/>
  <c r="O294" i="7"/>
  <c r="O293" i="7"/>
  <c r="O292" i="7"/>
  <c r="O291" i="7"/>
  <c r="O290" i="7"/>
  <c r="O289" i="7"/>
  <c r="O288" i="7"/>
  <c r="O287" i="7"/>
  <c r="O286" i="7"/>
  <c r="O285" i="7"/>
  <c r="O284" i="7"/>
  <c r="O283" i="7"/>
  <c r="O282" i="7"/>
  <c r="O281" i="7"/>
  <c r="O280" i="7"/>
  <c r="O279" i="7"/>
  <c r="O278" i="7"/>
  <c r="O277" i="7"/>
  <c r="O276" i="7"/>
  <c r="O275" i="7"/>
  <c r="O274" i="7"/>
  <c r="O273" i="7"/>
  <c r="O272" i="7"/>
  <c r="O271" i="7"/>
  <c r="O270" i="7"/>
  <c r="O269" i="7"/>
  <c r="O268" i="7"/>
  <c r="O267" i="7"/>
  <c r="O266" i="7"/>
  <c r="O265" i="7"/>
  <c r="O264" i="7"/>
  <c r="O263" i="7"/>
  <c r="O262" i="7"/>
  <c r="O261" i="7"/>
  <c r="O260" i="7"/>
  <c r="O259" i="7"/>
  <c r="O258" i="7"/>
  <c r="O257" i="7"/>
  <c r="O256" i="7"/>
  <c r="O255" i="7"/>
  <c r="O254" i="7"/>
  <c r="O253" i="7"/>
  <c r="O252" i="7"/>
  <c r="O251" i="7"/>
  <c r="O250" i="7"/>
  <c r="O249" i="7"/>
  <c r="O248" i="7"/>
  <c r="O247" i="7"/>
  <c r="O246" i="7"/>
  <c r="O245" i="7"/>
  <c r="O244" i="7"/>
  <c r="O243" i="7"/>
  <c r="O242" i="7"/>
  <c r="O241" i="7"/>
  <c r="O240" i="7"/>
  <c r="O239" i="7"/>
  <c r="O238" i="7"/>
  <c r="O237" i="7"/>
  <c r="O236" i="7"/>
  <c r="O235" i="7"/>
  <c r="O234" i="7"/>
  <c r="O233" i="7"/>
  <c r="O232" i="7"/>
  <c r="O231" i="7"/>
  <c r="O230" i="7"/>
  <c r="O229" i="7"/>
  <c r="O228" i="7"/>
  <c r="O227" i="7"/>
  <c r="O226" i="7"/>
  <c r="O225" i="7"/>
  <c r="O224" i="7"/>
  <c r="O223" i="7"/>
  <c r="O222" i="7"/>
  <c r="O221" i="7"/>
  <c r="O220" i="7"/>
  <c r="O219" i="7"/>
  <c r="O218" i="7"/>
  <c r="O217" i="7"/>
  <c r="O216" i="7"/>
  <c r="O215" i="7"/>
  <c r="O214" i="7"/>
  <c r="O213" i="7"/>
  <c r="O212" i="7"/>
  <c r="O211" i="7"/>
  <c r="O210" i="7"/>
  <c r="O209" i="7"/>
  <c r="O208" i="7"/>
  <c r="O207" i="7"/>
  <c r="O206" i="7"/>
  <c r="O205" i="7"/>
  <c r="O204" i="7"/>
  <c r="O203" i="7"/>
  <c r="O202" i="7"/>
  <c r="O201" i="7"/>
  <c r="O200" i="7"/>
  <c r="O199" i="7"/>
  <c r="O198" i="7"/>
  <c r="O197" i="7"/>
  <c r="O196" i="7"/>
  <c r="O195" i="7"/>
  <c r="O194" i="7"/>
  <c r="O193" i="7"/>
  <c r="O192" i="7"/>
  <c r="O191" i="7"/>
  <c r="O190" i="7"/>
  <c r="O189" i="7"/>
  <c r="O188" i="7"/>
  <c r="O187" i="7"/>
  <c r="O186" i="7"/>
  <c r="O185" i="7"/>
  <c r="O184" i="7"/>
  <c r="O183" i="7"/>
  <c r="O182" i="7"/>
  <c r="O181" i="7"/>
  <c r="O180" i="7"/>
  <c r="O179" i="7"/>
  <c r="O178" i="7"/>
  <c r="O177" i="7"/>
  <c r="O176" i="7"/>
  <c r="O175" i="7"/>
  <c r="O174" i="7"/>
  <c r="O173" i="7"/>
  <c r="O172" i="7"/>
  <c r="O171" i="7"/>
  <c r="O170" i="7"/>
  <c r="O169" i="7"/>
  <c r="O168" i="7"/>
  <c r="O167" i="7"/>
  <c r="O166" i="7"/>
  <c r="O165" i="7"/>
  <c r="O164" i="7"/>
  <c r="O163" i="7"/>
  <c r="O162" i="7"/>
  <c r="O161" i="7"/>
  <c r="O160" i="7"/>
  <c r="O159" i="7"/>
  <c r="O158" i="7"/>
  <c r="O157" i="7"/>
  <c r="O156" i="7"/>
  <c r="O155" i="7"/>
  <c r="O154" i="7"/>
  <c r="O153" i="7"/>
  <c r="O152" i="7"/>
  <c r="O151" i="7"/>
  <c r="O150" i="7"/>
  <c r="O149" i="7"/>
  <c r="O148" i="7"/>
  <c r="O147" i="7"/>
  <c r="O146" i="7"/>
  <c r="O145" i="7"/>
  <c r="O144" i="7"/>
  <c r="O143" i="7"/>
  <c r="O142" i="7"/>
  <c r="O141" i="7"/>
  <c r="O140" i="7"/>
  <c r="O139" i="7"/>
  <c r="O138" i="7"/>
  <c r="O137" i="7"/>
  <c r="O136" i="7"/>
  <c r="O135" i="7"/>
  <c r="O134" i="7"/>
  <c r="O133" i="7"/>
  <c r="O132" i="7"/>
  <c r="O131" i="7"/>
  <c r="O130" i="7"/>
  <c r="O129" i="7"/>
  <c r="O128" i="7"/>
  <c r="O127" i="7"/>
  <c r="O126" i="7"/>
  <c r="O125" i="7"/>
  <c r="O124" i="7"/>
  <c r="O123" i="7"/>
  <c r="O122" i="7"/>
  <c r="O121" i="7"/>
  <c r="O120" i="7"/>
  <c r="O119" i="7"/>
  <c r="O118" i="7"/>
  <c r="O117" i="7"/>
  <c r="O116" i="7"/>
  <c r="O115" i="7"/>
  <c r="O114" i="7"/>
  <c r="O113" i="7"/>
  <c r="O112" i="7"/>
  <c r="O111" i="7"/>
  <c r="O110" i="7"/>
  <c r="O109" i="7"/>
  <c r="O108" i="7"/>
  <c r="O107" i="7"/>
  <c r="O106" i="7"/>
  <c r="O105" i="7"/>
  <c r="O104" i="7"/>
  <c r="O103" i="7"/>
  <c r="O102" i="7"/>
  <c r="O101" i="7"/>
  <c r="O100" i="7"/>
  <c r="O99" i="7"/>
  <c r="O98" i="7"/>
  <c r="O97" i="7"/>
  <c r="O96" i="7"/>
  <c r="O95" i="7"/>
  <c r="O94" i="7"/>
  <c r="O93" i="7"/>
  <c r="O92" i="7"/>
  <c r="O91" i="7"/>
  <c r="O90" i="7"/>
  <c r="O89" i="7"/>
  <c r="O88" i="7"/>
  <c r="O87" i="7"/>
  <c r="O86" i="7"/>
  <c r="O85" i="7"/>
  <c r="O84" i="7"/>
  <c r="O83" i="7"/>
  <c r="O82" i="7"/>
  <c r="O81" i="7"/>
  <c r="O80" i="7"/>
  <c r="O79" i="7"/>
  <c r="O78" i="7"/>
  <c r="O77" i="7"/>
  <c r="O76" i="7"/>
  <c r="O75" i="7"/>
  <c r="O74" i="7"/>
  <c r="O73" i="7"/>
  <c r="O72" i="7"/>
  <c r="O71" i="7"/>
  <c r="O70" i="7"/>
  <c r="O69" i="7"/>
  <c r="O68" i="7"/>
  <c r="O67" i="7"/>
  <c r="O66" i="7"/>
  <c r="O65" i="7"/>
  <c r="O64" i="7"/>
  <c r="O63" i="7"/>
  <c r="O62" i="7"/>
  <c r="O61" i="7"/>
  <c r="O60" i="7"/>
  <c r="O59" i="7"/>
  <c r="O58" i="7"/>
  <c r="O57" i="7"/>
  <c r="O56" i="7"/>
  <c r="O55" i="7"/>
  <c r="O54" i="7"/>
  <c r="O53" i="7"/>
  <c r="O52" i="7"/>
  <c r="O51" i="7"/>
  <c r="O50" i="7"/>
  <c r="O49" i="7"/>
  <c r="O48" i="7"/>
  <c r="O47" i="7"/>
  <c r="O46" i="7"/>
  <c r="O45" i="7"/>
  <c r="O44" i="7"/>
  <c r="O43" i="7"/>
  <c r="O42" i="7"/>
  <c r="O41" i="7"/>
  <c r="O40" i="7"/>
  <c r="O39" i="7"/>
  <c r="O38" i="7"/>
  <c r="O37" i="7"/>
  <c r="O36" i="7"/>
  <c r="O35" i="7"/>
  <c r="O34" i="7"/>
  <c r="O33" i="7"/>
  <c r="O32" i="7"/>
  <c r="O31" i="7"/>
  <c r="O30" i="7"/>
  <c r="O29" i="7"/>
  <c r="O28" i="7"/>
  <c r="O27" i="7"/>
  <c r="O26" i="7"/>
  <c r="O25" i="7"/>
  <c r="O24" i="7"/>
  <c r="O23" i="7"/>
  <c r="O22" i="7"/>
  <c r="O21" i="7"/>
  <c r="O20" i="7"/>
  <c r="O19" i="7"/>
  <c r="O18" i="7"/>
  <c r="O17" i="7"/>
  <c r="O16" i="7"/>
  <c r="O15" i="7"/>
  <c r="O14" i="7"/>
  <c r="O13" i="7"/>
  <c r="O12" i="7"/>
  <c r="O11" i="7"/>
  <c r="O10" i="7"/>
  <c r="O9" i="7"/>
  <c r="O8" i="7"/>
  <c r="O7" i="7"/>
  <c r="AH1088" i="7"/>
  <c r="AF1088" i="7"/>
  <c r="AH1087" i="7"/>
  <c r="AF1087" i="7"/>
  <c r="M1088" i="7"/>
  <c r="R1088" i="7" s="1"/>
  <c r="K1088" i="7"/>
  <c r="J1088" i="7"/>
  <c r="I1088" i="7"/>
  <c r="O1088" i="7" s="1"/>
  <c r="M1087" i="7"/>
  <c r="R1087" i="7" s="1"/>
  <c r="K1087" i="7"/>
  <c r="J1087" i="7"/>
  <c r="I1087" i="7"/>
  <c r="AV384" i="20"/>
  <c r="AU384" i="20"/>
  <c r="AV383" i="20"/>
  <c r="AU383" i="20"/>
  <c r="AH1086" i="7"/>
  <c r="M1086" i="7"/>
  <c r="K1086" i="7"/>
  <c r="J1086" i="7"/>
  <c r="I1086" i="7"/>
  <c r="AH1085" i="7"/>
  <c r="M1085" i="7"/>
  <c r="K1085" i="7"/>
  <c r="J1085" i="7"/>
  <c r="I1085" i="7"/>
  <c r="AH1084" i="7"/>
  <c r="M1084" i="7"/>
  <c r="K1084" i="7"/>
  <c r="J1084" i="7"/>
  <c r="I1084" i="7"/>
  <c r="AH1083" i="7"/>
  <c r="M1083" i="7"/>
  <c r="K1083" i="7"/>
  <c r="J1083" i="7"/>
  <c r="I1083" i="7"/>
  <c r="AH1082" i="7"/>
  <c r="M1082" i="7"/>
  <c r="K1082" i="7"/>
  <c r="J1082" i="7"/>
  <c r="I1082" i="7"/>
  <c r="AH1081" i="7"/>
  <c r="M1081" i="7"/>
  <c r="K1081" i="7"/>
  <c r="J1081" i="7"/>
  <c r="I1081" i="7"/>
  <c r="AH1080" i="7"/>
  <c r="M1080" i="7"/>
  <c r="K1080" i="7"/>
  <c r="J1080" i="7"/>
  <c r="I1080" i="7"/>
  <c r="AH1079" i="7"/>
  <c r="M1079" i="7"/>
  <c r="K1079" i="7"/>
  <c r="J1079" i="7"/>
  <c r="I1079" i="7"/>
  <c r="AH1078" i="7"/>
  <c r="M1078" i="7"/>
  <c r="K1078" i="7"/>
  <c r="J1078" i="7"/>
  <c r="I1078" i="7"/>
  <c r="AH1077" i="7"/>
  <c r="M1077" i="7"/>
  <c r="K1077" i="7"/>
  <c r="J1077" i="7"/>
  <c r="I1077" i="7"/>
  <c r="AH1076" i="7"/>
  <c r="M1076" i="7"/>
  <c r="K1076" i="7"/>
  <c r="J1076" i="7"/>
  <c r="I1076" i="7"/>
  <c r="AH1075" i="7"/>
  <c r="M1075" i="7"/>
  <c r="K1075" i="7"/>
  <c r="O1075" i="7" s="1"/>
  <c r="J1075" i="7"/>
  <c r="I1075" i="7"/>
  <c r="AH1074" i="7"/>
  <c r="M1074" i="7"/>
  <c r="K1074" i="7"/>
  <c r="J1074" i="7"/>
  <c r="O1074" i="7" s="1"/>
  <c r="I1074" i="7"/>
  <c r="AH1073" i="7"/>
  <c r="M1073" i="7"/>
  <c r="K1073" i="7"/>
  <c r="J1073" i="7"/>
  <c r="I1073" i="7"/>
  <c r="AC1073" i="7" s="1"/>
  <c r="AH1072" i="7"/>
  <c r="M1072" i="7"/>
  <c r="K1072" i="7"/>
  <c r="J1072" i="7"/>
  <c r="I1072" i="7"/>
  <c r="AH1071" i="7"/>
  <c r="M1071" i="7"/>
  <c r="K1071" i="7"/>
  <c r="J1071" i="7"/>
  <c r="I1071" i="7"/>
  <c r="AH1070" i="7"/>
  <c r="M1070" i="7"/>
  <c r="K1070" i="7"/>
  <c r="J1070" i="7"/>
  <c r="I1070" i="7"/>
  <c r="AH1069" i="7"/>
  <c r="M1069" i="7"/>
  <c r="K1069" i="7"/>
  <c r="J1069" i="7"/>
  <c r="I1069" i="7"/>
  <c r="AC1069" i="7" s="1"/>
  <c r="AH1068" i="7"/>
  <c r="M1068" i="7"/>
  <c r="K1068" i="7"/>
  <c r="J1068" i="7"/>
  <c r="I1068" i="7"/>
  <c r="AH1067" i="7"/>
  <c r="M1067" i="7"/>
  <c r="K1067" i="7"/>
  <c r="J1067" i="7"/>
  <c r="I1067" i="7"/>
  <c r="AH1066" i="7"/>
  <c r="M1066" i="7"/>
  <c r="K1066" i="7"/>
  <c r="J1066" i="7"/>
  <c r="O1066" i="7" s="1"/>
  <c r="I1066" i="7"/>
  <c r="AH1065" i="7"/>
  <c r="M1065" i="7"/>
  <c r="K1065" i="7"/>
  <c r="J1065" i="7"/>
  <c r="I1065" i="7"/>
  <c r="AH1064" i="7"/>
  <c r="M1064" i="7"/>
  <c r="K1064" i="7"/>
  <c r="J1064" i="7"/>
  <c r="I1064" i="7"/>
  <c r="AH1063" i="7"/>
  <c r="M1063" i="7"/>
  <c r="K1063" i="7"/>
  <c r="J1063" i="7"/>
  <c r="I1063" i="7"/>
  <c r="AH1062" i="7"/>
  <c r="M1062" i="7"/>
  <c r="K1062" i="7"/>
  <c r="J1062" i="7"/>
  <c r="AC1062" i="7" s="1"/>
  <c r="I1062" i="7"/>
  <c r="AH1061" i="7"/>
  <c r="M1061" i="7"/>
  <c r="K1061" i="7"/>
  <c r="J1061" i="7"/>
  <c r="I1061" i="7"/>
  <c r="O1061" i="7" s="1"/>
  <c r="AH1060" i="7"/>
  <c r="M1060" i="7"/>
  <c r="K1060" i="7"/>
  <c r="AC1060" i="7" s="1"/>
  <c r="J1060" i="7"/>
  <c r="I1060" i="7"/>
  <c r="AH1059" i="7"/>
  <c r="M1059" i="7"/>
  <c r="K1059" i="7"/>
  <c r="J1059" i="7"/>
  <c r="I1059" i="7"/>
  <c r="AH1058" i="7"/>
  <c r="M1058" i="7"/>
  <c r="K1058" i="7"/>
  <c r="J1058" i="7"/>
  <c r="I1058" i="7"/>
  <c r="AH1057" i="7"/>
  <c r="M1057" i="7"/>
  <c r="K1057" i="7"/>
  <c r="J1057" i="7"/>
  <c r="I1057" i="7"/>
  <c r="AH1056" i="7"/>
  <c r="M1056" i="7"/>
  <c r="K1056" i="7"/>
  <c r="J1056" i="7"/>
  <c r="I1056" i="7"/>
  <c r="AH1055" i="7"/>
  <c r="M1055" i="7"/>
  <c r="K1055" i="7"/>
  <c r="J1055" i="7"/>
  <c r="I1055" i="7"/>
  <c r="AH1054" i="7"/>
  <c r="M1054" i="7"/>
  <c r="K1054" i="7"/>
  <c r="J1054" i="7"/>
  <c r="I1054" i="7"/>
  <c r="AH1053" i="7"/>
  <c r="M1053" i="7"/>
  <c r="K1053" i="7"/>
  <c r="J1053" i="7"/>
  <c r="I1053" i="7"/>
  <c r="AC1053" i="7" s="1"/>
  <c r="AH1052" i="7"/>
  <c r="M1052" i="7"/>
  <c r="K1052" i="7"/>
  <c r="J1052" i="7"/>
  <c r="I1052" i="7"/>
  <c r="AH1051" i="7"/>
  <c r="M1051" i="7"/>
  <c r="K1051" i="7"/>
  <c r="J1051" i="7"/>
  <c r="I1051" i="7"/>
  <c r="AH1050" i="7"/>
  <c r="M1050" i="7"/>
  <c r="K1050" i="7"/>
  <c r="J1050" i="7"/>
  <c r="I1050" i="7"/>
  <c r="AH1049" i="7"/>
  <c r="M1049" i="7"/>
  <c r="AC1049" i="7"/>
  <c r="K1049" i="7"/>
  <c r="J1049" i="7"/>
  <c r="I1049" i="7"/>
  <c r="AH1048" i="7"/>
  <c r="M1048" i="7"/>
  <c r="K1048" i="7"/>
  <c r="J1048" i="7"/>
  <c r="I1048" i="7"/>
  <c r="AH1047" i="7"/>
  <c r="M1047" i="7"/>
  <c r="K1047" i="7"/>
  <c r="J1047" i="7"/>
  <c r="I1047" i="7"/>
  <c r="AH1046" i="7"/>
  <c r="M1046" i="7"/>
  <c r="K1046" i="7"/>
  <c r="J1046" i="7"/>
  <c r="I1046" i="7"/>
  <c r="AH1045" i="7"/>
  <c r="M1045" i="7"/>
  <c r="K1045" i="7"/>
  <c r="J1045" i="7"/>
  <c r="I1045" i="7"/>
  <c r="AH1044" i="7"/>
  <c r="M1044" i="7"/>
  <c r="K1044" i="7"/>
  <c r="J1044" i="7"/>
  <c r="I1044" i="7"/>
  <c r="AH1043" i="7"/>
  <c r="M1043" i="7"/>
  <c r="K1043" i="7"/>
  <c r="J1043" i="7"/>
  <c r="I1043" i="7"/>
  <c r="AH1042" i="7"/>
  <c r="M1042" i="7"/>
  <c r="K1042" i="7"/>
  <c r="J1042" i="7"/>
  <c r="I1042" i="7"/>
  <c r="AH1041" i="7"/>
  <c r="AC1041" i="7"/>
  <c r="M1041" i="7"/>
  <c r="K1041" i="7"/>
  <c r="J1041" i="7"/>
  <c r="I1041" i="7"/>
  <c r="AH1040" i="7"/>
  <c r="M1040" i="7"/>
  <c r="K1040" i="7"/>
  <c r="J1040" i="7"/>
  <c r="I1040" i="7"/>
  <c r="AH1039" i="7"/>
  <c r="M1039" i="7"/>
  <c r="K1039" i="7"/>
  <c r="J1039" i="7"/>
  <c r="I1039" i="7"/>
  <c r="AH1038" i="7"/>
  <c r="M1038" i="7"/>
  <c r="K1038" i="7"/>
  <c r="J1038" i="7"/>
  <c r="I1038" i="7"/>
  <c r="O1038" i="7" s="1"/>
  <c r="AH1037" i="7"/>
  <c r="M1037" i="7"/>
  <c r="K1037" i="7"/>
  <c r="J1037" i="7"/>
  <c r="I1037" i="7"/>
  <c r="AH1036" i="7"/>
  <c r="M1036" i="7"/>
  <c r="K1036" i="7"/>
  <c r="J1036" i="7"/>
  <c r="I1036" i="7"/>
  <c r="AH1035" i="7"/>
  <c r="M1035" i="7"/>
  <c r="K1035" i="7"/>
  <c r="J1035" i="7"/>
  <c r="I1035" i="7"/>
  <c r="AH1034" i="7"/>
  <c r="AC1034" i="7"/>
  <c r="M1034" i="7"/>
  <c r="K1034" i="7"/>
  <c r="J1034" i="7"/>
  <c r="I1034" i="7"/>
  <c r="AH1033" i="7"/>
  <c r="M1033" i="7"/>
  <c r="K1033" i="7"/>
  <c r="J1033" i="7"/>
  <c r="I1033" i="7"/>
  <c r="O1033" i="7" s="1"/>
  <c r="AH1032" i="7"/>
  <c r="M1032" i="7"/>
  <c r="K1032" i="7"/>
  <c r="J1032" i="7"/>
  <c r="I1032" i="7"/>
  <c r="AH1031" i="7"/>
  <c r="M1031" i="7"/>
  <c r="K1031" i="7"/>
  <c r="J1031" i="7"/>
  <c r="I1031" i="7"/>
  <c r="AH1030" i="7"/>
  <c r="M1030" i="7"/>
  <c r="K1030" i="7"/>
  <c r="J1030" i="7"/>
  <c r="I1030" i="7"/>
  <c r="AH1029" i="7"/>
  <c r="M1029" i="7"/>
  <c r="K1029" i="7"/>
  <c r="J1029" i="7"/>
  <c r="I1029" i="7"/>
  <c r="AH1028" i="7"/>
  <c r="M1028" i="7"/>
  <c r="K1028" i="7"/>
  <c r="J1028" i="7"/>
  <c r="I1028" i="7"/>
  <c r="AH1027" i="7"/>
  <c r="M1027" i="7"/>
  <c r="K1027" i="7"/>
  <c r="J1027" i="7"/>
  <c r="I1027" i="7"/>
  <c r="AH1026" i="7"/>
  <c r="M1026" i="7"/>
  <c r="K1026" i="7"/>
  <c r="J1026" i="7"/>
  <c r="I1026" i="7"/>
  <c r="AH1025" i="7"/>
  <c r="M1025" i="7"/>
  <c r="K1025" i="7"/>
  <c r="J1025" i="7"/>
  <c r="I1025" i="7"/>
  <c r="AH1024" i="7"/>
  <c r="M1024" i="7"/>
  <c r="K1024" i="7"/>
  <c r="J1024" i="7"/>
  <c r="O1024" i="7" s="1"/>
  <c r="I1024" i="7"/>
  <c r="AC1024" i="7" s="1"/>
  <c r="AH1023" i="7"/>
  <c r="M1023" i="7"/>
  <c r="K1023" i="7"/>
  <c r="J1023" i="7"/>
  <c r="I1023" i="7"/>
  <c r="AH1022" i="7"/>
  <c r="M1022" i="7"/>
  <c r="AC1022" i="7"/>
  <c r="K1022" i="7"/>
  <c r="J1022" i="7"/>
  <c r="I1022" i="7"/>
  <c r="AH1021" i="7"/>
  <c r="M1021" i="7"/>
  <c r="K1021" i="7"/>
  <c r="J1021" i="7"/>
  <c r="I1021" i="7"/>
  <c r="AH1020" i="7"/>
  <c r="M1020" i="7"/>
  <c r="K1020" i="7"/>
  <c r="J1020" i="7"/>
  <c r="I1020" i="7"/>
  <c r="AH1019" i="7"/>
  <c r="M1019" i="7"/>
  <c r="K1019" i="7"/>
  <c r="J1019" i="7"/>
  <c r="I1019" i="7"/>
  <c r="AH1018" i="7"/>
  <c r="M1018" i="7"/>
  <c r="K1018" i="7"/>
  <c r="J1018" i="7"/>
  <c r="I1018" i="7"/>
  <c r="AH1017" i="7"/>
  <c r="M1017" i="7"/>
  <c r="K1017" i="7"/>
  <c r="J1017" i="7"/>
  <c r="I1017" i="7"/>
  <c r="AH1016" i="7"/>
  <c r="M1016" i="7"/>
  <c r="K1016" i="7"/>
  <c r="J1016" i="7"/>
  <c r="I1016" i="7"/>
  <c r="AH1015" i="7"/>
  <c r="M1015" i="7"/>
  <c r="K1015" i="7"/>
  <c r="J1015" i="7"/>
  <c r="I1015" i="7"/>
  <c r="AH1014" i="7"/>
  <c r="M1014" i="7"/>
  <c r="K1014" i="7"/>
  <c r="J1014" i="7"/>
  <c r="I1014" i="7"/>
  <c r="AH1013" i="7"/>
  <c r="M1013" i="7"/>
  <c r="K1013" i="7"/>
  <c r="J1013" i="7"/>
  <c r="I1013" i="7"/>
  <c r="AH1012" i="7"/>
  <c r="M1012" i="7"/>
  <c r="AC1012" i="7"/>
  <c r="K1012" i="7"/>
  <c r="J1012" i="7"/>
  <c r="I1012" i="7"/>
  <c r="AH1011" i="7"/>
  <c r="M1011" i="7"/>
  <c r="K1011" i="7"/>
  <c r="J1011" i="7"/>
  <c r="I1011" i="7"/>
  <c r="AH1010" i="7"/>
  <c r="M1010" i="7"/>
  <c r="K1010" i="7"/>
  <c r="J1010" i="7"/>
  <c r="I1010" i="7"/>
  <c r="AH1009" i="7"/>
  <c r="M1009" i="7"/>
  <c r="K1009" i="7"/>
  <c r="J1009" i="7"/>
  <c r="I1009" i="7"/>
  <c r="AH1008" i="7"/>
  <c r="M1008" i="7"/>
  <c r="K1008" i="7"/>
  <c r="J1008" i="7"/>
  <c r="I1008" i="7"/>
  <c r="AH1007" i="7"/>
  <c r="M1007" i="7"/>
  <c r="K1007" i="7"/>
  <c r="J1007" i="7"/>
  <c r="I1007" i="7"/>
  <c r="AH1006" i="7"/>
  <c r="M1006" i="7"/>
  <c r="K1006" i="7"/>
  <c r="J1006" i="7"/>
  <c r="I1006" i="7"/>
  <c r="AH1005" i="7"/>
  <c r="M1005" i="7"/>
  <c r="K1005" i="7"/>
  <c r="J1005" i="7"/>
  <c r="I1005" i="7"/>
  <c r="AH1004" i="7"/>
  <c r="M1004" i="7"/>
  <c r="K1004" i="7"/>
  <c r="J1004" i="7"/>
  <c r="I1004" i="7"/>
  <c r="AH1003" i="7"/>
  <c r="M1003" i="7"/>
  <c r="K1003" i="7"/>
  <c r="J1003" i="7"/>
  <c r="I1003" i="7"/>
  <c r="AC1003" i="7" s="1"/>
  <c r="AH1002" i="7"/>
  <c r="M1002" i="7"/>
  <c r="K1002" i="7"/>
  <c r="J1002" i="7"/>
  <c r="I1002" i="7"/>
  <c r="AH1001" i="7"/>
  <c r="M1001" i="7"/>
  <c r="K1001" i="7"/>
  <c r="J1001" i="7"/>
  <c r="I1001" i="7"/>
  <c r="AH1000" i="7"/>
  <c r="M1000" i="7"/>
  <c r="K1000" i="7"/>
  <c r="J1000" i="7"/>
  <c r="I1000" i="7"/>
  <c r="AH999" i="7"/>
  <c r="M999" i="7"/>
  <c r="K999" i="7"/>
  <c r="J999" i="7"/>
  <c r="I999" i="7"/>
  <c r="AH998" i="7"/>
  <c r="M998" i="7"/>
  <c r="K998" i="7"/>
  <c r="J998" i="7"/>
  <c r="I998" i="7"/>
  <c r="AH997" i="7"/>
  <c r="M997" i="7"/>
  <c r="K997" i="7"/>
  <c r="J997" i="7"/>
  <c r="I997" i="7"/>
  <c r="AH996" i="7"/>
  <c r="M996" i="7"/>
  <c r="K996" i="7"/>
  <c r="J996" i="7"/>
  <c r="I996" i="7"/>
  <c r="AH995" i="7"/>
  <c r="M995" i="7"/>
  <c r="K995" i="7"/>
  <c r="J995" i="7"/>
  <c r="I995" i="7"/>
  <c r="AH994" i="7"/>
  <c r="M994" i="7"/>
  <c r="K994" i="7"/>
  <c r="J994" i="7"/>
  <c r="I994" i="7"/>
  <c r="AH993" i="7"/>
  <c r="M993" i="7"/>
  <c r="K993" i="7"/>
  <c r="J993" i="7"/>
  <c r="I993" i="7"/>
  <c r="AH992" i="7"/>
  <c r="M992" i="7"/>
  <c r="K992" i="7"/>
  <c r="J992" i="7"/>
  <c r="I992" i="7"/>
  <c r="AH991" i="7"/>
  <c r="M991" i="7"/>
  <c r="K991" i="7"/>
  <c r="J991" i="7"/>
  <c r="I991" i="7"/>
  <c r="AH990" i="7"/>
  <c r="M990" i="7"/>
  <c r="K990" i="7"/>
  <c r="J990" i="7"/>
  <c r="I990" i="7"/>
  <c r="AH989" i="7"/>
  <c r="M989" i="7"/>
  <c r="K989" i="7"/>
  <c r="J989" i="7"/>
  <c r="I989" i="7"/>
  <c r="AH988" i="7"/>
  <c r="M988" i="7"/>
  <c r="K988" i="7"/>
  <c r="J988" i="7"/>
  <c r="I988" i="7"/>
  <c r="AC988" i="7" s="1"/>
  <c r="AH987" i="7"/>
  <c r="M987" i="7"/>
  <c r="K987" i="7"/>
  <c r="J987" i="7"/>
  <c r="I987" i="7"/>
  <c r="AH986" i="7"/>
  <c r="M986" i="7"/>
  <c r="K986" i="7"/>
  <c r="J986" i="7"/>
  <c r="I986" i="7"/>
  <c r="AH985" i="7"/>
  <c r="M985" i="7"/>
  <c r="K985" i="7"/>
  <c r="J985" i="7"/>
  <c r="I985" i="7"/>
  <c r="AH984" i="7"/>
  <c r="M984" i="7"/>
  <c r="K984" i="7"/>
  <c r="J984" i="7"/>
  <c r="I984" i="7"/>
  <c r="AH983" i="7"/>
  <c r="M983" i="7"/>
  <c r="K983" i="7"/>
  <c r="J983" i="7"/>
  <c r="I983" i="7"/>
  <c r="AH982" i="7"/>
  <c r="M982" i="7"/>
  <c r="K982" i="7"/>
  <c r="J982" i="7"/>
  <c r="I982" i="7"/>
  <c r="AH981" i="7"/>
  <c r="M981" i="7"/>
  <c r="K981" i="7"/>
  <c r="J981" i="7"/>
  <c r="I981" i="7"/>
  <c r="AH980" i="7"/>
  <c r="M980" i="7"/>
  <c r="K980" i="7"/>
  <c r="J980" i="7"/>
  <c r="I980" i="7"/>
  <c r="AH979" i="7"/>
  <c r="M979" i="7"/>
  <c r="K979" i="7"/>
  <c r="J979" i="7"/>
  <c r="I979" i="7"/>
  <c r="AH978" i="7"/>
  <c r="M978" i="7"/>
  <c r="K978" i="7"/>
  <c r="J978" i="7"/>
  <c r="I978" i="7"/>
  <c r="AH977" i="7"/>
  <c r="M977" i="7"/>
  <c r="K977" i="7"/>
  <c r="J977" i="7"/>
  <c r="I977" i="7"/>
  <c r="AH976" i="7"/>
  <c r="M976" i="7"/>
  <c r="K976" i="7"/>
  <c r="J976" i="7"/>
  <c r="I976" i="7"/>
  <c r="AH975" i="7"/>
  <c r="M975" i="7"/>
  <c r="K975" i="7"/>
  <c r="J975" i="7"/>
  <c r="I975" i="7"/>
  <c r="AH974" i="7"/>
  <c r="M974" i="7"/>
  <c r="K974" i="7"/>
  <c r="J974" i="7"/>
  <c r="I974" i="7"/>
  <c r="AH973" i="7"/>
  <c r="M973" i="7"/>
  <c r="K973" i="7"/>
  <c r="J973" i="7"/>
  <c r="I973" i="7"/>
  <c r="O973" i="7" s="1"/>
  <c r="AH972" i="7"/>
  <c r="M972" i="7"/>
  <c r="K972" i="7"/>
  <c r="J972" i="7"/>
  <c r="I972" i="7"/>
  <c r="AH971" i="7"/>
  <c r="M971" i="7"/>
  <c r="K971" i="7"/>
  <c r="J971" i="7"/>
  <c r="I971" i="7"/>
  <c r="AH970" i="7"/>
  <c r="M970" i="7"/>
  <c r="K970" i="7"/>
  <c r="J970" i="7"/>
  <c r="I970" i="7"/>
  <c r="AH969" i="7"/>
  <c r="M969" i="7"/>
  <c r="K969" i="7"/>
  <c r="J969" i="7"/>
  <c r="I969" i="7"/>
  <c r="AH968" i="7"/>
  <c r="M968" i="7"/>
  <c r="K968" i="7"/>
  <c r="J968" i="7"/>
  <c r="I968" i="7"/>
  <c r="AH967" i="7"/>
  <c r="M967" i="7"/>
  <c r="K967" i="7"/>
  <c r="J967" i="7"/>
  <c r="I967" i="7"/>
  <c r="AH966" i="7"/>
  <c r="M966" i="7"/>
  <c r="K966" i="7"/>
  <c r="J966" i="7"/>
  <c r="I966" i="7"/>
  <c r="AH965" i="7"/>
  <c r="M965" i="7"/>
  <c r="K965" i="7"/>
  <c r="J965" i="7"/>
  <c r="I965" i="7"/>
  <c r="AH964" i="7"/>
  <c r="M964" i="7"/>
  <c r="K964" i="7"/>
  <c r="J964" i="7"/>
  <c r="I964" i="7"/>
  <c r="AH963" i="7"/>
  <c r="M963" i="7"/>
  <c r="K963" i="7"/>
  <c r="J963" i="7"/>
  <c r="I963" i="7"/>
  <c r="AH962" i="7"/>
  <c r="M962" i="7"/>
  <c r="K962" i="7"/>
  <c r="J962" i="7"/>
  <c r="I962" i="7"/>
  <c r="AH961" i="7"/>
  <c r="M961" i="7"/>
  <c r="K961" i="7"/>
  <c r="J961" i="7"/>
  <c r="I961" i="7"/>
  <c r="AH960" i="7"/>
  <c r="M960" i="7"/>
  <c r="K960" i="7"/>
  <c r="J960" i="7"/>
  <c r="I960" i="7"/>
  <c r="AH959" i="7"/>
  <c r="M959" i="7"/>
  <c r="K959" i="7"/>
  <c r="J959" i="7"/>
  <c r="I959" i="7"/>
  <c r="AH958" i="7"/>
  <c r="M958" i="7"/>
  <c r="K958" i="7"/>
  <c r="J958" i="7"/>
  <c r="I958" i="7"/>
  <c r="AH957" i="7"/>
  <c r="M957" i="7"/>
  <c r="K957" i="7"/>
  <c r="J957" i="7"/>
  <c r="I957" i="7"/>
  <c r="AH956" i="7"/>
  <c r="M956" i="7"/>
  <c r="K956" i="7"/>
  <c r="J956" i="7"/>
  <c r="I956" i="7"/>
  <c r="O956" i="7" s="1"/>
  <c r="AH955" i="7"/>
  <c r="M955" i="7"/>
  <c r="K955" i="7"/>
  <c r="J955" i="7"/>
  <c r="I955" i="7"/>
  <c r="AH954" i="7"/>
  <c r="M954" i="7"/>
  <c r="K954" i="7"/>
  <c r="J954" i="7"/>
  <c r="I954" i="7"/>
  <c r="AH953" i="7"/>
  <c r="M953" i="7"/>
  <c r="K953" i="7"/>
  <c r="J953" i="7"/>
  <c r="I953" i="7"/>
  <c r="AH952" i="7"/>
  <c r="M952" i="7"/>
  <c r="K952" i="7"/>
  <c r="J952" i="7"/>
  <c r="I952" i="7"/>
  <c r="AH951" i="7"/>
  <c r="M951" i="7"/>
  <c r="O951" i="7"/>
  <c r="K951" i="7"/>
  <c r="J951" i="7"/>
  <c r="I951" i="7"/>
  <c r="AH950" i="7"/>
  <c r="M950" i="7"/>
  <c r="K950" i="7"/>
  <c r="J950" i="7"/>
  <c r="I950" i="7"/>
  <c r="AH949" i="7"/>
  <c r="M949" i="7"/>
  <c r="K949" i="7"/>
  <c r="J949" i="7"/>
  <c r="I949" i="7"/>
  <c r="AH948" i="7"/>
  <c r="M948" i="7"/>
  <c r="K948" i="7"/>
  <c r="J948" i="7"/>
  <c r="I948" i="7"/>
  <c r="AH947" i="7"/>
  <c r="M947" i="7"/>
  <c r="K947" i="7"/>
  <c r="J947" i="7"/>
  <c r="I947" i="7"/>
  <c r="AH946" i="7"/>
  <c r="M946" i="7"/>
  <c r="K946" i="7"/>
  <c r="J946" i="7"/>
  <c r="I946" i="7"/>
  <c r="AH945" i="7"/>
  <c r="M945" i="7"/>
  <c r="K945" i="7"/>
  <c r="J945" i="7"/>
  <c r="I945" i="7"/>
  <c r="AH944" i="7"/>
  <c r="M944" i="7"/>
  <c r="K944" i="7"/>
  <c r="J944" i="7"/>
  <c r="I944" i="7"/>
  <c r="AH943" i="7"/>
  <c r="M943" i="7"/>
  <c r="K943" i="7"/>
  <c r="J943" i="7"/>
  <c r="I943" i="7"/>
  <c r="AH942" i="7"/>
  <c r="M942" i="7"/>
  <c r="K942" i="7"/>
  <c r="J942" i="7"/>
  <c r="I942" i="7"/>
  <c r="AH941" i="7"/>
  <c r="M941" i="7"/>
  <c r="K941" i="7"/>
  <c r="J941" i="7"/>
  <c r="I941" i="7"/>
  <c r="AH940" i="7"/>
  <c r="M940" i="7"/>
  <c r="K940" i="7"/>
  <c r="J940" i="7"/>
  <c r="I940" i="7"/>
  <c r="AH939" i="7"/>
  <c r="M939" i="7"/>
  <c r="K939" i="7"/>
  <c r="J939" i="7"/>
  <c r="I939" i="7"/>
  <c r="AH938" i="7"/>
  <c r="M938" i="7"/>
  <c r="K938" i="7"/>
  <c r="J938" i="7"/>
  <c r="I938" i="7"/>
  <c r="AH937" i="7"/>
  <c r="M937" i="7"/>
  <c r="K937" i="7"/>
  <c r="J937" i="7"/>
  <c r="I937" i="7"/>
  <c r="AH936" i="7"/>
  <c r="M936" i="7"/>
  <c r="K936" i="7"/>
  <c r="J936" i="7"/>
  <c r="I936" i="7"/>
  <c r="AH935" i="7"/>
  <c r="M935" i="7"/>
  <c r="K935" i="7"/>
  <c r="J935" i="7"/>
  <c r="I935" i="7"/>
  <c r="AC935" i="7" s="1"/>
  <c r="AH934" i="7"/>
  <c r="M934" i="7"/>
  <c r="K934" i="7"/>
  <c r="J934" i="7"/>
  <c r="I934" i="7"/>
  <c r="AH933" i="7"/>
  <c r="M933" i="7"/>
  <c r="K933" i="7"/>
  <c r="J933" i="7"/>
  <c r="I933" i="7"/>
  <c r="AH932" i="7"/>
  <c r="M932" i="7"/>
  <c r="K932" i="7"/>
  <c r="J932" i="7"/>
  <c r="I932" i="7"/>
  <c r="AH931" i="7"/>
  <c r="M931" i="7"/>
  <c r="K931" i="7"/>
  <c r="J931" i="7"/>
  <c r="I931" i="7"/>
  <c r="AH930" i="7"/>
  <c r="M930" i="7"/>
  <c r="K930" i="7"/>
  <c r="J930" i="7"/>
  <c r="I930" i="7"/>
  <c r="AH929" i="7"/>
  <c r="M929" i="7"/>
  <c r="K929" i="7"/>
  <c r="J929" i="7"/>
  <c r="I929" i="7"/>
  <c r="AH928" i="7"/>
  <c r="M928" i="7"/>
  <c r="K928" i="7"/>
  <c r="J928" i="7"/>
  <c r="I928" i="7"/>
  <c r="AH927" i="7"/>
  <c r="M927" i="7"/>
  <c r="K927" i="7"/>
  <c r="J927" i="7"/>
  <c r="I927" i="7"/>
  <c r="AH926" i="7"/>
  <c r="M926" i="7"/>
  <c r="K926" i="7"/>
  <c r="J926" i="7"/>
  <c r="I926" i="7"/>
  <c r="AH925" i="7"/>
  <c r="M925" i="7"/>
  <c r="K925" i="7"/>
  <c r="J925" i="7"/>
  <c r="I925" i="7"/>
  <c r="AH924" i="7"/>
  <c r="M924" i="7"/>
  <c r="K924" i="7"/>
  <c r="J924" i="7"/>
  <c r="I924" i="7"/>
  <c r="AH923" i="7"/>
  <c r="M923" i="7"/>
  <c r="K923" i="7"/>
  <c r="AC923" i="7" s="1"/>
  <c r="J923" i="7"/>
  <c r="I923" i="7"/>
  <c r="AH922" i="7"/>
  <c r="M922" i="7"/>
  <c r="K922" i="7"/>
  <c r="J922" i="7"/>
  <c r="I922" i="7"/>
  <c r="AH921" i="7"/>
  <c r="M921" i="7"/>
  <c r="K921" i="7"/>
  <c r="J921" i="7"/>
  <c r="I921" i="7"/>
  <c r="AH920" i="7"/>
  <c r="M920" i="7"/>
  <c r="K920" i="7"/>
  <c r="J920" i="7"/>
  <c r="I920" i="7"/>
  <c r="AH919" i="7"/>
  <c r="M919" i="7"/>
  <c r="K919" i="7"/>
  <c r="J919" i="7"/>
  <c r="I919" i="7"/>
  <c r="AH918" i="7"/>
  <c r="M918" i="7"/>
  <c r="K918" i="7"/>
  <c r="J918" i="7"/>
  <c r="I918" i="7"/>
  <c r="AH917" i="7"/>
  <c r="M917" i="7"/>
  <c r="K917" i="7"/>
  <c r="J917" i="7"/>
  <c r="I917" i="7"/>
  <c r="AH916" i="7"/>
  <c r="M916" i="7"/>
  <c r="K916" i="7"/>
  <c r="J916" i="7"/>
  <c r="I916" i="7"/>
  <c r="AH915" i="7"/>
  <c r="M915" i="7"/>
  <c r="K915" i="7"/>
  <c r="J915" i="7"/>
  <c r="I915" i="7"/>
  <c r="AH914" i="7"/>
  <c r="M914" i="7"/>
  <c r="K914" i="7"/>
  <c r="J914" i="7"/>
  <c r="I914" i="7"/>
  <c r="AH913" i="7"/>
  <c r="M913" i="7"/>
  <c r="K913" i="7"/>
  <c r="J913" i="7"/>
  <c r="I913" i="7"/>
  <c r="AH912" i="7"/>
  <c r="M912" i="7"/>
  <c r="K912" i="7"/>
  <c r="J912" i="7"/>
  <c r="I912" i="7"/>
  <c r="AH911" i="7"/>
  <c r="M911" i="7"/>
  <c r="K911" i="7"/>
  <c r="J911" i="7"/>
  <c r="I911" i="7"/>
  <c r="AH910" i="7"/>
  <c r="M910" i="7"/>
  <c r="K910" i="7"/>
  <c r="O910" i="7" s="1"/>
  <c r="J910" i="7"/>
  <c r="I910" i="7"/>
  <c r="AH909" i="7"/>
  <c r="M909" i="7"/>
  <c r="K909" i="7"/>
  <c r="J909" i="7"/>
  <c r="I909" i="7"/>
  <c r="AH908" i="7"/>
  <c r="M908" i="7"/>
  <c r="K908" i="7"/>
  <c r="J908" i="7"/>
  <c r="I908" i="7"/>
  <c r="AH907" i="7"/>
  <c r="M907" i="7"/>
  <c r="K907" i="7"/>
  <c r="J907" i="7"/>
  <c r="I907" i="7"/>
  <c r="AH906" i="7"/>
  <c r="M906" i="7"/>
  <c r="K906" i="7"/>
  <c r="J906" i="7"/>
  <c r="I906" i="7"/>
  <c r="AH905" i="7"/>
  <c r="M905" i="7"/>
  <c r="K905" i="7"/>
  <c r="J905" i="7"/>
  <c r="I905" i="7"/>
  <c r="AH904" i="7"/>
  <c r="M904" i="7"/>
  <c r="K904" i="7"/>
  <c r="J904" i="7"/>
  <c r="I904" i="7"/>
  <c r="AH903" i="7"/>
  <c r="M903" i="7"/>
  <c r="K903" i="7"/>
  <c r="J903" i="7"/>
  <c r="I903" i="7"/>
  <c r="AH902" i="7"/>
  <c r="M902" i="7"/>
  <c r="K902" i="7"/>
  <c r="J902" i="7"/>
  <c r="I902" i="7"/>
  <c r="O902" i="7" s="1"/>
  <c r="AH901" i="7"/>
  <c r="M901" i="7"/>
  <c r="K901" i="7"/>
  <c r="J901" i="7"/>
  <c r="I901" i="7"/>
  <c r="AH900" i="7"/>
  <c r="M900" i="7"/>
  <c r="K900" i="7"/>
  <c r="J900" i="7"/>
  <c r="I900" i="7"/>
  <c r="AH899" i="7"/>
  <c r="M899" i="7"/>
  <c r="K899" i="7"/>
  <c r="J899" i="7"/>
  <c r="I899" i="7"/>
  <c r="AH898" i="7"/>
  <c r="M898" i="7"/>
  <c r="K898" i="7"/>
  <c r="J898" i="7"/>
  <c r="I898" i="7"/>
  <c r="AH897" i="7"/>
  <c r="M897" i="7"/>
  <c r="K897" i="7"/>
  <c r="J897" i="7"/>
  <c r="I897" i="7"/>
  <c r="AH896" i="7"/>
  <c r="M896" i="7"/>
  <c r="K896" i="7"/>
  <c r="J896" i="7"/>
  <c r="I896" i="7"/>
  <c r="AH895" i="7"/>
  <c r="M895" i="7"/>
  <c r="K895" i="7"/>
  <c r="J895" i="7"/>
  <c r="I895" i="7"/>
  <c r="AH894" i="7"/>
  <c r="M894" i="7"/>
  <c r="K894" i="7"/>
  <c r="J894" i="7"/>
  <c r="I894" i="7"/>
  <c r="AH893" i="7"/>
  <c r="M893" i="7"/>
  <c r="K893" i="7"/>
  <c r="J893" i="7"/>
  <c r="I893" i="7"/>
  <c r="AH892" i="7"/>
  <c r="M892" i="7"/>
  <c r="K892" i="7"/>
  <c r="J892" i="7"/>
  <c r="I892" i="7"/>
  <c r="AH891" i="7"/>
  <c r="M891" i="7"/>
  <c r="K891" i="7"/>
  <c r="J891" i="7"/>
  <c r="I891" i="7"/>
  <c r="AH890" i="7"/>
  <c r="M890" i="7"/>
  <c r="K890" i="7"/>
  <c r="J890" i="7"/>
  <c r="I890" i="7"/>
  <c r="AH889" i="7"/>
  <c r="M889" i="7"/>
  <c r="K889" i="7"/>
  <c r="J889" i="7"/>
  <c r="I889" i="7"/>
  <c r="AH888" i="7"/>
  <c r="M888" i="7"/>
  <c r="O888" i="7"/>
  <c r="K888" i="7"/>
  <c r="J888" i="7"/>
  <c r="I888" i="7"/>
  <c r="AH887" i="7"/>
  <c r="M887" i="7"/>
  <c r="K887" i="7"/>
  <c r="J887" i="7"/>
  <c r="I887" i="7"/>
  <c r="AH886" i="7"/>
  <c r="M886" i="7"/>
  <c r="K886" i="7"/>
  <c r="J886" i="7"/>
  <c r="I886" i="7"/>
  <c r="AH885" i="7"/>
  <c r="M885" i="7"/>
  <c r="K885" i="7"/>
  <c r="J885" i="7"/>
  <c r="I885" i="7"/>
  <c r="AH884" i="7"/>
  <c r="M884" i="7"/>
  <c r="K884" i="7"/>
  <c r="J884" i="7"/>
  <c r="I884" i="7"/>
  <c r="AH883" i="7"/>
  <c r="M883" i="7"/>
  <c r="K883" i="7"/>
  <c r="J883" i="7"/>
  <c r="I883" i="7"/>
  <c r="AC883" i="7" s="1"/>
  <c r="AH882" i="7"/>
  <c r="M882" i="7"/>
  <c r="K882" i="7"/>
  <c r="J882" i="7"/>
  <c r="I882" i="7"/>
  <c r="AH881" i="7"/>
  <c r="M881" i="7"/>
  <c r="K881" i="7"/>
  <c r="J881" i="7"/>
  <c r="I881" i="7"/>
  <c r="AH880" i="7"/>
  <c r="M880" i="7"/>
  <c r="K880" i="7"/>
  <c r="J880" i="7"/>
  <c r="I880" i="7"/>
  <c r="AH879" i="7"/>
  <c r="M879" i="7"/>
  <c r="K879" i="7"/>
  <c r="J879" i="7"/>
  <c r="I879" i="7"/>
  <c r="AH878" i="7"/>
  <c r="M878" i="7"/>
  <c r="K878" i="7"/>
  <c r="J878" i="7"/>
  <c r="I878" i="7"/>
  <c r="AH877" i="7"/>
  <c r="M877" i="7"/>
  <c r="K877" i="7"/>
  <c r="J877" i="7"/>
  <c r="I877" i="7"/>
  <c r="AH876" i="7"/>
  <c r="M876" i="7"/>
  <c r="K876" i="7"/>
  <c r="J876" i="7"/>
  <c r="I876" i="7"/>
  <c r="AH875" i="7"/>
  <c r="M875" i="7"/>
  <c r="K875" i="7"/>
  <c r="J875" i="7"/>
  <c r="I875" i="7"/>
  <c r="AH874" i="7"/>
  <c r="M874" i="7"/>
  <c r="K874" i="7"/>
  <c r="J874" i="7"/>
  <c r="I874" i="7"/>
  <c r="AH873" i="7"/>
  <c r="M873" i="7"/>
  <c r="K873" i="7"/>
  <c r="J873" i="7"/>
  <c r="I873" i="7"/>
  <c r="AH872" i="7"/>
  <c r="M872" i="7"/>
  <c r="K872" i="7"/>
  <c r="J872" i="7"/>
  <c r="I872" i="7"/>
  <c r="AH871" i="7"/>
  <c r="M871" i="7"/>
  <c r="K871" i="7"/>
  <c r="J871" i="7"/>
  <c r="I871" i="7"/>
  <c r="AH870" i="7"/>
  <c r="M870" i="7"/>
  <c r="K870" i="7"/>
  <c r="J870" i="7"/>
  <c r="I870" i="7"/>
  <c r="AH869" i="7"/>
  <c r="M869" i="7"/>
  <c r="K869" i="7"/>
  <c r="J869" i="7"/>
  <c r="I869" i="7"/>
  <c r="AH868" i="7"/>
  <c r="M868" i="7"/>
  <c r="K868" i="7"/>
  <c r="J868" i="7"/>
  <c r="I868" i="7"/>
  <c r="AH867" i="7"/>
  <c r="M867" i="7"/>
  <c r="K867" i="7"/>
  <c r="J867" i="7"/>
  <c r="I867" i="7"/>
  <c r="AH866" i="7"/>
  <c r="M866" i="7"/>
  <c r="K866" i="7"/>
  <c r="J866" i="7"/>
  <c r="I866" i="7"/>
  <c r="AH865" i="7"/>
  <c r="M865" i="7"/>
  <c r="K865" i="7"/>
  <c r="J865" i="7"/>
  <c r="I865" i="7"/>
  <c r="AH864" i="7"/>
  <c r="M864" i="7"/>
  <c r="K864" i="7"/>
  <c r="J864" i="7"/>
  <c r="I864" i="7"/>
  <c r="AH863" i="7"/>
  <c r="M863" i="7"/>
  <c r="K863" i="7"/>
  <c r="J863" i="7"/>
  <c r="I863" i="7"/>
  <c r="AH862" i="7"/>
  <c r="M862" i="7"/>
  <c r="K862" i="7"/>
  <c r="J862" i="7"/>
  <c r="I862" i="7"/>
  <c r="AH861" i="7"/>
  <c r="M861" i="7"/>
  <c r="K861" i="7"/>
  <c r="J861" i="7"/>
  <c r="I861" i="7"/>
  <c r="AH860" i="7"/>
  <c r="M860" i="7"/>
  <c r="K860" i="7"/>
  <c r="J860" i="7"/>
  <c r="I860" i="7"/>
  <c r="AH859" i="7"/>
  <c r="M859" i="7"/>
  <c r="K859" i="7"/>
  <c r="J859" i="7"/>
  <c r="I859" i="7"/>
  <c r="AH858" i="7"/>
  <c r="M858" i="7"/>
  <c r="K858" i="7"/>
  <c r="J858" i="7"/>
  <c r="I858" i="7"/>
  <c r="AH857" i="7"/>
  <c r="M857" i="7"/>
  <c r="K857" i="7"/>
  <c r="J857" i="7"/>
  <c r="I857" i="7"/>
  <c r="AH856" i="7"/>
  <c r="M856" i="7"/>
  <c r="K856" i="7"/>
  <c r="J856" i="7"/>
  <c r="I856" i="7"/>
  <c r="AH855" i="7"/>
  <c r="M855" i="7"/>
  <c r="K855" i="7"/>
  <c r="J855" i="7"/>
  <c r="I855" i="7"/>
  <c r="AH854" i="7"/>
  <c r="M854" i="7"/>
  <c r="K854" i="7"/>
  <c r="J854" i="7"/>
  <c r="I854" i="7"/>
  <c r="AH853" i="7"/>
  <c r="M853" i="7"/>
  <c r="K853" i="7"/>
  <c r="J853" i="7"/>
  <c r="I853" i="7"/>
  <c r="AH852" i="7"/>
  <c r="M852" i="7"/>
  <c r="K852" i="7"/>
  <c r="J852" i="7"/>
  <c r="I852" i="7"/>
  <c r="O852" i="7" s="1"/>
  <c r="AH851" i="7"/>
  <c r="M851" i="7"/>
  <c r="K851" i="7"/>
  <c r="J851" i="7"/>
  <c r="I851" i="7"/>
  <c r="O851" i="7" s="1"/>
  <c r="AH850" i="7"/>
  <c r="M850" i="7"/>
  <c r="K850" i="7"/>
  <c r="J850" i="7"/>
  <c r="I850" i="7"/>
  <c r="AH849" i="7"/>
  <c r="M849" i="7"/>
  <c r="K849" i="7"/>
  <c r="J849" i="7"/>
  <c r="I849" i="7"/>
  <c r="AH848" i="7"/>
  <c r="M848" i="7"/>
  <c r="K848" i="7"/>
  <c r="J848" i="7"/>
  <c r="I848" i="7"/>
  <c r="AH847" i="7"/>
  <c r="M847" i="7"/>
  <c r="K847" i="7"/>
  <c r="J847" i="7"/>
  <c r="I847" i="7"/>
  <c r="AH846" i="7"/>
  <c r="M846" i="7"/>
  <c r="K846" i="7"/>
  <c r="J846" i="7"/>
  <c r="I846" i="7"/>
  <c r="AH845" i="7"/>
  <c r="M845" i="7"/>
  <c r="K845" i="7"/>
  <c r="J845" i="7"/>
  <c r="I845" i="7"/>
  <c r="AH844" i="7"/>
  <c r="M844" i="7"/>
  <c r="K844" i="7"/>
  <c r="J844" i="7"/>
  <c r="I844" i="7"/>
  <c r="AH843" i="7"/>
  <c r="M843" i="7"/>
  <c r="K843" i="7"/>
  <c r="J843" i="7"/>
  <c r="I843" i="7"/>
  <c r="AH842" i="7"/>
  <c r="M842" i="7"/>
  <c r="K842" i="7"/>
  <c r="J842" i="7"/>
  <c r="I842" i="7"/>
  <c r="AH841" i="7"/>
  <c r="M841" i="7"/>
  <c r="K841" i="7"/>
  <c r="J841" i="7"/>
  <c r="I841" i="7"/>
  <c r="O841" i="7" s="1"/>
  <c r="AH840" i="7"/>
  <c r="M840" i="7"/>
  <c r="K840" i="7"/>
  <c r="J840" i="7"/>
  <c r="I840" i="7"/>
  <c r="AH839" i="7"/>
  <c r="M839" i="7"/>
  <c r="K839" i="7"/>
  <c r="J839" i="7"/>
  <c r="I839" i="7"/>
  <c r="AH838" i="7"/>
  <c r="M838" i="7"/>
  <c r="K838" i="7"/>
  <c r="J838" i="7"/>
  <c r="I838" i="7"/>
  <c r="AH837" i="7"/>
  <c r="M837" i="7"/>
  <c r="K837" i="7"/>
  <c r="J837" i="7"/>
  <c r="I837" i="7"/>
  <c r="AH836" i="7"/>
  <c r="M836" i="7"/>
  <c r="K836" i="7"/>
  <c r="J836" i="7"/>
  <c r="I836" i="7"/>
  <c r="AH835" i="7"/>
  <c r="M835" i="7"/>
  <c r="K835" i="7"/>
  <c r="J835" i="7"/>
  <c r="I835" i="7"/>
  <c r="AH834" i="7"/>
  <c r="M834" i="7"/>
  <c r="K834" i="7"/>
  <c r="J834" i="7"/>
  <c r="I834" i="7"/>
  <c r="AH833" i="7"/>
  <c r="M833" i="7"/>
  <c r="K833" i="7"/>
  <c r="J833" i="7"/>
  <c r="I833" i="7"/>
  <c r="AH832" i="7"/>
  <c r="M832" i="7"/>
  <c r="K832" i="7"/>
  <c r="J832" i="7"/>
  <c r="I832" i="7"/>
  <c r="AH831" i="7"/>
  <c r="M831" i="7"/>
  <c r="K831" i="7"/>
  <c r="J831" i="7"/>
  <c r="I831" i="7"/>
  <c r="AH830" i="7"/>
  <c r="M830" i="7"/>
  <c r="K830" i="7"/>
  <c r="J830" i="7"/>
  <c r="I830" i="7"/>
  <c r="AH829" i="7"/>
  <c r="M829" i="7"/>
  <c r="K829" i="7"/>
  <c r="J829" i="7"/>
  <c r="I829" i="7"/>
  <c r="AH828" i="7"/>
  <c r="M828" i="7"/>
  <c r="K828" i="7"/>
  <c r="J828" i="7"/>
  <c r="I828" i="7"/>
  <c r="AH827" i="7"/>
  <c r="M827" i="7"/>
  <c r="K827" i="7"/>
  <c r="J827" i="7"/>
  <c r="I827" i="7"/>
  <c r="AH826" i="7"/>
  <c r="M826" i="7"/>
  <c r="K826" i="7"/>
  <c r="J826" i="7"/>
  <c r="I826" i="7"/>
  <c r="AH825" i="7"/>
  <c r="M825" i="7"/>
  <c r="K825" i="7"/>
  <c r="J825" i="7"/>
  <c r="I825" i="7"/>
  <c r="AH824" i="7"/>
  <c r="M824" i="7"/>
  <c r="K824" i="7"/>
  <c r="J824" i="7"/>
  <c r="I824" i="7"/>
  <c r="AH823" i="7"/>
  <c r="M823" i="7"/>
  <c r="K823" i="7"/>
  <c r="J823" i="7"/>
  <c r="I823" i="7"/>
  <c r="AH822" i="7"/>
  <c r="M822" i="7"/>
  <c r="K822" i="7"/>
  <c r="J822" i="7"/>
  <c r="I822" i="7"/>
  <c r="AH821" i="7"/>
  <c r="M821" i="7"/>
  <c r="K821" i="7"/>
  <c r="J821" i="7"/>
  <c r="I821" i="7"/>
  <c r="AH820" i="7"/>
  <c r="M820" i="7"/>
  <c r="K820" i="7"/>
  <c r="J820" i="7"/>
  <c r="I820" i="7"/>
  <c r="AH819" i="7"/>
  <c r="M819" i="7"/>
  <c r="K819" i="7"/>
  <c r="J819" i="7"/>
  <c r="I819" i="7"/>
  <c r="AH818" i="7"/>
  <c r="M818" i="7"/>
  <c r="K818" i="7"/>
  <c r="J818" i="7"/>
  <c r="I818" i="7"/>
  <c r="AH817" i="7"/>
  <c r="M817" i="7"/>
  <c r="K817" i="7"/>
  <c r="J817" i="7"/>
  <c r="I817" i="7"/>
  <c r="AH816" i="7"/>
  <c r="M816" i="7"/>
  <c r="K816" i="7"/>
  <c r="J816" i="7"/>
  <c r="I816" i="7"/>
  <c r="AH815" i="7"/>
  <c r="M815" i="7"/>
  <c r="K815" i="7"/>
  <c r="J815" i="7"/>
  <c r="I815" i="7"/>
  <c r="AH814" i="7"/>
  <c r="M814" i="7"/>
  <c r="K814" i="7"/>
  <c r="J814" i="7"/>
  <c r="I814" i="7"/>
  <c r="AH813" i="7"/>
  <c r="M813" i="7"/>
  <c r="K813" i="7"/>
  <c r="J813" i="7"/>
  <c r="I813" i="7"/>
  <c r="AH812" i="7"/>
  <c r="M812" i="7"/>
  <c r="K812" i="7"/>
  <c r="J812" i="7"/>
  <c r="I812" i="7"/>
  <c r="AH811" i="7"/>
  <c r="M811" i="7"/>
  <c r="K811" i="7"/>
  <c r="J811" i="7"/>
  <c r="I811" i="7"/>
  <c r="AH810" i="7"/>
  <c r="M810" i="7"/>
  <c r="K810" i="7"/>
  <c r="J810" i="7"/>
  <c r="I810" i="7"/>
  <c r="AH809" i="7"/>
  <c r="M809" i="7"/>
  <c r="K809" i="7"/>
  <c r="J809" i="7"/>
  <c r="I809" i="7"/>
  <c r="AH808" i="7"/>
  <c r="M808" i="7"/>
  <c r="K808" i="7"/>
  <c r="J808" i="7"/>
  <c r="I808" i="7"/>
  <c r="AH807" i="7"/>
  <c r="M807" i="7"/>
  <c r="K807" i="7"/>
  <c r="J807" i="7"/>
  <c r="I807" i="7"/>
  <c r="AH806" i="7"/>
  <c r="M806" i="7"/>
  <c r="K806" i="7"/>
  <c r="J806" i="7"/>
  <c r="I806" i="7"/>
  <c r="AH805" i="7"/>
  <c r="M805" i="7"/>
  <c r="K805" i="7"/>
  <c r="J805" i="7"/>
  <c r="I805" i="7"/>
  <c r="AH804" i="7"/>
  <c r="M804" i="7"/>
  <c r="K804" i="7"/>
  <c r="J804" i="7"/>
  <c r="AC804" i="7" s="1"/>
  <c r="I804" i="7"/>
  <c r="AH803" i="7"/>
  <c r="M803" i="7"/>
  <c r="K803" i="7"/>
  <c r="J803" i="7"/>
  <c r="I803" i="7"/>
  <c r="AH802" i="7"/>
  <c r="M802" i="7"/>
  <c r="K802" i="7"/>
  <c r="J802" i="7"/>
  <c r="I802" i="7"/>
  <c r="AH801" i="7"/>
  <c r="M801" i="7"/>
  <c r="K801" i="7"/>
  <c r="J801" i="7"/>
  <c r="I801" i="7"/>
  <c r="AH800" i="7"/>
  <c r="M800" i="7"/>
  <c r="K800" i="7"/>
  <c r="J800" i="7"/>
  <c r="I800" i="7"/>
  <c r="AH799" i="7"/>
  <c r="M799" i="7"/>
  <c r="K799" i="7"/>
  <c r="J799" i="7"/>
  <c r="I799" i="7"/>
  <c r="AH798" i="7"/>
  <c r="M798" i="7"/>
  <c r="K798" i="7"/>
  <c r="J798" i="7"/>
  <c r="I798" i="7"/>
  <c r="AH797" i="7"/>
  <c r="M797" i="7"/>
  <c r="K797" i="7"/>
  <c r="J797" i="7"/>
  <c r="I797" i="7"/>
  <c r="AH796" i="7"/>
  <c r="M796" i="7"/>
  <c r="K796" i="7"/>
  <c r="J796" i="7"/>
  <c r="I796" i="7"/>
  <c r="AH795" i="7"/>
  <c r="M795" i="7"/>
  <c r="K795" i="7"/>
  <c r="J795" i="7"/>
  <c r="I795" i="7"/>
  <c r="AH794" i="7"/>
  <c r="M794" i="7"/>
  <c r="K794" i="7"/>
  <c r="J794" i="7"/>
  <c r="I794" i="7"/>
  <c r="AH793" i="7"/>
  <c r="M793" i="7"/>
  <c r="K793" i="7"/>
  <c r="J793" i="7"/>
  <c r="I793" i="7"/>
  <c r="AH792" i="7"/>
  <c r="M792" i="7"/>
  <c r="K792" i="7"/>
  <c r="J792" i="7"/>
  <c r="I792" i="7"/>
  <c r="AH791" i="7"/>
  <c r="M791" i="7"/>
  <c r="K791" i="7"/>
  <c r="J791" i="7"/>
  <c r="I791" i="7"/>
  <c r="AH790" i="7"/>
  <c r="M790" i="7"/>
  <c r="K790" i="7"/>
  <c r="J790" i="7"/>
  <c r="I790" i="7"/>
  <c r="AH789" i="7"/>
  <c r="M789" i="7"/>
  <c r="K789" i="7"/>
  <c r="J789" i="7"/>
  <c r="I789" i="7"/>
  <c r="AH788" i="7"/>
  <c r="M788" i="7"/>
  <c r="K788" i="7"/>
  <c r="J788" i="7"/>
  <c r="I788" i="7"/>
  <c r="AH787" i="7"/>
  <c r="M787" i="7"/>
  <c r="K787" i="7"/>
  <c r="J787" i="7"/>
  <c r="I787" i="7"/>
  <c r="AH786" i="7"/>
  <c r="M786" i="7"/>
  <c r="K786" i="7"/>
  <c r="J786" i="7"/>
  <c r="I786" i="7"/>
  <c r="AH785" i="7"/>
  <c r="M785" i="7"/>
  <c r="K785" i="7"/>
  <c r="J785" i="7"/>
  <c r="I785" i="7"/>
  <c r="AH784" i="7"/>
  <c r="M784" i="7"/>
  <c r="K784" i="7"/>
  <c r="J784" i="7"/>
  <c r="I784" i="7"/>
  <c r="AH783" i="7"/>
  <c r="M783" i="7"/>
  <c r="K783" i="7"/>
  <c r="J783" i="7"/>
  <c r="I783" i="7"/>
  <c r="AH782" i="7"/>
  <c r="M782" i="7"/>
  <c r="K782" i="7"/>
  <c r="J782" i="7"/>
  <c r="I782" i="7"/>
  <c r="AH781" i="7"/>
  <c r="M781" i="7"/>
  <c r="K781" i="7"/>
  <c r="J781" i="7"/>
  <c r="I781" i="7"/>
  <c r="AH780" i="7"/>
  <c r="M780" i="7"/>
  <c r="K780" i="7"/>
  <c r="J780" i="7"/>
  <c r="I780" i="7"/>
  <c r="AH779" i="7"/>
  <c r="M779" i="7"/>
  <c r="K779" i="7"/>
  <c r="J779" i="7"/>
  <c r="I779" i="7"/>
  <c r="AH778" i="7"/>
  <c r="M778" i="7"/>
  <c r="K778" i="7"/>
  <c r="J778" i="7"/>
  <c r="I778" i="7"/>
  <c r="AH777" i="7"/>
  <c r="M777" i="7"/>
  <c r="K777" i="7"/>
  <c r="J777" i="7"/>
  <c r="I777" i="7"/>
  <c r="AH776" i="7"/>
  <c r="M776" i="7"/>
  <c r="K776" i="7"/>
  <c r="J776" i="7"/>
  <c r="I776" i="7"/>
  <c r="AH775" i="7"/>
  <c r="M775" i="7"/>
  <c r="K775" i="7"/>
  <c r="J775" i="7"/>
  <c r="I775" i="7"/>
  <c r="AH774" i="7"/>
  <c r="M774" i="7"/>
  <c r="K774" i="7"/>
  <c r="J774" i="7"/>
  <c r="I774" i="7"/>
  <c r="AH773" i="7"/>
  <c r="M773" i="7"/>
  <c r="K773" i="7"/>
  <c r="J773" i="7"/>
  <c r="I773" i="7"/>
  <c r="AH772" i="7"/>
  <c r="M772" i="7"/>
  <c r="K772" i="7"/>
  <c r="J772" i="7"/>
  <c r="I772" i="7"/>
  <c r="AH771" i="7"/>
  <c r="M771" i="7"/>
  <c r="K771" i="7"/>
  <c r="J771" i="7"/>
  <c r="AC771" i="7" s="1"/>
  <c r="I771" i="7"/>
  <c r="AH770" i="7"/>
  <c r="M770" i="7"/>
  <c r="K770" i="7"/>
  <c r="J770" i="7"/>
  <c r="I770" i="7"/>
  <c r="AH769" i="7"/>
  <c r="M769" i="7"/>
  <c r="K769" i="7"/>
  <c r="J769" i="7"/>
  <c r="I769" i="7"/>
  <c r="AH768" i="7"/>
  <c r="M768" i="7"/>
  <c r="K768" i="7"/>
  <c r="J768" i="7"/>
  <c r="I768" i="7"/>
  <c r="AH767" i="7"/>
  <c r="M767" i="7"/>
  <c r="K767" i="7"/>
  <c r="J767" i="7"/>
  <c r="I767" i="7"/>
  <c r="AH766" i="7"/>
  <c r="M766" i="7"/>
  <c r="K766" i="7"/>
  <c r="J766" i="7"/>
  <c r="I766" i="7"/>
  <c r="AH765" i="7"/>
  <c r="M765" i="7"/>
  <c r="K765" i="7"/>
  <c r="J765" i="7"/>
  <c r="O765" i="7" s="1"/>
  <c r="I765" i="7"/>
  <c r="AH764" i="7"/>
  <c r="M764" i="7"/>
  <c r="K764" i="7"/>
  <c r="J764" i="7"/>
  <c r="I764" i="7"/>
  <c r="AH763" i="7"/>
  <c r="M763" i="7"/>
  <c r="K763" i="7"/>
  <c r="J763" i="7"/>
  <c r="I763" i="7"/>
  <c r="AH762" i="7"/>
  <c r="M762" i="7"/>
  <c r="K762" i="7"/>
  <c r="J762" i="7"/>
  <c r="I762" i="7"/>
  <c r="AH761" i="7"/>
  <c r="M761" i="7"/>
  <c r="K761" i="7"/>
  <c r="J761" i="7"/>
  <c r="I761" i="7"/>
  <c r="AH760" i="7"/>
  <c r="M760" i="7"/>
  <c r="K760" i="7"/>
  <c r="J760" i="7"/>
  <c r="I760" i="7"/>
  <c r="AH759" i="7"/>
  <c r="M759" i="7"/>
  <c r="K759" i="7"/>
  <c r="J759" i="7"/>
  <c r="I759" i="7"/>
  <c r="AH758" i="7"/>
  <c r="M758" i="7"/>
  <c r="K758" i="7"/>
  <c r="J758" i="7"/>
  <c r="I758" i="7"/>
  <c r="AH757" i="7"/>
  <c r="M757" i="7"/>
  <c r="K757" i="7"/>
  <c r="J757" i="7"/>
  <c r="I757" i="7"/>
  <c r="AH756" i="7"/>
  <c r="M756" i="7"/>
  <c r="K756" i="7"/>
  <c r="J756" i="7"/>
  <c r="I756" i="7"/>
  <c r="AH755" i="7"/>
  <c r="M755" i="7"/>
  <c r="K755" i="7"/>
  <c r="J755" i="7"/>
  <c r="I755" i="7"/>
  <c r="AH754" i="7"/>
  <c r="M754" i="7"/>
  <c r="K754" i="7"/>
  <c r="J754" i="7"/>
  <c r="I754" i="7"/>
  <c r="AH753" i="7"/>
  <c r="M753" i="7"/>
  <c r="K753" i="7"/>
  <c r="J753" i="7"/>
  <c r="I753" i="7"/>
  <c r="AH752" i="7"/>
  <c r="M752" i="7"/>
  <c r="K752" i="7"/>
  <c r="J752" i="7"/>
  <c r="I752" i="7"/>
  <c r="AH751" i="7"/>
  <c r="M751" i="7"/>
  <c r="K751" i="7"/>
  <c r="J751" i="7"/>
  <c r="I751" i="7"/>
  <c r="AH750" i="7"/>
  <c r="M750" i="7"/>
  <c r="K750" i="7"/>
  <c r="J750" i="7"/>
  <c r="I750" i="7"/>
  <c r="AH749" i="7"/>
  <c r="M749" i="7"/>
  <c r="K749" i="7"/>
  <c r="J749" i="7"/>
  <c r="I749" i="7"/>
  <c r="AH748" i="7"/>
  <c r="M748" i="7"/>
  <c r="K748" i="7"/>
  <c r="J748" i="7"/>
  <c r="I748" i="7"/>
  <c r="AH747" i="7"/>
  <c r="M747" i="7"/>
  <c r="K747" i="7"/>
  <c r="J747" i="7"/>
  <c r="I747" i="7"/>
  <c r="AH746" i="7"/>
  <c r="M746" i="7"/>
  <c r="K746" i="7"/>
  <c r="J746" i="7"/>
  <c r="I746" i="7"/>
  <c r="AH745" i="7"/>
  <c r="M745" i="7"/>
  <c r="K745" i="7"/>
  <c r="J745" i="7"/>
  <c r="I745" i="7"/>
  <c r="AH744" i="7"/>
  <c r="M744" i="7"/>
  <c r="K744" i="7"/>
  <c r="J744" i="7"/>
  <c r="I744" i="7"/>
  <c r="AH743" i="7"/>
  <c r="M743" i="7"/>
  <c r="K743" i="7"/>
  <c r="J743" i="7"/>
  <c r="I743" i="7"/>
  <c r="AH742" i="7"/>
  <c r="M742" i="7"/>
  <c r="K742" i="7"/>
  <c r="J742" i="7"/>
  <c r="I742" i="7"/>
  <c r="AH741" i="7"/>
  <c r="M741" i="7"/>
  <c r="K741" i="7"/>
  <c r="J741" i="7"/>
  <c r="I741" i="7"/>
  <c r="AH740" i="7"/>
  <c r="M740" i="7"/>
  <c r="K740" i="7"/>
  <c r="J740" i="7"/>
  <c r="I740" i="7"/>
  <c r="AH739" i="7"/>
  <c r="M739" i="7"/>
  <c r="K739" i="7"/>
  <c r="J739" i="7"/>
  <c r="I739" i="7"/>
  <c r="AH738" i="7"/>
  <c r="M738" i="7"/>
  <c r="K738" i="7"/>
  <c r="J738" i="7"/>
  <c r="I738" i="7"/>
  <c r="AH737" i="7"/>
  <c r="M737" i="7"/>
  <c r="K737" i="7"/>
  <c r="J737" i="7"/>
  <c r="I737" i="7"/>
  <c r="AH736" i="7"/>
  <c r="M736" i="7"/>
  <c r="K736" i="7"/>
  <c r="J736" i="7"/>
  <c r="I736" i="7"/>
  <c r="AH735" i="7"/>
  <c r="M735" i="7"/>
  <c r="K735" i="7"/>
  <c r="J735" i="7"/>
  <c r="I735" i="7"/>
  <c r="AH734" i="7"/>
  <c r="M734" i="7"/>
  <c r="K734" i="7"/>
  <c r="J734" i="7"/>
  <c r="I734" i="7"/>
  <c r="AH733" i="7"/>
  <c r="M733" i="7"/>
  <c r="K733" i="7"/>
  <c r="J733" i="7"/>
  <c r="I733" i="7"/>
  <c r="AH732" i="7"/>
  <c r="M732" i="7"/>
  <c r="K732" i="7"/>
  <c r="J732" i="7"/>
  <c r="I732" i="7"/>
  <c r="AH731" i="7"/>
  <c r="M731" i="7"/>
  <c r="K731" i="7"/>
  <c r="J731" i="7"/>
  <c r="I731" i="7"/>
  <c r="AH730" i="7"/>
  <c r="M730" i="7"/>
  <c r="K730" i="7"/>
  <c r="J730" i="7"/>
  <c r="I730" i="7"/>
  <c r="AH729" i="7"/>
  <c r="M729" i="7"/>
  <c r="K729" i="7"/>
  <c r="J729" i="7"/>
  <c r="I729" i="7"/>
  <c r="AH728" i="7"/>
  <c r="M728" i="7"/>
  <c r="K728" i="7"/>
  <c r="J728" i="7"/>
  <c r="I728" i="7"/>
  <c r="AH727" i="7"/>
  <c r="M727" i="7"/>
  <c r="K727" i="7"/>
  <c r="J727" i="7"/>
  <c r="I727" i="7"/>
  <c r="AH726" i="7"/>
  <c r="M726" i="7"/>
  <c r="K726" i="7"/>
  <c r="J726" i="7"/>
  <c r="I726" i="7"/>
  <c r="AH725" i="7"/>
  <c r="M725" i="7"/>
  <c r="K725" i="7"/>
  <c r="J725" i="7"/>
  <c r="I725" i="7"/>
  <c r="AH724" i="7"/>
  <c r="M724" i="7"/>
  <c r="K724" i="7"/>
  <c r="J724" i="7"/>
  <c r="I724" i="7"/>
  <c r="AH723" i="7"/>
  <c r="M723" i="7"/>
  <c r="K723" i="7"/>
  <c r="J723" i="7"/>
  <c r="I723" i="7"/>
  <c r="AH722" i="7"/>
  <c r="M722" i="7"/>
  <c r="K722" i="7"/>
  <c r="J722" i="7"/>
  <c r="I722" i="7"/>
  <c r="O722" i="7" s="1"/>
  <c r="AH721" i="7"/>
  <c r="M721" i="7"/>
  <c r="K721" i="7"/>
  <c r="J721" i="7"/>
  <c r="I721" i="7"/>
  <c r="AH720" i="7"/>
  <c r="M720" i="7"/>
  <c r="K720" i="7"/>
  <c r="J720" i="7"/>
  <c r="I720" i="7"/>
  <c r="AH719" i="7"/>
  <c r="M719" i="7"/>
  <c r="K719" i="7"/>
  <c r="J719" i="7"/>
  <c r="I719" i="7"/>
  <c r="AH718" i="7"/>
  <c r="M718" i="7"/>
  <c r="K718" i="7"/>
  <c r="J718" i="7"/>
  <c r="I718" i="7"/>
  <c r="AH717" i="7"/>
  <c r="M717" i="7"/>
  <c r="K717" i="7"/>
  <c r="J717" i="7"/>
  <c r="I717" i="7"/>
  <c r="AH716" i="7"/>
  <c r="M716" i="7"/>
  <c r="K716" i="7"/>
  <c r="J716" i="7"/>
  <c r="I716" i="7"/>
  <c r="AH715" i="7"/>
  <c r="M715" i="7"/>
  <c r="K715" i="7"/>
  <c r="J715" i="7"/>
  <c r="I715" i="7"/>
  <c r="AH714" i="7"/>
  <c r="M714" i="7"/>
  <c r="K714" i="7"/>
  <c r="J714" i="7"/>
  <c r="I714" i="7"/>
  <c r="AH713" i="7"/>
  <c r="M713" i="7"/>
  <c r="K713" i="7"/>
  <c r="J713" i="7"/>
  <c r="I713" i="7"/>
  <c r="O713" i="7" s="1"/>
  <c r="AH712" i="7"/>
  <c r="M712" i="7"/>
  <c r="K712" i="7"/>
  <c r="J712" i="7"/>
  <c r="I712" i="7"/>
  <c r="AH711" i="7"/>
  <c r="M711" i="7"/>
  <c r="K711" i="7"/>
  <c r="J711" i="7"/>
  <c r="I711" i="7"/>
  <c r="AH710" i="7"/>
  <c r="M710" i="7"/>
  <c r="K710" i="7"/>
  <c r="J710" i="7"/>
  <c r="I710" i="7"/>
  <c r="AH709" i="7"/>
  <c r="M709" i="7"/>
  <c r="K709" i="7"/>
  <c r="J709" i="7"/>
  <c r="I709" i="7"/>
  <c r="AH708" i="7"/>
  <c r="M708" i="7"/>
  <c r="K708" i="7"/>
  <c r="J708" i="7"/>
  <c r="I708" i="7"/>
  <c r="AH707" i="7"/>
  <c r="M707" i="7"/>
  <c r="K707" i="7"/>
  <c r="J707" i="7"/>
  <c r="I707" i="7"/>
  <c r="AH706" i="7"/>
  <c r="M706" i="7"/>
  <c r="K706" i="7"/>
  <c r="J706" i="7"/>
  <c r="I706" i="7"/>
  <c r="AH705" i="7"/>
  <c r="M705" i="7"/>
  <c r="K705" i="7"/>
  <c r="J705" i="7"/>
  <c r="AC705" i="7" s="1"/>
  <c r="I705" i="7"/>
  <c r="AH704" i="7"/>
  <c r="M704" i="7"/>
  <c r="K704" i="7"/>
  <c r="J704" i="7"/>
  <c r="I704" i="7"/>
  <c r="AH703" i="7"/>
  <c r="M703" i="7"/>
  <c r="K703" i="7"/>
  <c r="J703" i="7"/>
  <c r="I703" i="7"/>
  <c r="AH702" i="7"/>
  <c r="M702" i="7"/>
  <c r="K702" i="7"/>
  <c r="J702" i="7"/>
  <c r="I702" i="7"/>
  <c r="AH701" i="7"/>
  <c r="M701" i="7"/>
  <c r="K701" i="7"/>
  <c r="J701" i="7"/>
  <c r="I701" i="7"/>
  <c r="AH700" i="7"/>
  <c r="M700" i="7"/>
  <c r="K700" i="7"/>
  <c r="J700" i="7"/>
  <c r="I700" i="7"/>
  <c r="AH699" i="7"/>
  <c r="M699" i="7"/>
  <c r="K699" i="7"/>
  <c r="J699" i="7"/>
  <c r="I699" i="7"/>
  <c r="AH698" i="7"/>
  <c r="M698" i="7"/>
  <c r="K698" i="7"/>
  <c r="J698" i="7"/>
  <c r="I698" i="7"/>
  <c r="AH697" i="7"/>
  <c r="M697" i="7"/>
  <c r="K697" i="7"/>
  <c r="J697" i="7"/>
  <c r="I697" i="7"/>
  <c r="AH696" i="7"/>
  <c r="M696" i="7"/>
  <c r="K696" i="7"/>
  <c r="J696" i="7"/>
  <c r="I696" i="7"/>
  <c r="AH695" i="7"/>
  <c r="M695" i="7"/>
  <c r="K695" i="7"/>
  <c r="J695" i="7"/>
  <c r="I695" i="7"/>
  <c r="AH694" i="7"/>
  <c r="M694" i="7"/>
  <c r="K694" i="7"/>
  <c r="J694" i="7"/>
  <c r="I694" i="7"/>
  <c r="AH693" i="7"/>
  <c r="M693" i="7"/>
  <c r="K693" i="7"/>
  <c r="J693" i="7"/>
  <c r="I693" i="7"/>
  <c r="AH692" i="7"/>
  <c r="M692" i="7"/>
  <c r="K692" i="7"/>
  <c r="J692" i="7"/>
  <c r="I692" i="7"/>
  <c r="AH691" i="7"/>
  <c r="M691" i="7"/>
  <c r="K691" i="7"/>
  <c r="J691" i="7"/>
  <c r="I691" i="7"/>
  <c r="AH690" i="7"/>
  <c r="M690" i="7"/>
  <c r="K690" i="7"/>
  <c r="J690" i="7"/>
  <c r="I690" i="7"/>
  <c r="AH689" i="7"/>
  <c r="M689" i="7"/>
  <c r="K689" i="7"/>
  <c r="J689" i="7"/>
  <c r="I689" i="7"/>
  <c r="AH688" i="7"/>
  <c r="M688" i="7"/>
  <c r="K688" i="7"/>
  <c r="J688" i="7"/>
  <c r="I688" i="7"/>
  <c r="AH687" i="7"/>
  <c r="M687" i="7"/>
  <c r="K687" i="7"/>
  <c r="J687" i="7"/>
  <c r="I687" i="7"/>
  <c r="AH686" i="7"/>
  <c r="M686" i="7"/>
  <c r="K686" i="7"/>
  <c r="J686" i="7"/>
  <c r="I686" i="7"/>
  <c r="AH685" i="7"/>
  <c r="M685" i="7"/>
  <c r="K685" i="7"/>
  <c r="J685" i="7"/>
  <c r="I685" i="7"/>
  <c r="AH684" i="7"/>
  <c r="M684" i="7"/>
  <c r="K684" i="7"/>
  <c r="J684" i="7"/>
  <c r="I684" i="7"/>
  <c r="AH683" i="7"/>
  <c r="M683" i="7"/>
  <c r="K683" i="7"/>
  <c r="J683" i="7"/>
  <c r="I683" i="7"/>
  <c r="AH682" i="7"/>
  <c r="M682" i="7"/>
  <c r="K682" i="7"/>
  <c r="J682" i="7"/>
  <c r="I682" i="7"/>
  <c r="AH681" i="7"/>
  <c r="M681" i="7"/>
  <c r="K681" i="7"/>
  <c r="J681" i="7"/>
  <c r="I681" i="7"/>
  <c r="AH680" i="7"/>
  <c r="M680" i="7"/>
  <c r="K680" i="7"/>
  <c r="J680" i="7"/>
  <c r="I680" i="7"/>
  <c r="AH679" i="7"/>
  <c r="M679" i="7"/>
  <c r="K679" i="7"/>
  <c r="J679" i="7"/>
  <c r="I679" i="7"/>
  <c r="AH678" i="7"/>
  <c r="M678" i="7"/>
  <c r="K678" i="7"/>
  <c r="J678" i="7"/>
  <c r="I678" i="7"/>
  <c r="AH677" i="7"/>
  <c r="M677" i="7"/>
  <c r="K677" i="7"/>
  <c r="J677" i="7"/>
  <c r="I677" i="7"/>
  <c r="AH676" i="7"/>
  <c r="M676" i="7"/>
  <c r="K676" i="7"/>
  <c r="J676" i="7"/>
  <c r="I676" i="7"/>
  <c r="AH675" i="7"/>
  <c r="M675" i="7"/>
  <c r="K675" i="7"/>
  <c r="J675" i="7"/>
  <c r="I675" i="7"/>
  <c r="AH674" i="7"/>
  <c r="M674" i="7"/>
  <c r="K674" i="7"/>
  <c r="J674" i="7"/>
  <c r="I674" i="7"/>
  <c r="AH673" i="7"/>
  <c r="M673" i="7"/>
  <c r="K673" i="7"/>
  <c r="J673" i="7"/>
  <c r="I673" i="7"/>
  <c r="AH672" i="7"/>
  <c r="M672" i="7"/>
  <c r="K672" i="7"/>
  <c r="J672" i="7"/>
  <c r="I672" i="7"/>
  <c r="AH671" i="7"/>
  <c r="M671" i="7"/>
  <c r="K671" i="7"/>
  <c r="J671" i="7"/>
  <c r="I671" i="7"/>
  <c r="AH670" i="7"/>
  <c r="M670" i="7"/>
  <c r="K670" i="7"/>
  <c r="J670" i="7"/>
  <c r="I670" i="7"/>
  <c r="AH669" i="7"/>
  <c r="M669" i="7"/>
  <c r="K669" i="7"/>
  <c r="J669" i="7"/>
  <c r="I669" i="7"/>
  <c r="AH668" i="7"/>
  <c r="M668" i="7"/>
  <c r="K668" i="7"/>
  <c r="J668" i="7"/>
  <c r="I668" i="7"/>
  <c r="AH667" i="7"/>
  <c r="M667" i="7"/>
  <c r="K667" i="7"/>
  <c r="J667" i="7"/>
  <c r="AC667" i="7" s="1"/>
  <c r="I667" i="7"/>
  <c r="AH666" i="7"/>
  <c r="M666" i="7"/>
  <c r="K666" i="7"/>
  <c r="J666" i="7"/>
  <c r="I666" i="7"/>
  <c r="AH665" i="7"/>
  <c r="M665" i="7"/>
  <c r="K665" i="7"/>
  <c r="J665" i="7"/>
  <c r="I665" i="7"/>
  <c r="AH664" i="7"/>
  <c r="M664" i="7"/>
  <c r="K664" i="7"/>
  <c r="J664" i="7"/>
  <c r="I664" i="7"/>
  <c r="AH663" i="7"/>
  <c r="M663" i="7"/>
  <c r="K663" i="7"/>
  <c r="J663" i="7"/>
  <c r="I663" i="7"/>
  <c r="AH662" i="7"/>
  <c r="M662" i="7"/>
  <c r="K662" i="7"/>
  <c r="J662" i="7"/>
  <c r="I662" i="7"/>
  <c r="AH661" i="7"/>
  <c r="M661" i="7"/>
  <c r="K661" i="7"/>
  <c r="J661" i="7"/>
  <c r="I661" i="7"/>
  <c r="AH660" i="7"/>
  <c r="M660" i="7"/>
  <c r="K660" i="7"/>
  <c r="J660" i="7"/>
  <c r="I660" i="7"/>
  <c r="AH659" i="7"/>
  <c r="M659" i="7"/>
  <c r="K659" i="7"/>
  <c r="J659" i="7"/>
  <c r="I659" i="7"/>
  <c r="AH658" i="7"/>
  <c r="M658" i="7"/>
  <c r="K658" i="7"/>
  <c r="J658" i="7"/>
  <c r="I658" i="7"/>
  <c r="AH657" i="7"/>
  <c r="M657" i="7"/>
  <c r="K657" i="7"/>
  <c r="J657" i="7"/>
  <c r="I657" i="7"/>
  <c r="AH656" i="7"/>
  <c r="M656" i="7"/>
  <c r="K656" i="7"/>
  <c r="J656" i="7"/>
  <c r="I656" i="7"/>
  <c r="AH655" i="7"/>
  <c r="M655" i="7"/>
  <c r="K655" i="7"/>
  <c r="J655" i="7"/>
  <c r="I655" i="7"/>
  <c r="AH654" i="7"/>
  <c r="M654" i="7"/>
  <c r="K654" i="7"/>
  <c r="J654" i="7"/>
  <c r="I654" i="7"/>
  <c r="AH653" i="7"/>
  <c r="M653" i="7"/>
  <c r="K653" i="7"/>
  <c r="J653" i="7"/>
  <c r="I653" i="7"/>
  <c r="AH652" i="7"/>
  <c r="M652" i="7"/>
  <c r="K652" i="7"/>
  <c r="J652" i="7"/>
  <c r="I652" i="7"/>
  <c r="AC652" i="7" s="1"/>
  <c r="AH651" i="7"/>
  <c r="M651" i="7"/>
  <c r="K651" i="7"/>
  <c r="J651" i="7"/>
  <c r="I651" i="7"/>
  <c r="AH650" i="7"/>
  <c r="M650" i="7"/>
  <c r="K650" i="7"/>
  <c r="J650" i="7"/>
  <c r="I650" i="7"/>
  <c r="AH649" i="7"/>
  <c r="M649" i="7"/>
  <c r="K649" i="7"/>
  <c r="J649" i="7"/>
  <c r="I649" i="7"/>
  <c r="AH648" i="7"/>
  <c r="M648" i="7"/>
  <c r="K648" i="7"/>
  <c r="J648" i="7"/>
  <c r="I648" i="7"/>
  <c r="AH647" i="7"/>
  <c r="M647" i="7"/>
  <c r="K647" i="7"/>
  <c r="J647" i="7"/>
  <c r="I647" i="7"/>
  <c r="AH646" i="7"/>
  <c r="M646" i="7"/>
  <c r="K646" i="7"/>
  <c r="J646" i="7"/>
  <c r="I646" i="7"/>
  <c r="AH645" i="7"/>
  <c r="M645" i="7"/>
  <c r="K645" i="7"/>
  <c r="J645" i="7"/>
  <c r="I645" i="7"/>
  <c r="AH644" i="7"/>
  <c r="M644" i="7"/>
  <c r="K644" i="7"/>
  <c r="J644" i="7"/>
  <c r="I644" i="7"/>
  <c r="AH643" i="7"/>
  <c r="M643" i="7"/>
  <c r="K643" i="7"/>
  <c r="J643" i="7"/>
  <c r="I643" i="7"/>
  <c r="AH642" i="7"/>
  <c r="M642" i="7"/>
  <c r="K642" i="7"/>
  <c r="J642" i="7"/>
  <c r="I642" i="7"/>
  <c r="AH641" i="7"/>
  <c r="M641" i="7"/>
  <c r="K641" i="7"/>
  <c r="J641" i="7"/>
  <c r="I641" i="7"/>
  <c r="AH640" i="7"/>
  <c r="M640" i="7"/>
  <c r="K640" i="7"/>
  <c r="J640" i="7"/>
  <c r="I640" i="7"/>
  <c r="AH639" i="7"/>
  <c r="M639" i="7"/>
  <c r="K639" i="7"/>
  <c r="J639" i="7"/>
  <c r="I639" i="7"/>
  <c r="AH638" i="7"/>
  <c r="M638" i="7"/>
  <c r="K638" i="7"/>
  <c r="J638" i="7"/>
  <c r="I638" i="7"/>
  <c r="AH637" i="7"/>
  <c r="M637" i="7"/>
  <c r="K637" i="7"/>
  <c r="J637" i="7"/>
  <c r="I637" i="7"/>
  <c r="AC637" i="7" s="1"/>
  <c r="AH636" i="7"/>
  <c r="M636" i="7"/>
  <c r="K636" i="7"/>
  <c r="J636" i="7"/>
  <c r="I636" i="7"/>
  <c r="AH635" i="7"/>
  <c r="M635" i="7"/>
  <c r="K635" i="7"/>
  <c r="J635" i="7"/>
  <c r="I635" i="7"/>
  <c r="AH634" i="7"/>
  <c r="M634" i="7"/>
  <c r="K634" i="7"/>
  <c r="J634" i="7"/>
  <c r="I634" i="7"/>
  <c r="AH633" i="7"/>
  <c r="M633" i="7"/>
  <c r="K633" i="7"/>
  <c r="J633" i="7"/>
  <c r="I633" i="7"/>
  <c r="AH632" i="7"/>
  <c r="M632" i="7"/>
  <c r="K632" i="7"/>
  <c r="J632" i="7"/>
  <c r="I632" i="7"/>
  <c r="AH631" i="7"/>
  <c r="M631" i="7"/>
  <c r="K631" i="7"/>
  <c r="J631" i="7"/>
  <c r="I631" i="7"/>
  <c r="AH630" i="7"/>
  <c r="M630" i="7"/>
  <c r="K630" i="7"/>
  <c r="J630" i="7"/>
  <c r="I630" i="7"/>
  <c r="AH629" i="7"/>
  <c r="M629" i="7"/>
  <c r="K629" i="7"/>
  <c r="J629" i="7"/>
  <c r="I629" i="7"/>
  <c r="AH628" i="7"/>
  <c r="M628" i="7"/>
  <c r="K628" i="7"/>
  <c r="J628" i="7"/>
  <c r="I628" i="7"/>
  <c r="AH627" i="7"/>
  <c r="M627" i="7"/>
  <c r="K627" i="7"/>
  <c r="J627" i="7"/>
  <c r="I627" i="7"/>
  <c r="AH626" i="7"/>
  <c r="M626" i="7"/>
  <c r="K626" i="7"/>
  <c r="J626" i="7"/>
  <c r="I626" i="7"/>
  <c r="AH625" i="7"/>
  <c r="M625" i="7"/>
  <c r="K625" i="7"/>
  <c r="J625" i="7"/>
  <c r="I625" i="7"/>
  <c r="AH624" i="7"/>
  <c r="M624" i="7"/>
  <c r="K624" i="7"/>
  <c r="J624" i="7"/>
  <c r="I624" i="7"/>
  <c r="AH623" i="7"/>
  <c r="M623" i="7"/>
  <c r="J623" i="7"/>
  <c r="I623" i="7"/>
  <c r="AH622" i="7"/>
  <c r="M622" i="7"/>
  <c r="J622" i="7"/>
  <c r="I622" i="7"/>
  <c r="AH621" i="7"/>
  <c r="M621" i="7"/>
  <c r="J621" i="7"/>
  <c r="I621" i="7"/>
  <c r="AH620" i="7"/>
  <c r="M620" i="7"/>
  <c r="J620" i="7"/>
  <c r="I620" i="7"/>
  <c r="AH619" i="7"/>
  <c r="M619" i="7"/>
  <c r="J619" i="7"/>
  <c r="I619" i="7"/>
  <c r="AH618" i="7"/>
  <c r="M618" i="7"/>
  <c r="J618" i="7"/>
  <c r="I618" i="7"/>
  <c r="AH617" i="7"/>
  <c r="M617" i="7"/>
  <c r="J617" i="7"/>
  <c r="I617" i="7"/>
  <c r="AH616" i="7"/>
  <c r="M616" i="7"/>
  <c r="J616" i="7"/>
  <c r="I616" i="7"/>
  <c r="AH615" i="7"/>
  <c r="M615" i="7"/>
  <c r="J615" i="7"/>
  <c r="I615" i="7"/>
  <c r="AH614" i="7"/>
  <c r="M614" i="7"/>
  <c r="J614" i="7"/>
  <c r="I614" i="7"/>
  <c r="AH613" i="7"/>
  <c r="M613" i="7"/>
  <c r="J613" i="7"/>
  <c r="I613" i="7"/>
  <c r="AH612" i="7"/>
  <c r="M612" i="7"/>
  <c r="J612" i="7"/>
  <c r="I612" i="7"/>
  <c r="AH611" i="7"/>
  <c r="M611" i="7"/>
  <c r="J611" i="7"/>
  <c r="I611" i="7"/>
  <c r="AH610" i="7"/>
  <c r="M610" i="7"/>
  <c r="J610" i="7"/>
  <c r="I610" i="7"/>
  <c r="AH609" i="7"/>
  <c r="M609" i="7"/>
  <c r="J609" i="7"/>
  <c r="I609" i="7"/>
  <c r="AH608" i="7"/>
  <c r="M608" i="7"/>
  <c r="J608" i="7"/>
  <c r="I608" i="7"/>
  <c r="AC608" i="7" s="1"/>
  <c r="AH607" i="7"/>
  <c r="M607" i="7"/>
  <c r="J607" i="7"/>
  <c r="I607" i="7"/>
  <c r="AH606" i="7"/>
  <c r="M606" i="7"/>
  <c r="J606" i="7"/>
  <c r="I606" i="7"/>
  <c r="AH605" i="7"/>
  <c r="M605" i="7"/>
  <c r="J605" i="7"/>
  <c r="I605" i="7"/>
  <c r="AH604" i="7"/>
  <c r="M604" i="7"/>
  <c r="J604" i="7"/>
  <c r="I604" i="7"/>
  <c r="AH603" i="7"/>
  <c r="M603" i="7"/>
  <c r="J603" i="7"/>
  <c r="I603" i="7"/>
  <c r="AH602" i="7"/>
  <c r="M602" i="7"/>
  <c r="J602" i="7"/>
  <c r="I602" i="7"/>
  <c r="AH601" i="7"/>
  <c r="M601" i="7"/>
  <c r="J601" i="7"/>
  <c r="I601" i="7"/>
  <c r="AH600" i="7"/>
  <c r="M600" i="7"/>
  <c r="J600" i="7"/>
  <c r="I600" i="7"/>
  <c r="AH599" i="7"/>
  <c r="M599" i="7"/>
  <c r="J599" i="7"/>
  <c r="I599" i="7"/>
  <c r="AH598" i="7"/>
  <c r="M598" i="7"/>
  <c r="J598" i="7"/>
  <c r="I598" i="7"/>
  <c r="AH597" i="7"/>
  <c r="M597" i="7"/>
  <c r="J597" i="7"/>
  <c r="I597" i="7"/>
  <c r="AH596" i="7"/>
  <c r="M596" i="7"/>
  <c r="J596" i="7"/>
  <c r="I596" i="7"/>
  <c r="AH595" i="7"/>
  <c r="M595" i="7"/>
  <c r="J595" i="7"/>
  <c r="I595" i="7"/>
  <c r="AH594" i="7"/>
  <c r="M594" i="7"/>
  <c r="J594" i="7"/>
  <c r="I594" i="7"/>
  <c r="AH593" i="7"/>
  <c r="M593" i="7"/>
  <c r="J593" i="7"/>
  <c r="I593" i="7"/>
  <c r="AH592" i="7"/>
  <c r="M592" i="7"/>
  <c r="J592" i="7"/>
  <c r="I592" i="7"/>
  <c r="AH591" i="7"/>
  <c r="M591" i="7"/>
  <c r="J591" i="7"/>
  <c r="I591" i="7"/>
  <c r="AH590" i="7"/>
  <c r="M590" i="7"/>
  <c r="J590" i="7"/>
  <c r="I590" i="7"/>
  <c r="AH589" i="7"/>
  <c r="M589" i="7"/>
  <c r="J589" i="7"/>
  <c r="I589" i="7"/>
  <c r="AH588" i="7"/>
  <c r="M588" i="7"/>
  <c r="J588" i="7"/>
  <c r="I588" i="7"/>
  <c r="AH587" i="7"/>
  <c r="M587" i="7"/>
  <c r="J587" i="7"/>
  <c r="I587" i="7"/>
  <c r="AH586" i="7"/>
  <c r="M586" i="7"/>
  <c r="J586" i="7"/>
  <c r="I586" i="7"/>
  <c r="AH585" i="7"/>
  <c r="M585" i="7"/>
  <c r="J585" i="7"/>
  <c r="I585" i="7"/>
  <c r="AH584" i="7"/>
  <c r="M584" i="7"/>
  <c r="J584" i="7"/>
  <c r="I584" i="7"/>
  <c r="AH583" i="7"/>
  <c r="M583" i="7"/>
  <c r="J583" i="7"/>
  <c r="I583" i="7"/>
  <c r="AH582" i="7"/>
  <c r="M582" i="7"/>
  <c r="J582" i="7"/>
  <c r="I582" i="7"/>
  <c r="AH581" i="7"/>
  <c r="M581" i="7"/>
  <c r="J581" i="7"/>
  <c r="I581" i="7"/>
  <c r="AH580" i="7"/>
  <c r="M580" i="7"/>
  <c r="J580" i="7"/>
  <c r="I580" i="7"/>
  <c r="AH579" i="7"/>
  <c r="M579" i="7"/>
  <c r="J579" i="7"/>
  <c r="I579" i="7"/>
  <c r="AH578" i="7"/>
  <c r="M578" i="7"/>
  <c r="J578" i="7"/>
  <c r="I578" i="7"/>
  <c r="AH577" i="7"/>
  <c r="M577" i="7"/>
  <c r="J577" i="7"/>
  <c r="I577" i="7"/>
  <c r="AH576" i="7"/>
  <c r="M576" i="7"/>
  <c r="J576" i="7"/>
  <c r="I576" i="7"/>
  <c r="AH575" i="7"/>
  <c r="M575" i="7"/>
  <c r="J575" i="7"/>
  <c r="I575" i="7"/>
  <c r="AH574" i="7"/>
  <c r="M574" i="7"/>
  <c r="J574" i="7"/>
  <c r="I574" i="7"/>
  <c r="AH573" i="7"/>
  <c r="M573" i="7"/>
  <c r="J573" i="7"/>
  <c r="I573" i="7"/>
  <c r="AC573" i="7" s="1"/>
  <c r="AH572" i="7"/>
  <c r="M572" i="7"/>
  <c r="J572" i="7"/>
  <c r="I572" i="7"/>
  <c r="AH571" i="7"/>
  <c r="M571" i="7"/>
  <c r="J571" i="7"/>
  <c r="I571" i="7"/>
  <c r="AH570" i="7"/>
  <c r="M570" i="7"/>
  <c r="AC570" i="7"/>
  <c r="J570" i="7"/>
  <c r="I570" i="7"/>
  <c r="AH569" i="7"/>
  <c r="M569" i="7"/>
  <c r="J569" i="7"/>
  <c r="I569" i="7"/>
  <c r="AH568" i="7"/>
  <c r="M568" i="7"/>
  <c r="J568" i="7"/>
  <c r="I568" i="7"/>
  <c r="AH567" i="7"/>
  <c r="M567" i="7"/>
  <c r="AC567" i="7"/>
  <c r="J567" i="7"/>
  <c r="I567" i="7"/>
  <c r="AH566" i="7"/>
  <c r="M566" i="7"/>
  <c r="J566" i="7"/>
  <c r="I566" i="7"/>
  <c r="AH565" i="7"/>
  <c r="M565" i="7"/>
  <c r="J565" i="7"/>
  <c r="I565" i="7"/>
  <c r="AH564" i="7"/>
  <c r="M564" i="7"/>
  <c r="J564" i="7"/>
  <c r="I564" i="7"/>
  <c r="AH563" i="7"/>
  <c r="M563" i="7"/>
  <c r="J563" i="7"/>
  <c r="I563" i="7"/>
  <c r="AH562" i="7"/>
  <c r="M562" i="7"/>
  <c r="J562" i="7"/>
  <c r="I562" i="7"/>
  <c r="AH561" i="7"/>
  <c r="M561" i="7"/>
  <c r="J561" i="7"/>
  <c r="I561" i="7"/>
  <c r="AH560" i="7"/>
  <c r="M560" i="7"/>
  <c r="J560" i="7"/>
  <c r="I560" i="7"/>
  <c r="AH559" i="7"/>
  <c r="M559" i="7"/>
  <c r="J559" i="7"/>
  <c r="I559" i="7"/>
  <c r="AH558" i="7"/>
  <c r="M558" i="7"/>
  <c r="J558" i="7"/>
  <c r="I558" i="7"/>
  <c r="AH557" i="7"/>
  <c r="M557" i="7"/>
  <c r="J557" i="7"/>
  <c r="I557" i="7"/>
  <c r="AH556" i="7"/>
  <c r="M556" i="7"/>
  <c r="J556" i="7"/>
  <c r="I556" i="7"/>
  <c r="AH555" i="7"/>
  <c r="M555" i="7"/>
  <c r="J555" i="7"/>
  <c r="I555" i="7"/>
  <c r="AH554" i="7"/>
  <c r="M554" i="7"/>
  <c r="J554" i="7"/>
  <c r="I554" i="7"/>
  <c r="AH553" i="7"/>
  <c r="M553" i="7"/>
  <c r="J553" i="7"/>
  <c r="I553" i="7"/>
  <c r="AH552" i="7"/>
  <c r="M552" i="7"/>
  <c r="J552" i="7"/>
  <c r="I552" i="7"/>
  <c r="AH551" i="7"/>
  <c r="M551" i="7"/>
  <c r="J551" i="7"/>
  <c r="I551" i="7"/>
  <c r="AH550" i="7"/>
  <c r="M550" i="7"/>
  <c r="J550" i="7"/>
  <c r="I550" i="7"/>
  <c r="AH549" i="7"/>
  <c r="M549" i="7"/>
  <c r="J549" i="7"/>
  <c r="I549" i="7"/>
  <c r="AH548" i="7"/>
  <c r="M548" i="7"/>
  <c r="J548" i="7"/>
  <c r="I548" i="7"/>
  <c r="AH547" i="7"/>
  <c r="M547" i="7"/>
  <c r="J547" i="7"/>
  <c r="I547" i="7"/>
  <c r="AH546" i="7"/>
  <c r="M546" i="7"/>
  <c r="J546" i="7"/>
  <c r="I546" i="7"/>
  <c r="AH545" i="7"/>
  <c r="M545" i="7"/>
  <c r="J545" i="7"/>
  <c r="I545" i="7"/>
  <c r="AH544" i="7"/>
  <c r="M544" i="7"/>
  <c r="J544" i="7"/>
  <c r="I544" i="7"/>
  <c r="AH543" i="7"/>
  <c r="M543" i="7"/>
  <c r="J543" i="7"/>
  <c r="I543" i="7"/>
  <c r="AH542" i="7"/>
  <c r="M542" i="7"/>
  <c r="J542" i="7"/>
  <c r="I542" i="7"/>
  <c r="AH541" i="7"/>
  <c r="M541" i="7"/>
  <c r="J541" i="7"/>
  <c r="I541" i="7"/>
  <c r="AH540" i="7"/>
  <c r="M540" i="7"/>
  <c r="J540" i="7"/>
  <c r="I540" i="7"/>
  <c r="AH539" i="7"/>
  <c r="M539" i="7"/>
  <c r="J539" i="7"/>
  <c r="I539" i="7"/>
  <c r="AH538" i="7"/>
  <c r="M538" i="7"/>
  <c r="J538" i="7"/>
  <c r="I538" i="7"/>
  <c r="AH537" i="7"/>
  <c r="M537" i="7"/>
  <c r="J537" i="7"/>
  <c r="I537" i="7"/>
  <c r="AH536" i="7"/>
  <c r="M536" i="7"/>
  <c r="J536" i="7"/>
  <c r="I536" i="7"/>
  <c r="AH535" i="7"/>
  <c r="M535" i="7"/>
  <c r="J535" i="7"/>
  <c r="I535" i="7"/>
  <c r="AH534" i="7"/>
  <c r="M534" i="7"/>
  <c r="J534" i="7"/>
  <c r="I534" i="7"/>
  <c r="AH533" i="7"/>
  <c r="M533" i="7"/>
  <c r="J533" i="7"/>
  <c r="I533" i="7"/>
  <c r="AH532" i="7"/>
  <c r="M532" i="7"/>
  <c r="J532" i="7"/>
  <c r="I532" i="7"/>
  <c r="AH531" i="7"/>
  <c r="M531" i="7"/>
  <c r="J531" i="7"/>
  <c r="I531" i="7"/>
  <c r="AH530" i="7"/>
  <c r="M530" i="7"/>
  <c r="J530" i="7"/>
  <c r="I530" i="7"/>
  <c r="AH529" i="7"/>
  <c r="M529" i="7"/>
  <c r="J529" i="7"/>
  <c r="I529" i="7"/>
  <c r="AH528" i="7"/>
  <c r="M528" i="7"/>
  <c r="J528" i="7"/>
  <c r="I528" i="7"/>
  <c r="AH527" i="7"/>
  <c r="M527" i="7"/>
  <c r="J527" i="7"/>
  <c r="I527" i="7"/>
  <c r="AH526" i="7"/>
  <c r="M526" i="7"/>
  <c r="J526" i="7"/>
  <c r="I526" i="7"/>
  <c r="AH525" i="7"/>
  <c r="M525" i="7"/>
  <c r="J525" i="7"/>
  <c r="I525" i="7"/>
  <c r="AH524" i="7"/>
  <c r="M524" i="7"/>
  <c r="J524" i="7"/>
  <c r="I524" i="7"/>
  <c r="AH523" i="7"/>
  <c r="M523" i="7"/>
  <c r="J523" i="7"/>
  <c r="I523" i="7"/>
  <c r="AH522" i="7"/>
  <c r="M522" i="7"/>
  <c r="J522" i="7"/>
  <c r="I522" i="7"/>
  <c r="AH521" i="7"/>
  <c r="M521" i="7"/>
  <c r="J521" i="7"/>
  <c r="I521" i="7"/>
  <c r="AH520" i="7"/>
  <c r="M520" i="7"/>
  <c r="J520" i="7"/>
  <c r="I520" i="7"/>
  <c r="AH519" i="7"/>
  <c r="M519" i="7"/>
  <c r="J519" i="7"/>
  <c r="I519" i="7"/>
  <c r="AH518" i="7"/>
  <c r="M518" i="7"/>
  <c r="J518" i="7"/>
  <c r="I518" i="7"/>
  <c r="AH517" i="7"/>
  <c r="M517" i="7"/>
  <c r="J517" i="7"/>
  <c r="I517" i="7"/>
  <c r="AH516" i="7"/>
  <c r="M516" i="7"/>
  <c r="J516" i="7"/>
  <c r="I516" i="7"/>
  <c r="AH515" i="7"/>
  <c r="M515" i="7"/>
  <c r="J515" i="7"/>
  <c r="I515" i="7"/>
  <c r="AH514" i="7"/>
  <c r="M514" i="7"/>
  <c r="J514" i="7"/>
  <c r="I514" i="7"/>
  <c r="AH513" i="7"/>
  <c r="M513" i="7"/>
  <c r="J513" i="7"/>
  <c r="I513" i="7"/>
  <c r="AH512" i="7"/>
  <c r="M512" i="7"/>
  <c r="J512" i="7"/>
  <c r="I512" i="7"/>
  <c r="AH511" i="7"/>
  <c r="M511" i="7"/>
  <c r="J511" i="7"/>
  <c r="I511" i="7"/>
  <c r="AH510" i="7"/>
  <c r="M510" i="7"/>
  <c r="J510" i="7"/>
  <c r="I510" i="7"/>
  <c r="AH509" i="7"/>
  <c r="M509" i="7"/>
  <c r="J509" i="7"/>
  <c r="I509" i="7"/>
  <c r="AH508" i="7"/>
  <c r="M508" i="7"/>
  <c r="J508" i="7"/>
  <c r="I508" i="7"/>
  <c r="AH507" i="7"/>
  <c r="M507" i="7"/>
  <c r="J507" i="7"/>
  <c r="I507" i="7"/>
  <c r="AH506" i="7"/>
  <c r="M506" i="7"/>
  <c r="J506" i="7"/>
  <c r="I506" i="7"/>
  <c r="AH505" i="7"/>
  <c r="M505" i="7"/>
  <c r="J505" i="7"/>
  <c r="I505" i="7"/>
  <c r="AH504" i="7"/>
  <c r="M504" i="7"/>
  <c r="J504" i="7"/>
  <c r="I504" i="7"/>
  <c r="AH503" i="7"/>
  <c r="M503" i="7"/>
  <c r="J503" i="7"/>
  <c r="I503" i="7"/>
  <c r="AH502" i="7"/>
  <c r="M502" i="7"/>
  <c r="J502" i="7"/>
  <c r="I502" i="7"/>
  <c r="AH501" i="7"/>
  <c r="M501" i="7"/>
  <c r="J501" i="7"/>
  <c r="I501" i="7"/>
  <c r="AH500" i="7"/>
  <c r="M500" i="7"/>
  <c r="J500" i="7"/>
  <c r="I500" i="7"/>
  <c r="AH499" i="7"/>
  <c r="M499" i="7"/>
  <c r="J499" i="7"/>
  <c r="I499" i="7"/>
  <c r="AH498" i="7"/>
  <c r="M498" i="7"/>
  <c r="J498" i="7"/>
  <c r="I498" i="7"/>
  <c r="AH497" i="7"/>
  <c r="M497" i="7"/>
  <c r="J497" i="7"/>
  <c r="I497" i="7"/>
  <c r="AH496" i="7"/>
  <c r="M496" i="7"/>
  <c r="J496" i="7"/>
  <c r="I496" i="7"/>
  <c r="AH495" i="7"/>
  <c r="M495" i="7"/>
  <c r="J495" i="7"/>
  <c r="I495" i="7"/>
  <c r="AH494" i="7"/>
  <c r="M494" i="7"/>
  <c r="J494" i="7"/>
  <c r="I494" i="7"/>
  <c r="AH493" i="7"/>
  <c r="M493" i="7"/>
  <c r="J493" i="7"/>
  <c r="I493" i="7"/>
  <c r="AH492" i="7"/>
  <c r="M492" i="7"/>
  <c r="J492" i="7"/>
  <c r="I492" i="7"/>
  <c r="AH491" i="7"/>
  <c r="M491" i="7"/>
  <c r="J491" i="7"/>
  <c r="I491" i="7"/>
  <c r="AH490" i="7"/>
  <c r="M490" i="7"/>
  <c r="J490" i="7"/>
  <c r="I490" i="7"/>
  <c r="AH489" i="7"/>
  <c r="M489" i="7"/>
  <c r="J489" i="7"/>
  <c r="I489" i="7"/>
  <c r="AH488" i="7"/>
  <c r="M488" i="7"/>
  <c r="J488" i="7"/>
  <c r="I488" i="7"/>
  <c r="AH487" i="7"/>
  <c r="M487" i="7"/>
  <c r="J487" i="7"/>
  <c r="I487" i="7"/>
  <c r="AH486" i="7"/>
  <c r="M486" i="7"/>
  <c r="J486" i="7"/>
  <c r="I486" i="7"/>
  <c r="AH485" i="7"/>
  <c r="M485" i="7"/>
  <c r="J485" i="7"/>
  <c r="I485" i="7"/>
  <c r="AH484" i="7"/>
  <c r="M484" i="7"/>
  <c r="J484" i="7"/>
  <c r="I484" i="7"/>
  <c r="AH483" i="7"/>
  <c r="M483" i="7"/>
  <c r="J483" i="7"/>
  <c r="I483" i="7"/>
  <c r="AH482" i="7"/>
  <c r="M482" i="7"/>
  <c r="J482" i="7"/>
  <c r="I482" i="7"/>
  <c r="AH481" i="7"/>
  <c r="M481" i="7"/>
  <c r="J481" i="7"/>
  <c r="I481" i="7"/>
  <c r="AH480" i="7"/>
  <c r="M480" i="7"/>
  <c r="J480" i="7"/>
  <c r="I480" i="7"/>
  <c r="AH479" i="7"/>
  <c r="M479" i="7"/>
  <c r="J479" i="7"/>
  <c r="I479" i="7"/>
  <c r="AH478" i="7"/>
  <c r="M478" i="7"/>
  <c r="J478" i="7"/>
  <c r="I478" i="7"/>
  <c r="AH477" i="7"/>
  <c r="M477" i="7"/>
  <c r="J477" i="7"/>
  <c r="I477" i="7"/>
  <c r="AH476" i="7"/>
  <c r="M476" i="7"/>
  <c r="J476" i="7"/>
  <c r="I476" i="7"/>
  <c r="AH475" i="7"/>
  <c r="M475" i="7"/>
  <c r="J475" i="7"/>
  <c r="I475" i="7"/>
  <c r="AH474" i="7"/>
  <c r="M474" i="7"/>
  <c r="J474" i="7"/>
  <c r="I474" i="7"/>
  <c r="AH473" i="7"/>
  <c r="M473" i="7"/>
  <c r="J473" i="7"/>
  <c r="I473" i="7"/>
  <c r="AH472" i="7"/>
  <c r="M472" i="7"/>
  <c r="J472" i="7"/>
  <c r="I472" i="7"/>
  <c r="AH471" i="7"/>
  <c r="M471" i="7"/>
  <c r="J471" i="7"/>
  <c r="I471" i="7"/>
  <c r="AH470" i="7"/>
  <c r="M470" i="7"/>
  <c r="J470" i="7"/>
  <c r="I470" i="7"/>
  <c r="AH469" i="7"/>
  <c r="M469" i="7"/>
  <c r="J469" i="7"/>
  <c r="I469" i="7"/>
  <c r="AH468" i="7"/>
  <c r="M468" i="7"/>
  <c r="J468" i="7"/>
  <c r="I468" i="7"/>
  <c r="AH467" i="7"/>
  <c r="M467" i="7"/>
  <c r="J467" i="7"/>
  <c r="I467" i="7"/>
  <c r="AH466" i="7"/>
  <c r="M466" i="7"/>
  <c r="J466" i="7"/>
  <c r="I466" i="7"/>
  <c r="AH465" i="7"/>
  <c r="M465" i="7"/>
  <c r="J465" i="7"/>
  <c r="I465" i="7"/>
  <c r="AH464" i="7"/>
  <c r="M464" i="7"/>
  <c r="J464" i="7"/>
  <c r="I464" i="7"/>
  <c r="AH463" i="7"/>
  <c r="M463" i="7"/>
  <c r="J463" i="7"/>
  <c r="I463" i="7"/>
  <c r="AH462" i="7"/>
  <c r="M462" i="7"/>
  <c r="J462" i="7"/>
  <c r="I462" i="7"/>
  <c r="AH461" i="7"/>
  <c r="M461" i="7"/>
  <c r="J461" i="7"/>
  <c r="I461" i="7"/>
  <c r="AH460" i="7"/>
  <c r="M460" i="7"/>
  <c r="J460" i="7"/>
  <c r="I460" i="7"/>
  <c r="AH459" i="7"/>
  <c r="M459" i="7"/>
  <c r="J459" i="7"/>
  <c r="I459" i="7"/>
  <c r="AH458" i="7"/>
  <c r="M458" i="7"/>
  <c r="J458" i="7"/>
  <c r="I458" i="7"/>
  <c r="AH457" i="7"/>
  <c r="M457" i="7"/>
  <c r="J457" i="7"/>
  <c r="I457" i="7"/>
  <c r="AH456" i="7"/>
  <c r="M456" i="7"/>
  <c r="J456" i="7"/>
  <c r="I456" i="7"/>
  <c r="AH455" i="7"/>
  <c r="M455" i="7"/>
  <c r="J455" i="7"/>
  <c r="I455" i="7"/>
  <c r="AH454" i="7"/>
  <c r="M454" i="7"/>
  <c r="J454" i="7"/>
  <c r="I454" i="7"/>
  <c r="AH453" i="7"/>
  <c r="M453" i="7"/>
  <c r="J453" i="7"/>
  <c r="I453" i="7"/>
  <c r="AH452" i="7"/>
  <c r="M452" i="7"/>
  <c r="J452" i="7"/>
  <c r="I452" i="7"/>
  <c r="AH451" i="7"/>
  <c r="M451" i="7"/>
  <c r="J451" i="7"/>
  <c r="I451" i="7"/>
  <c r="AH450" i="7"/>
  <c r="M450" i="7"/>
  <c r="J450" i="7"/>
  <c r="I450" i="7"/>
  <c r="AH449" i="7"/>
  <c r="M449" i="7"/>
  <c r="J449" i="7"/>
  <c r="I449" i="7"/>
  <c r="AH448" i="7"/>
  <c r="M448" i="7"/>
  <c r="J448" i="7"/>
  <c r="I448" i="7"/>
  <c r="AH447" i="7"/>
  <c r="M447" i="7"/>
  <c r="J447" i="7"/>
  <c r="I447" i="7"/>
  <c r="AH446" i="7"/>
  <c r="M446" i="7"/>
  <c r="J446" i="7"/>
  <c r="I446" i="7"/>
  <c r="AH445" i="7"/>
  <c r="M445" i="7"/>
  <c r="J445" i="7"/>
  <c r="I445" i="7"/>
  <c r="AH444" i="7"/>
  <c r="M444" i="7"/>
  <c r="J444" i="7"/>
  <c r="I444" i="7"/>
  <c r="AH443" i="7"/>
  <c r="M443" i="7"/>
  <c r="J443" i="7"/>
  <c r="I443" i="7"/>
  <c r="AH442" i="7"/>
  <c r="M442" i="7"/>
  <c r="J442" i="7"/>
  <c r="I442" i="7"/>
  <c r="AH441" i="7"/>
  <c r="M441" i="7"/>
  <c r="J441" i="7"/>
  <c r="I441" i="7"/>
  <c r="AH440" i="7"/>
  <c r="M440" i="7"/>
  <c r="J440" i="7"/>
  <c r="I440" i="7"/>
  <c r="AH439" i="7"/>
  <c r="M439" i="7"/>
  <c r="J439" i="7"/>
  <c r="I439" i="7"/>
  <c r="AH438" i="7"/>
  <c r="M438" i="7"/>
  <c r="J438" i="7"/>
  <c r="I438" i="7"/>
  <c r="AH437" i="7"/>
  <c r="M437" i="7"/>
  <c r="J437" i="7"/>
  <c r="I437" i="7"/>
  <c r="AH436" i="7"/>
  <c r="M436" i="7"/>
  <c r="J436" i="7"/>
  <c r="I436" i="7"/>
  <c r="AH435" i="7"/>
  <c r="M435" i="7"/>
  <c r="J435" i="7"/>
  <c r="I435" i="7"/>
  <c r="AH434" i="7"/>
  <c r="M434" i="7"/>
  <c r="J434" i="7"/>
  <c r="I434" i="7"/>
  <c r="AH433" i="7"/>
  <c r="M433" i="7"/>
  <c r="J433" i="7"/>
  <c r="I433" i="7"/>
  <c r="AH432" i="7"/>
  <c r="M432" i="7"/>
  <c r="J432" i="7"/>
  <c r="I432" i="7"/>
  <c r="AH431" i="7"/>
  <c r="M431" i="7"/>
  <c r="J431" i="7"/>
  <c r="I431" i="7"/>
  <c r="AH430" i="7"/>
  <c r="M430" i="7"/>
  <c r="J430" i="7"/>
  <c r="I430" i="7"/>
  <c r="AH429" i="7"/>
  <c r="M429" i="7"/>
  <c r="J429" i="7"/>
  <c r="I429" i="7"/>
  <c r="AH428" i="7"/>
  <c r="M428" i="7"/>
  <c r="J428" i="7"/>
  <c r="I428" i="7"/>
  <c r="AH427" i="7"/>
  <c r="M427" i="7"/>
  <c r="J427" i="7"/>
  <c r="I427" i="7"/>
  <c r="AH426" i="7"/>
  <c r="M426" i="7"/>
  <c r="J426" i="7"/>
  <c r="I426" i="7"/>
  <c r="AH425" i="7"/>
  <c r="M425" i="7"/>
  <c r="J425" i="7"/>
  <c r="I425" i="7"/>
  <c r="AH424" i="7"/>
  <c r="M424" i="7"/>
  <c r="J424" i="7"/>
  <c r="I424" i="7"/>
  <c r="AH423" i="7"/>
  <c r="M423" i="7"/>
  <c r="J423" i="7"/>
  <c r="I423" i="7"/>
  <c r="AH422" i="7"/>
  <c r="M422" i="7"/>
  <c r="J422" i="7"/>
  <c r="I422" i="7"/>
  <c r="AH421" i="7"/>
  <c r="M421" i="7"/>
  <c r="J421" i="7"/>
  <c r="I421" i="7"/>
  <c r="AH420" i="7"/>
  <c r="M420" i="7"/>
  <c r="J420" i="7"/>
  <c r="I420" i="7"/>
  <c r="AH419" i="7"/>
  <c r="M419" i="7"/>
  <c r="J419" i="7"/>
  <c r="I419" i="7"/>
  <c r="AH418" i="7"/>
  <c r="M418" i="7"/>
  <c r="J418" i="7"/>
  <c r="I418" i="7"/>
  <c r="AH417" i="7"/>
  <c r="M417" i="7"/>
  <c r="J417" i="7"/>
  <c r="I417" i="7"/>
  <c r="AH416" i="7"/>
  <c r="M416" i="7"/>
  <c r="J416" i="7"/>
  <c r="I416" i="7"/>
  <c r="AH415" i="7"/>
  <c r="M415" i="7"/>
  <c r="J415" i="7"/>
  <c r="I415" i="7"/>
  <c r="AH414" i="7"/>
  <c r="M414" i="7"/>
  <c r="J414" i="7"/>
  <c r="I414" i="7"/>
  <c r="AH413" i="7"/>
  <c r="M413" i="7"/>
  <c r="J413" i="7"/>
  <c r="I413" i="7"/>
  <c r="AH412" i="7"/>
  <c r="M412" i="7"/>
  <c r="J412" i="7"/>
  <c r="I412" i="7"/>
  <c r="AH411" i="7"/>
  <c r="M411" i="7"/>
  <c r="J411" i="7"/>
  <c r="I411" i="7"/>
  <c r="AH410" i="7"/>
  <c r="M410" i="7"/>
  <c r="J410" i="7"/>
  <c r="I410" i="7"/>
  <c r="AH409" i="7"/>
  <c r="M409" i="7"/>
  <c r="J409" i="7"/>
  <c r="I409" i="7"/>
  <c r="AH408" i="7"/>
  <c r="M408" i="7"/>
  <c r="J408" i="7"/>
  <c r="I408" i="7"/>
  <c r="AH407" i="7"/>
  <c r="M407" i="7"/>
  <c r="J407" i="7"/>
  <c r="I407" i="7"/>
  <c r="AH406" i="7"/>
  <c r="M406" i="7"/>
  <c r="J406" i="7"/>
  <c r="I406" i="7"/>
  <c r="AH405" i="7"/>
  <c r="M405" i="7"/>
  <c r="J405" i="7"/>
  <c r="I405" i="7"/>
  <c r="AH404" i="7"/>
  <c r="M404" i="7"/>
  <c r="J404" i="7"/>
  <c r="I404" i="7"/>
  <c r="AH403" i="7"/>
  <c r="M403" i="7"/>
  <c r="J403" i="7"/>
  <c r="I403" i="7"/>
  <c r="AH402" i="7"/>
  <c r="M402" i="7"/>
  <c r="J402" i="7"/>
  <c r="I402" i="7"/>
  <c r="AC402" i="7" s="1"/>
  <c r="AH401" i="7"/>
  <c r="M401" i="7"/>
  <c r="J401" i="7"/>
  <c r="I401" i="7"/>
  <c r="AH400" i="7"/>
  <c r="M400" i="7"/>
  <c r="J400" i="7"/>
  <c r="I400" i="7"/>
  <c r="AH399" i="7"/>
  <c r="M399" i="7"/>
  <c r="J399" i="7"/>
  <c r="I399" i="7"/>
  <c r="AH398" i="7"/>
  <c r="M398" i="7"/>
  <c r="J398" i="7"/>
  <c r="I398" i="7"/>
  <c r="AH397" i="7"/>
  <c r="M397" i="7"/>
  <c r="J397" i="7"/>
  <c r="I397" i="7"/>
  <c r="AH396" i="7"/>
  <c r="M396" i="7"/>
  <c r="J396" i="7"/>
  <c r="I396" i="7"/>
  <c r="AH395" i="7"/>
  <c r="M395" i="7"/>
  <c r="J395" i="7"/>
  <c r="I395" i="7"/>
  <c r="AH394" i="7"/>
  <c r="M394" i="7"/>
  <c r="J394" i="7"/>
  <c r="I394" i="7"/>
  <c r="AH393" i="7"/>
  <c r="M393" i="7"/>
  <c r="J393" i="7"/>
  <c r="I393" i="7"/>
  <c r="AH392" i="7"/>
  <c r="M392" i="7"/>
  <c r="J392" i="7"/>
  <c r="I392" i="7"/>
  <c r="AH391" i="7"/>
  <c r="M391" i="7"/>
  <c r="J391" i="7"/>
  <c r="I391" i="7"/>
  <c r="AH390" i="7"/>
  <c r="M390" i="7"/>
  <c r="J390" i="7"/>
  <c r="I390" i="7"/>
  <c r="AH389" i="7"/>
  <c r="M389" i="7"/>
  <c r="J389" i="7"/>
  <c r="I389" i="7"/>
  <c r="AH388" i="7"/>
  <c r="M388" i="7"/>
  <c r="J388" i="7"/>
  <c r="I388" i="7"/>
  <c r="AH387" i="7"/>
  <c r="M387" i="7"/>
  <c r="J387" i="7"/>
  <c r="I387" i="7"/>
  <c r="AH386" i="7"/>
  <c r="M386" i="7"/>
  <c r="J386" i="7"/>
  <c r="I386" i="7"/>
  <c r="AH385" i="7"/>
  <c r="M385" i="7"/>
  <c r="J385" i="7"/>
  <c r="I385" i="7"/>
  <c r="AH384" i="7"/>
  <c r="M384" i="7"/>
  <c r="J384" i="7"/>
  <c r="I384" i="7"/>
  <c r="AH383" i="7"/>
  <c r="M383" i="7"/>
  <c r="J383" i="7"/>
  <c r="I383" i="7"/>
  <c r="AH382" i="7"/>
  <c r="M382" i="7"/>
  <c r="J382" i="7"/>
  <c r="I382" i="7"/>
  <c r="AH381" i="7"/>
  <c r="M381" i="7"/>
  <c r="J381" i="7"/>
  <c r="I381" i="7"/>
  <c r="AH380" i="7"/>
  <c r="M380" i="7"/>
  <c r="J380" i="7"/>
  <c r="I380" i="7"/>
  <c r="AH379" i="7"/>
  <c r="M379" i="7"/>
  <c r="J379" i="7"/>
  <c r="I379" i="7"/>
  <c r="AH378" i="7"/>
  <c r="M378" i="7"/>
  <c r="J378" i="7"/>
  <c r="I378" i="7"/>
  <c r="AH377" i="7"/>
  <c r="M377" i="7"/>
  <c r="J377" i="7"/>
  <c r="I377" i="7"/>
  <c r="AH376" i="7"/>
  <c r="M376" i="7"/>
  <c r="J376" i="7"/>
  <c r="I376" i="7"/>
  <c r="AH375" i="7"/>
  <c r="M375" i="7"/>
  <c r="J375" i="7"/>
  <c r="I375" i="7"/>
  <c r="AH374" i="7"/>
  <c r="M374" i="7"/>
  <c r="J374" i="7"/>
  <c r="I374" i="7"/>
  <c r="AH373" i="7"/>
  <c r="M373" i="7"/>
  <c r="J373" i="7"/>
  <c r="I373" i="7"/>
  <c r="AH372" i="7"/>
  <c r="M372" i="7"/>
  <c r="J372" i="7"/>
  <c r="I372" i="7"/>
  <c r="AH371" i="7"/>
  <c r="M371" i="7"/>
  <c r="J371" i="7"/>
  <c r="I371" i="7"/>
  <c r="AH370" i="7"/>
  <c r="M370" i="7"/>
  <c r="J370" i="7"/>
  <c r="I370" i="7"/>
  <c r="AH369" i="7"/>
  <c r="M369" i="7"/>
  <c r="J369" i="7"/>
  <c r="I369" i="7"/>
  <c r="AH368" i="7"/>
  <c r="M368" i="7"/>
  <c r="J368" i="7"/>
  <c r="I368" i="7"/>
  <c r="AH367" i="7"/>
  <c r="M367" i="7"/>
  <c r="J367" i="7"/>
  <c r="I367" i="7"/>
  <c r="AH366" i="7"/>
  <c r="M366" i="7"/>
  <c r="J366" i="7"/>
  <c r="I366" i="7"/>
  <c r="AH365" i="7"/>
  <c r="M365" i="7"/>
  <c r="J365" i="7"/>
  <c r="I365" i="7"/>
  <c r="AH364" i="7"/>
  <c r="M364" i="7"/>
  <c r="J364" i="7"/>
  <c r="I364" i="7"/>
  <c r="AH363" i="7"/>
  <c r="M363" i="7"/>
  <c r="J363" i="7"/>
  <c r="I363" i="7"/>
  <c r="AH362" i="7"/>
  <c r="M362" i="7"/>
  <c r="J362" i="7"/>
  <c r="I362" i="7"/>
  <c r="AH361" i="7"/>
  <c r="M361" i="7"/>
  <c r="J361" i="7"/>
  <c r="I361" i="7"/>
  <c r="AH360" i="7"/>
  <c r="M360" i="7"/>
  <c r="J360" i="7"/>
  <c r="I360" i="7"/>
  <c r="AH359" i="7"/>
  <c r="M359" i="7"/>
  <c r="J359" i="7"/>
  <c r="I359" i="7"/>
  <c r="AH358" i="7"/>
  <c r="M358" i="7"/>
  <c r="J358" i="7"/>
  <c r="I358" i="7"/>
  <c r="AH357" i="7"/>
  <c r="M357" i="7"/>
  <c r="J357" i="7"/>
  <c r="I357" i="7"/>
  <c r="AH356" i="7"/>
  <c r="M356" i="7"/>
  <c r="J356" i="7"/>
  <c r="I356" i="7"/>
  <c r="AH355" i="7"/>
  <c r="M355" i="7"/>
  <c r="J355" i="7"/>
  <c r="I355" i="7"/>
  <c r="AH354" i="7"/>
  <c r="M354" i="7"/>
  <c r="J354" i="7"/>
  <c r="I354" i="7"/>
  <c r="AH353" i="7"/>
  <c r="M353" i="7"/>
  <c r="J353" i="7"/>
  <c r="I353" i="7"/>
  <c r="AH352" i="7"/>
  <c r="M352" i="7"/>
  <c r="J352" i="7"/>
  <c r="I352" i="7"/>
  <c r="AH351" i="7"/>
  <c r="M351" i="7"/>
  <c r="J351" i="7"/>
  <c r="I351" i="7"/>
  <c r="AH350" i="7"/>
  <c r="M350" i="7"/>
  <c r="J350" i="7"/>
  <c r="I350" i="7"/>
  <c r="AH349" i="7"/>
  <c r="M349" i="7"/>
  <c r="J349" i="7"/>
  <c r="I349" i="7"/>
  <c r="AH348" i="7"/>
  <c r="M348" i="7"/>
  <c r="J348" i="7"/>
  <c r="I348" i="7"/>
  <c r="AH347" i="7"/>
  <c r="M347" i="7"/>
  <c r="J347" i="7"/>
  <c r="I347" i="7"/>
  <c r="AH346" i="7"/>
  <c r="M346" i="7"/>
  <c r="J346" i="7"/>
  <c r="I346" i="7"/>
  <c r="AH345" i="7"/>
  <c r="M345" i="7"/>
  <c r="J345" i="7"/>
  <c r="I345" i="7"/>
  <c r="AH344" i="7"/>
  <c r="M344" i="7"/>
  <c r="J344" i="7"/>
  <c r="I344" i="7"/>
  <c r="AH343" i="7"/>
  <c r="M343" i="7"/>
  <c r="J343" i="7"/>
  <c r="I343" i="7"/>
  <c r="AH342" i="7"/>
  <c r="M342" i="7"/>
  <c r="J342" i="7"/>
  <c r="I342" i="7"/>
  <c r="AH341" i="7"/>
  <c r="M341" i="7"/>
  <c r="J341" i="7"/>
  <c r="I341" i="7"/>
  <c r="AH340" i="7"/>
  <c r="M340" i="7"/>
  <c r="J340" i="7"/>
  <c r="I340" i="7"/>
  <c r="AH339" i="7"/>
  <c r="M339" i="7"/>
  <c r="J339" i="7"/>
  <c r="I339" i="7"/>
  <c r="AH338" i="7"/>
  <c r="M338" i="7"/>
  <c r="J338" i="7"/>
  <c r="I338" i="7"/>
  <c r="AH337" i="7"/>
  <c r="M337" i="7"/>
  <c r="J337" i="7"/>
  <c r="I337" i="7"/>
  <c r="AH336" i="7"/>
  <c r="M336" i="7"/>
  <c r="J336" i="7"/>
  <c r="I336" i="7"/>
  <c r="AH335" i="7"/>
  <c r="M335" i="7"/>
  <c r="J335" i="7"/>
  <c r="I335" i="7"/>
  <c r="AH334" i="7"/>
  <c r="M334" i="7"/>
  <c r="J334" i="7"/>
  <c r="I334" i="7"/>
  <c r="AH333" i="7"/>
  <c r="M333" i="7"/>
  <c r="J333" i="7"/>
  <c r="I333" i="7"/>
  <c r="AH332" i="7"/>
  <c r="M332" i="7"/>
  <c r="J332" i="7"/>
  <c r="I332" i="7"/>
  <c r="AH331" i="7"/>
  <c r="M331" i="7"/>
  <c r="J331" i="7"/>
  <c r="I331" i="7"/>
  <c r="AH330" i="7"/>
  <c r="M330" i="7"/>
  <c r="J330" i="7"/>
  <c r="I330" i="7"/>
  <c r="AH329" i="7"/>
  <c r="M329" i="7"/>
  <c r="J329" i="7"/>
  <c r="I329" i="7"/>
  <c r="AH328" i="7"/>
  <c r="M328" i="7"/>
  <c r="J328" i="7"/>
  <c r="I328" i="7"/>
  <c r="AH327" i="7"/>
  <c r="M327" i="7"/>
  <c r="J327" i="7"/>
  <c r="I327" i="7"/>
  <c r="AH326" i="7"/>
  <c r="M326" i="7"/>
  <c r="J326" i="7"/>
  <c r="I326" i="7"/>
  <c r="AH325" i="7"/>
  <c r="M325" i="7"/>
  <c r="J325" i="7"/>
  <c r="I325" i="7"/>
  <c r="AH324" i="7"/>
  <c r="M324" i="7"/>
  <c r="J324" i="7"/>
  <c r="I324" i="7"/>
  <c r="AH323" i="7"/>
  <c r="M323" i="7"/>
  <c r="J323" i="7"/>
  <c r="I323" i="7"/>
  <c r="AH322" i="7"/>
  <c r="M322" i="7"/>
  <c r="J322" i="7"/>
  <c r="I322" i="7"/>
  <c r="AH321" i="7"/>
  <c r="M321" i="7"/>
  <c r="J321" i="7"/>
  <c r="I321" i="7"/>
  <c r="AH320" i="7"/>
  <c r="M320" i="7"/>
  <c r="J320" i="7"/>
  <c r="I320" i="7"/>
  <c r="AH319" i="7"/>
  <c r="M319" i="7"/>
  <c r="J319" i="7"/>
  <c r="I319" i="7"/>
  <c r="AH318" i="7"/>
  <c r="M318" i="7"/>
  <c r="J318" i="7"/>
  <c r="I318" i="7"/>
  <c r="AH317" i="7"/>
  <c r="M317" i="7"/>
  <c r="J317" i="7"/>
  <c r="I317" i="7"/>
  <c r="AH316" i="7"/>
  <c r="M316" i="7"/>
  <c r="J316" i="7"/>
  <c r="I316" i="7"/>
  <c r="AH315" i="7"/>
  <c r="M315" i="7"/>
  <c r="J315" i="7"/>
  <c r="I315" i="7"/>
  <c r="AH314" i="7"/>
  <c r="M314" i="7"/>
  <c r="J314" i="7"/>
  <c r="I314" i="7"/>
  <c r="AH313" i="7"/>
  <c r="M313" i="7"/>
  <c r="J313" i="7"/>
  <c r="I313" i="7"/>
  <c r="AH312" i="7"/>
  <c r="M312" i="7"/>
  <c r="J312" i="7"/>
  <c r="I312" i="7"/>
  <c r="AH311" i="7"/>
  <c r="M311" i="7"/>
  <c r="J311" i="7"/>
  <c r="I311" i="7"/>
  <c r="AH310" i="7"/>
  <c r="M310" i="7"/>
  <c r="J310" i="7"/>
  <c r="I310" i="7"/>
  <c r="AH309" i="7"/>
  <c r="M309" i="7"/>
  <c r="J309" i="7"/>
  <c r="I309" i="7"/>
  <c r="AH308" i="7"/>
  <c r="M308" i="7"/>
  <c r="J308" i="7"/>
  <c r="I308" i="7"/>
  <c r="AH307" i="7"/>
  <c r="M307" i="7"/>
  <c r="J307" i="7"/>
  <c r="I307" i="7"/>
  <c r="AH306" i="7"/>
  <c r="M306" i="7"/>
  <c r="J306" i="7"/>
  <c r="I306" i="7"/>
  <c r="AH305" i="7"/>
  <c r="M305" i="7"/>
  <c r="J305" i="7"/>
  <c r="I305" i="7"/>
  <c r="AH304" i="7"/>
  <c r="M304" i="7"/>
  <c r="J304" i="7"/>
  <c r="I304" i="7"/>
  <c r="AH303" i="7"/>
  <c r="M303" i="7"/>
  <c r="J303" i="7"/>
  <c r="I303" i="7"/>
  <c r="AH302" i="7"/>
  <c r="M302" i="7"/>
  <c r="J302" i="7"/>
  <c r="I302" i="7"/>
  <c r="AH301" i="7"/>
  <c r="M301" i="7"/>
  <c r="J301" i="7"/>
  <c r="I301" i="7"/>
  <c r="AH300" i="7"/>
  <c r="M300" i="7"/>
  <c r="J300" i="7"/>
  <c r="I300" i="7"/>
  <c r="AH299" i="7"/>
  <c r="M299" i="7"/>
  <c r="J299" i="7"/>
  <c r="I299" i="7"/>
  <c r="AH298" i="7"/>
  <c r="M298" i="7"/>
  <c r="J298" i="7"/>
  <c r="I298" i="7"/>
  <c r="AH297" i="7"/>
  <c r="M297" i="7"/>
  <c r="J297" i="7"/>
  <c r="I297" i="7"/>
  <c r="AH296" i="7"/>
  <c r="M296" i="7"/>
  <c r="J296" i="7"/>
  <c r="I296" i="7"/>
  <c r="AH295" i="7"/>
  <c r="M295" i="7"/>
  <c r="J295" i="7"/>
  <c r="I295" i="7"/>
  <c r="AH294" i="7"/>
  <c r="M294" i="7"/>
  <c r="J294" i="7"/>
  <c r="I294" i="7"/>
  <c r="AH293" i="7"/>
  <c r="M293" i="7"/>
  <c r="J293" i="7"/>
  <c r="I293" i="7"/>
  <c r="AH292" i="7"/>
  <c r="M292" i="7"/>
  <c r="J292" i="7"/>
  <c r="I292" i="7"/>
  <c r="AH291" i="7"/>
  <c r="M291" i="7"/>
  <c r="J291" i="7"/>
  <c r="I291" i="7"/>
  <c r="AH290" i="7"/>
  <c r="M290" i="7"/>
  <c r="J290" i="7"/>
  <c r="I290" i="7"/>
  <c r="AH289" i="7"/>
  <c r="M289" i="7"/>
  <c r="J289" i="7"/>
  <c r="I289" i="7"/>
  <c r="AH288" i="7"/>
  <c r="M288" i="7"/>
  <c r="J288" i="7"/>
  <c r="I288" i="7"/>
  <c r="AH287" i="7"/>
  <c r="M287" i="7"/>
  <c r="J287" i="7"/>
  <c r="I287" i="7"/>
  <c r="AH286" i="7"/>
  <c r="M286" i="7"/>
  <c r="J286" i="7"/>
  <c r="I286" i="7"/>
  <c r="AH285" i="7"/>
  <c r="M285" i="7"/>
  <c r="J285" i="7"/>
  <c r="I285" i="7"/>
  <c r="AH284" i="7"/>
  <c r="M284" i="7"/>
  <c r="J284" i="7"/>
  <c r="I284" i="7"/>
  <c r="AH283" i="7"/>
  <c r="M283" i="7"/>
  <c r="J283" i="7"/>
  <c r="I283" i="7"/>
  <c r="AH282" i="7"/>
  <c r="M282" i="7"/>
  <c r="J282" i="7"/>
  <c r="I282" i="7"/>
  <c r="AH281" i="7"/>
  <c r="M281" i="7"/>
  <c r="J281" i="7"/>
  <c r="I281" i="7"/>
  <c r="AH280" i="7"/>
  <c r="M280" i="7"/>
  <c r="J280" i="7"/>
  <c r="I280" i="7"/>
  <c r="AH279" i="7"/>
  <c r="M279" i="7"/>
  <c r="J279" i="7"/>
  <c r="I279" i="7"/>
  <c r="AH278" i="7"/>
  <c r="M278" i="7"/>
  <c r="J278" i="7"/>
  <c r="I278" i="7"/>
  <c r="AH277" i="7"/>
  <c r="M277" i="7"/>
  <c r="J277" i="7"/>
  <c r="I277" i="7"/>
  <c r="AH276" i="7"/>
  <c r="M276" i="7"/>
  <c r="J276" i="7"/>
  <c r="I276" i="7"/>
  <c r="AH275" i="7"/>
  <c r="M275" i="7"/>
  <c r="J275" i="7"/>
  <c r="I275" i="7"/>
  <c r="AH274" i="7"/>
  <c r="M274" i="7"/>
  <c r="J274" i="7"/>
  <c r="I274" i="7"/>
  <c r="AH273" i="7"/>
  <c r="M273" i="7"/>
  <c r="J273" i="7"/>
  <c r="I273" i="7"/>
  <c r="AH272" i="7"/>
  <c r="M272" i="7"/>
  <c r="J272" i="7"/>
  <c r="I272" i="7"/>
  <c r="AH271" i="7"/>
  <c r="M271" i="7"/>
  <c r="J271" i="7"/>
  <c r="I271" i="7"/>
  <c r="AH270" i="7"/>
  <c r="M270" i="7"/>
  <c r="J270" i="7"/>
  <c r="I270" i="7"/>
  <c r="AH269" i="7"/>
  <c r="M269" i="7"/>
  <c r="J269" i="7"/>
  <c r="I269" i="7"/>
  <c r="AH268" i="7"/>
  <c r="M268" i="7"/>
  <c r="J268" i="7"/>
  <c r="I268" i="7"/>
  <c r="AH267" i="7"/>
  <c r="M267" i="7"/>
  <c r="J267" i="7"/>
  <c r="I267" i="7"/>
  <c r="AH266" i="7"/>
  <c r="M266" i="7"/>
  <c r="J266" i="7"/>
  <c r="I266" i="7"/>
  <c r="AH265" i="7"/>
  <c r="M265" i="7"/>
  <c r="J265" i="7"/>
  <c r="I265" i="7"/>
  <c r="AH264" i="7"/>
  <c r="M264" i="7"/>
  <c r="J264" i="7"/>
  <c r="I264" i="7"/>
  <c r="AH263" i="7"/>
  <c r="M263" i="7"/>
  <c r="AC263" i="7"/>
  <c r="J263" i="7"/>
  <c r="I263" i="7"/>
  <c r="AH262" i="7"/>
  <c r="M262" i="7"/>
  <c r="J262" i="7"/>
  <c r="I262" i="7"/>
  <c r="AH261" i="7"/>
  <c r="M261" i="7"/>
  <c r="J261" i="7"/>
  <c r="I261" i="7"/>
  <c r="AH260" i="7"/>
  <c r="M260" i="7"/>
  <c r="J260" i="7"/>
  <c r="I260" i="7"/>
  <c r="AH259" i="7"/>
  <c r="M259" i="7"/>
  <c r="J259" i="7"/>
  <c r="I259" i="7"/>
  <c r="AH258" i="7"/>
  <c r="M258" i="7"/>
  <c r="J258" i="7"/>
  <c r="I258" i="7"/>
  <c r="AH257" i="7"/>
  <c r="M257" i="7"/>
  <c r="J257" i="7"/>
  <c r="I257" i="7"/>
  <c r="AH256" i="7"/>
  <c r="M256" i="7"/>
  <c r="J256" i="7"/>
  <c r="I256" i="7"/>
  <c r="AH255" i="7"/>
  <c r="M255" i="7"/>
  <c r="J255" i="7"/>
  <c r="I255" i="7"/>
  <c r="AH254" i="7"/>
  <c r="M254" i="7"/>
  <c r="J254" i="7"/>
  <c r="I254" i="7"/>
  <c r="AH253" i="7"/>
  <c r="M253" i="7"/>
  <c r="J253" i="7"/>
  <c r="I253" i="7"/>
  <c r="AH252" i="7"/>
  <c r="M252" i="7"/>
  <c r="J252" i="7"/>
  <c r="I252" i="7"/>
  <c r="AH251" i="7"/>
  <c r="M251" i="7"/>
  <c r="J251" i="7"/>
  <c r="I251" i="7"/>
  <c r="AH250" i="7"/>
  <c r="M250" i="7"/>
  <c r="J250" i="7"/>
  <c r="I250" i="7"/>
  <c r="AH249" i="7"/>
  <c r="M249" i="7"/>
  <c r="J249" i="7"/>
  <c r="I249" i="7"/>
  <c r="AH248" i="7"/>
  <c r="M248" i="7"/>
  <c r="J248" i="7"/>
  <c r="I248" i="7"/>
  <c r="AH247" i="7"/>
  <c r="M247" i="7"/>
  <c r="J247" i="7"/>
  <c r="I247" i="7"/>
  <c r="AH246" i="7"/>
  <c r="M246" i="7"/>
  <c r="J246" i="7"/>
  <c r="I246" i="7"/>
  <c r="AH245" i="7"/>
  <c r="M245" i="7"/>
  <c r="J245" i="7"/>
  <c r="I245" i="7"/>
  <c r="AH244" i="7"/>
  <c r="M244" i="7"/>
  <c r="J244" i="7"/>
  <c r="I244" i="7"/>
  <c r="AH243" i="7"/>
  <c r="M243" i="7"/>
  <c r="J243" i="7"/>
  <c r="I243" i="7"/>
  <c r="AH242" i="7"/>
  <c r="M242" i="7"/>
  <c r="J242" i="7"/>
  <c r="I242" i="7"/>
  <c r="AH241" i="7"/>
  <c r="M241" i="7"/>
  <c r="J241" i="7"/>
  <c r="I241" i="7"/>
  <c r="AH240" i="7"/>
  <c r="M240" i="7"/>
  <c r="J240" i="7"/>
  <c r="I240" i="7"/>
  <c r="AH239" i="7"/>
  <c r="M239" i="7"/>
  <c r="J239" i="7"/>
  <c r="I239" i="7"/>
  <c r="AH238" i="7"/>
  <c r="M238" i="7"/>
  <c r="J238" i="7"/>
  <c r="I238" i="7"/>
  <c r="AH237" i="7"/>
  <c r="M237" i="7"/>
  <c r="J237" i="7"/>
  <c r="I237" i="7"/>
  <c r="AH236" i="7"/>
  <c r="M236" i="7"/>
  <c r="J236" i="7"/>
  <c r="I236" i="7"/>
  <c r="AH235" i="7"/>
  <c r="M235" i="7"/>
  <c r="J235" i="7"/>
  <c r="I235" i="7"/>
  <c r="AH234" i="7"/>
  <c r="M234" i="7"/>
  <c r="J234" i="7"/>
  <c r="I234" i="7"/>
  <c r="AH233" i="7"/>
  <c r="M233" i="7"/>
  <c r="J233" i="7"/>
  <c r="AC233" i="7" s="1"/>
  <c r="I233" i="7"/>
  <c r="AH232" i="7"/>
  <c r="M232" i="7"/>
  <c r="J232" i="7"/>
  <c r="I232" i="7"/>
  <c r="AH231" i="7"/>
  <c r="M231" i="7"/>
  <c r="J231" i="7"/>
  <c r="I231" i="7"/>
  <c r="AH230" i="7"/>
  <c r="M230" i="7"/>
  <c r="J230" i="7"/>
  <c r="I230" i="7"/>
  <c r="AH229" i="7"/>
  <c r="M229" i="7"/>
  <c r="J229" i="7"/>
  <c r="I229" i="7"/>
  <c r="AH228" i="7"/>
  <c r="M228" i="7"/>
  <c r="J228" i="7"/>
  <c r="I228" i="7"/>
  <c r="AH227" i="7"/>
  <c r="M227" i="7"/>
  <c r="J227" i="7"/>
  <c r="I227" i="7"/>
  <c r="AH226" i="7"/>
  <c r="M226" i="7"/>
  <c r="J226" i="7"/>
  <c r="I226" i="7"/>
  <c r="AH225" i="7"/>
  <c r="M225" i="7"/>
  <c r="J225" i="7"/>
  <c r="I225" i="7"/>
  <c r="AH224" i="7"/>
  <c r="M224" i="7"/>
  <c r="J224" i="7"/>
  <c r="I224" i="7"/>
  <c r="AH223" i="7"/>
  <c r="M223" i="7"/>
  <c r="J223" i="7"/>
  <c r="I223" i="7"/>
  <c r="AH222" i="7"/>
  <c r="M222" i="7"/>
  <c r="J222" i="7"/>
  <c r="I222" i="7"/>
  <c r="AH221" i="7"/>
  <c r="M221" i="7"/>
  <c r="J221" i="7"/>
  <c r="I221" i="7"/>
  <c r="AH220" i="7"/>
  <c r="M220" i="7"/>
  <c r="J220" i="7"/>
  <c r="I220" i="7"/>
  <c r="AC220" i="7" s="1"/>
  <c r="AH219" i="7"/>
  <c r="M219" i="7"/>
  <c r="J219" i="7"/>
  <c r="I219" i="7"/>
  <c r="AH218" i="7"/>
  <c r="M218" i="7"/>
  <c r="J218" i="7"/>
  <c r="I218" i="7"/>
  <c r="AH217" i="7"/>
  <c r="M217" i="7"/>
  <c r="J217" i="7"/>
  <c r="I217" i="7"/>
  <c r="AH216" i="7"/>
  <c r="M216" i="7"/>
  <c r="J216" i="7"/>
  <c r="I216" i="7"/>
  <c r="AH215" i="7"/>
  <c r="M215" i="7"/>
  <c r="J215" i="7"/>
  <c r="I215" i="7"/>
  <c r="AH214" i="7"/>
  <c r="M214" i="7"/>
  <c r="J214" i="7"/>
  <c r="I214" i="7"/>
  <c r="AH213" i="7"/>
  <c r="M213" i="7"/>
  <c r="J213" i="7"/>
  <c r="I213" i="7"/>
  <c r="AH212" i="7"/>
  <c r="M212" i="7"/>
  <c r="J212" i="7"/>
  <c r="I212" i="7"/>
  <c r="AH211" i="7"/>
  <c r="M211" i="7"/>
  <c r="J211" i="7"/>
  <c r="I211" i="7"/>
  <c r="AH210" i="7"/>
  <c r="M210" i="7"/>
  <c r="J210" i="7"/>
  <c r="I210" i="7"/>
  <c r="AH209" i="7"/>
  <c r="M209" i="7"/>
  <c r="J209" i="7"/>
  <c r="I209" i="7"/>
  <c r="AH208" i="7"/>
  <c r="M208" i="7"/>
  <c r="J208" i="7"/>
  <c r="I208" i="7"/>
  <c r="AH207" i="7"/>
  <c r="M207" i="7"/>
  <c r="J207" i="7"/>
  <c r="I207" i="7"/>
  <c r="AH206" i="7"/>
  <c r="M206" i="7"/>
  <c r="J206" i="7"/>
  <c r="I206" i="7"/>
  <c r="AH205" i="7"/>
  <c r="M205" i="7"/>
  <c r="J205" i="7"/>
  <c r="I205" i="7"/>
  <c r="AH204" i="7"/>
  <c r="M204" i="7"/>
  <c r="J204" i="7"/>
  <c r="I204" i="7"/>
  <c r="AH203" i="7"/>
  <c r="M203" i="7"/>
  <c r="J203" i="7"/>
  <c r="I203" i="7"/>
  <c r="AH202" i="7"/>
  <c r="M202" i="7"/>
  <c r="J202" i="7"/>
  <c r="I202" i="7"/>
  <c r="AH201" i="7"/>
  <c r="M201" i="7"/>
  <c r="J201" i="7"/>
  <c r="I201" i="7"/>
  <c r="AH200" i="7"/>
  <c r="M200" i="7"/>
  <c r="J200" i="7"/>
  <c r="I200" i="7"/>
  <c r="AH199" i="7"/>
  <c r="M199" i="7"/>
  <c r="J199" i="7"/>
  <c r="I199" i="7"/>
  <c r="AH198" i="7"/>
  <c r="M198" i="7"/>
  <c r="J198" i="7"/>
  <c r="I198" i="7"/>
  <c r="AH197" i="7"/>
  <c r="M197" i="7"/>
  <c r="J197" i="7"/>
  <c r="I197" i="7"/>
  <c r="AH196" i="7"/>
  <c r="M196" i="7"/>
  <c r="J196" i="7"/>
  <c r="I196" i="7"/>
  <c r="AH195" i="7"/>
  <c r="M195" i="7"/>
  <c r="J195" i="7"/>
  <c r="I195" i="7"/>
  <c r="AH194" i="7"/>
  <c r="M194" i="7"/>
  <c r="J194" i="7"/>
  <c r="I194" i="7"/>
  <c r="AH193" i="7"/>
  <c r="M193" i="7"/>
  <c r="J193" i="7"/>
  <c r="I193" i="7"/>
  <c r="AH192" i="7"/>
  <c r="M192" i="7"/>
  <c r="J192" i="7"/>
  <c r="I192" i="7"/>
  <c r="AH191" i="7"/>
  <c r="M191" i="7"/>
  <c r="J191" i="7"/>
  <c r="I191" i="7"/>
  <c r="AH190" i="7"/>
  <c r="M190" i="7"/>
  <c r="J190" i="7"/>
  <c r="I190" i="7"/>
  <c r="AH189" i="7"/>
  <c r="M189" i="7"/>
  <c r="J189" i="7"/>
  <c r="I189" i="7"/>
  <c r="AH188" i="7"/>
  <c r="M188" i="7"/>
  <c r="J188" i="7"/>
  <c r="I188" i="7"/>
  <c r="AH187" i="7"/>
  <c r="M187" i="7"/>
  <c r="J187" i="7"/>
  <c r="I187" i="7"/>
  <c r="AH186" i="7"/>
  <c r="M186" i="7"/>
  <c r="J186" i="7"/>
  <c r="I186" i="7"/>
  <c r="AH185" i="7"/>
  <c r="M185" i="7"/>
  <c r="J185" i="7"/>
  <c r="I185" i="7"/>
  <c r="AH184" i="7"/>
  <c r="M184" i="7"/>
  <c r="J184" i="7"/>
  <c r="I184" i="7"/>
  <c r="AH183" i="7"/>
  <c r="M183" i="7"/>
  <c r="J183" i="7"/>
  <c r="I183" i="7"/>
  <c r="AH182" i="7"/>
  <c r="M182" i="7"/>
  <c r="J182" i="7"/>
  <c r="I182" i="7"/>
  <c r="AH181" i="7"/>
  <c r="M181" i="7"/>
  <c r="J181" i="7"/>
  <c r="I181" i="7"/>
  <c r="AH180" i="7"/>
  <c r="M180" i="7"/>
  <c r="J180" i="7"/>
  <c r="I180" i="7"/>
  <c r="AH179" i="7"/>
  <c r="M179" i="7"/>
  <c r="J179" i="7"/>
  <c r="I179" i="7"/>
  <c r="AH178" i="7"/>
  <c r="M178" i="7"/>
  <c r="J178" i="7"/>
  <c r="I178" i="7"/>
  <c r="AH177" i="7"/>
  <c r="M177" i="7"/>
  <c r="J177" i="7"/>
  <c r="I177" i="7"/>
  <c r="AH176" i="7"/>
  <c r="M176" i="7"/>
  <c r="J176" i="7"/>
  <c r="I176" i="7"/>
  <c r="AH175" i="7"/>
  <c r="M175" i="7"/>
  <c r="J175" i="7"/>
  <c r="I175" i="7"/>
  <c r="AH174" i="7"/>
  <c r="M174" i="7"/>
  <c r="J174" i="7"/>
  <c r="I174" i="7"/>
  <c r="AH173" i="7"/>
  <c r="M173" i="7"/>
  <c r="J173" i="7"/>
  <c r="I173" i="7"/>
  <c r="AH172" i="7"/>
  <c r="M172" i="7"/>
  <c r="J172" i="7"/>
  <c r="I172" i="7"/>
  <c r="AH171" i="7"/>
  <c r="M171" i="7"/>
  <c r="J171" i="7"/>
  <c r="I171" i="7"/>
  <c r="AH170" i="7"/>
  <c r="M170" i="7"/>
  <c r="J170" i="7"/>
  <c r="I170" i="7"/>
  <c r="AH169" i="7"/>
  <c r="M169" i="7"/>
  <c r="J169" i="7"/>
  <c r="I169" i="7"/>
  <c r="AH168" i="7"/>
  <c r="M168" i="7"/>
  <c r="J168" i="7"/>
  <c r="I168" i="7"/>
  <c r="AH167" i="7"/>
  <c r="M167" i="7"/>
  <c r="J167" i="7"/>
  <c r="I167" i="7"/>
  <c r="AH166" i="7"/>
  <c r="M166" i="7"/>
  <c r="J166" i="7"/>
  <c r="I166" i="7"/>
  <c r="AH165" i="7"/>
  <c r="M165" i="7"/>
  <c r="J165" i="7"/>
  <c r="I165" i="7"/>
  <c r="AH164" i="7"/>
  <c r="M164" i="7"/>
  <c r="J164" i="7"/>
  <c r="I164" i="7"/>
  <c r="AH163" i="7"/>
  <c r="M163" i="7"/>
  <c r="J163" i="7"/>
  <c r="I163" i="7"/>
  <c r="AH162" i="7"/>
  <c r="M162" i="7"/>
  <c r="J162" i="7"/>
  <c r="I162" i="7"/>
  <c r="AH161" i="7"/>
  <c r="M161" i="7"/>
  <c r="J161" i="7"/>
  <c r="I161" i="7"/>
  <c r="AH160" i="7"/>
  <c r="M160" i="7"/>
  <c r="J160" i="7"/>
  <c r="I160" i="7"/>
  <c r="AH159" i="7"/>
  <c r="M159" i="7"/>
  <c r="J159" i="7"/>
  <c r="I159" i="7"/>
  <c r="AH158" i="7"/>
  <c r="M158" i="7"/>
  <c r="J158" i="7"/>
  <c r="I158" i="7"/>
  <c r="AH157" i="7"/>
  <c r="M157" i="7"/>
  <c r="J157" i="7"/>
  <c r="I157" i="7"/>
  <c r="AH156" i="7"/>
  <c r="M156" i="7"/>
  <c r="J156" i="7"/>
  <c r="I156" i="7"/>
  <c r="AH155" i="7"/>
  <c r="M155" i="7"/>
  <c r="J155" i="7"/>
  <c r="I155" i="7"/>
  <c r="AH154" i="7"/>
  <c r="M154" i="7"/>
  <c r="J154" i="7"/>
  <c r="I154" i="7"/>
  <c r="AH153" i="7"/>
  <c r="M153" i="7"/>
  <c r="J153" i="7"/>
  <c r="I153" i="7"/>
  <c r="AH152" i="7"/>
  <c r="M152" i="7"/>
  <c r="J152" i="7"/>
  <c r="I152" i="7"/>
  <c r="AH151" i="7"/>
  <c r="M151" i="7"/>
  <c r="J151" i="7"/>
  <c r="I151" i="7"/>
  <c r="AH150" i="7"/>
  <c r="M150" i="7"/>
  <c r="J150" i="7"/>
  <c r="I150" i="7"/>
  <c r="AH149" i="7"/>
  <c r="M149" i="7"/>
  <c r="J149" i="7"/>
  <c r="I149" i="7"/>
  <c r="AH148" i="7"/>
  <c r="M148" i="7"/>
  <c r="J148" i="7"/>
  <c r="I148" i="7"/>
  <c r="AH147" i="7"/>
  <c r="M147" i="7"/>
  <c r="J147" i="7"/>
  <c r="I147" i="7"/>
  <c r="AH146" i="7"/>
  <c r="M146" i="7"/>
  <c r="J146" i="7"/>
  <c r="I146" i="7"/>
  <c r="AH145" i="7"/>
  <c r="M145" i="7"/>
  <c r="J145" i="7"/>
  <c r="I145" i="7"/>
  <c r="AH144" i="7"/>
  <c r="M144" i="7"/>
  <c r="J144" i="7"/>
  <c r="I144" i="7"/>
  <c r="AH143" i="7"/>
  <c r="M143" i="7"/>
  <c r="J143" i="7"/>
  <c r="I143" i="7"/>
  <c r="AH142" i="7"/>
  <c r="M142" i="7"/>
  <c r="J142" i="7"/>
  <c r="I142" i="7"/>
  <c r="AH141" i="7"/>
  <c r="M141" i="7"/>
  <c r="J141" i="7"/>
  <c r="I141" i="7"/>
  <c r="AH140" i="7"/>
  <c r="M140" i="7"/>
  <c r="J140" i="7"/>
  <c r="I140" i="7"/>
  <c r="AH139" i="7"/>
  <c r="M139" i="7"/>
  <c r="J139" i="7"/>
  <c r="I139" i="7"/>
  <c r="AH138" i="7"/>
  <c r="M138" i="7"/>
  <c r="J138" i="7"/>
  <c r="I138" i="7"/>
  <c r="AH137" i="7"/>
  <c r="M137" i="7"/>
  <c r="J137" i="7"/>
  <c r="I137" i="7"/>
  <c r="AH136" i="7"/>
  <c r="M136" i="7"/>
  <c r="J136" i="7"/>
  <c r="I136" i="7"/>
  <c r="AH135" i="7"/>
  <c r="M135" i="7"/>
  <c r="J135" i="7"/>
  <c r="I135" i="7"/>
  <c r="AH134" i="7"/>
  <c r="M134" i="7"/>
  <c r="J134" i="7"/>
  <c r="I134" i="7"/>
  <c r="AH133" i="7"/>
  <c r="M133" i="7"/>
  <c r="J133" i="7"/>
  <c r="I133" i="7"/>
  <c r="AH132" i="7"/>
  <c r="M132" i="7"/>
  <c r="J132" i="7"/>
  <c r="I132" i="7"/>
  <c r="AC132" i="7" s="1"/>
  <c r="AH131" i="7"/>
  <c r="M131" i="7"/>
  <c r="J131" i="7"/>
  <c r="I131" i="7"/>
  <c r="AH130" i="7"/>
  <c r="M130" i="7"/>
  <c r="J130" i="7"/>
  <c r="I130" i="7"/>
  <c r="AH129" i="7"/>
  <c r="M129" i="7"/>
  <c r="J129" i="7"/>
  <c r="I129" i="7"/>
  <c r="AH128" i="7"/>
  <c r="M128" i="7"/>
  <c r="J128" i="7"/>
  <c r="I128" i="7"/>
  <c r="AH127" i="7"/>
  <c r="M127" i="7"/>
  <c r="J127" i="7"/>
  <c r="I127" i="7"/>
  <c r="AH126" i="7"/>
  <c r="M126" i="7"/>
  <c r="J126" i="7"/>
  <c r="I126" i="7"/>
  <c r="AH125" i="7"/>
  <c r="M125" i="7"/>
  <c r="J125" i="7"/>
  <c r="I125" i="7"/>
  <c r="AH124" i="7"/>
  <c r="M124" i="7"/>
  <c r="J124" i="7"/>
  <c r="I124" i="7"/>
  <c r="AC124" i="7" s="1"/>
  <c r="AH123" i="7"/>
  <c r="M123" i="7"/>
  <c r="J123" i="7"/>
  <c r="I123" i="7"/>
  <c r="AH122" i="7"/>
  <c r="M122" i="7"/>
  <c r="J122" i="7"/>
  <c r="I122" i="7"/>
  <c r="AH121" i="7"/>
  <c r="M121" i="7"/>
  <c r="J121" i="7"/>
  <c r="I121" i="7"/>
  <c r="AH120" i="7"/>
  <c r="M120" i="7"/>
  <c r="J120" i="7"/>
  <c r="I120" i="7"/>
  <c r="AH119" i="7"/>
  <c r="M119" i="7"/>
  <c r="J119" i="7"/>
  <c r="I119" i="7"/>
  <c r="AH118" i="7"/>
  <c r="M118" i="7"/>
  <c r="J118" i="7"/>
  <c r="I118" i="7"/>
  <c r="AH117" i="7"/>
  <c r="M117" i="7"/>
  <c r="J117" i="7"/>
  <c r="I117" i="7"/>
  <c r="AH116" i="7"/>
  <c r="M116" i="7"/>
  <c r="J116" i="7"/>
  <c r="I116" i="7"/>
  <c r="AH115" i="7"/>
  <c r="M115" i="7"/>
  <c r="J115" i="7"/>
  <c r="I115" i="7"/>
  <c r="AH114" i="7"/>
  <c r="M114" i="7"/>
  <c r="J114" i="7"/>
  <c r="I114" i="7"/>
  <c r="AH113" i="7"/>
  <c r="M113" i="7"/>
  <c r="J113" i="7"/>
  <c r="I113" i="7"/>
  <c r="AH112" i="7"/>
  <c r="M112" i="7"/>
  <c r="J112" i="7"/>
  <c r="I112" i="7"/>
  <c r="AH111" i="7"/>
  <c r="M111" i="7"/>
  <c r="J111" i="7"/>
  <c r="I111" i="7"/>
  <c r="AH110" i="7"/>
  <c r="M110" i="7"/>
  <c r="J110" i="7"/>
  <c r="I110" i="7"/>
  <c r="AH109" i="7"/>
  <c r="M109" i="7"/>
  <c r="J109" i="7"/>
  <c r="I109" i="7"/>
  <c r="AH108" i="7"/>
  <c r="M108" i="7"/>
  <c r="J108" i="7"/>
  <c r="I108" i="7"/>
  <c r="AH107" i="7"/>
  <c r="M107" i="7"/>
  <c r="J107" i="7"/>
  <c r="I107" i="7"/>
  <c r="AH106" i="7"/>
  <c r="M106" i="7"/>
  <c r="J106" i="7"/>
  <c r="I106" i="7"/>
  <c r="AH105" i="7"/>
  <c r="M105" i="7"/>
  <c r="J105" i="7"/>
  <c r="I105" i="7"/>
  <c r="AH104" i="7"/>
  <c r="M104" i="7"/>
  <c r="J104" i="7"/>
  <c r="I104" i="7"/>
  <c r="AH103" i="7"/>
  <c r="M103" i="7"/>
  <c r="J103" i="7"/>
  <c r="I103" i="7"/>
  <c r="AC103" i="7" s="1"/>
  <c r="AH102" i="7"/>
  <c r="M102" i="7"/>
  <c r="J102" i="7"/>
  <c r="I102" i="7"/>
  <c r="AH101" i="7"/>
  <c r="M101" i="7"/>
  <c r="J101" i="7"/>
  <c r="I101" i="7"/>
  <c r="AH100" i="7"/>
  <c r="M100" i="7"/>
  <c r="J100" i="7"/>
  <c r="I100" i="7"/>
  <c r="AH99" i="7"/>
  <c r="M99" i="7"/>
  <c r="J99" i="7"/>
  <c r="I99" i="7"/>
  <c r="AH98" i="7"/>
  <c r="M98" i="7"/>
  <c r="J98" i="7"/>
  <c r="I98" i="7"/>
  <c r="AH97" i="7"/>
  <c r="M97" i="7"/>
  <c r="J97" i="7"/>
  <c r="I97" i="7"/>
  <c r="AH96" i="7"/>
  <c r="M96" i="7"/>
  <c r="J96" i="7"/>
  <c r="I96" i="7"/>
  <c r="AH95" i="7"/>
  <c r="M95" i="7"/>
  <c r="J95" i="7"/>
  <c r="I95" i="7"/>
  <c r="AH94" i="7"/>
  <c r="M94" i="7"/>
  <c r="J94" i="7"/>
  <c r="I94" i="7"/>
  <c r="AH93" i="7"/>
  <c r="M93" i="7"/>
  <c r="J93" i="7"/>
  <c r="I93" i="7"/>
  <c r="AH92" i="7"/>
  <c r="M92" i="7"/>
  <c r="J92" i="7"/>
  <c r="I92" i="7"/>
  <c r="AH91" i="7"/>
  <c r="M91" i="7"/>
  <c r="J91" i="7"/>
  <c r="I91" i="7"/>
  <c r="AH90" i="7"/>
  <c r="M90" i="7"/>
  <c r="J90" i="7"/>
  <c r="I90" i="7"/>
  <c r="AH89" i="7"/>
  <c r="M89" i="7"/>
  <c r="J89" i="7"/>
  <c r="I89" i="7"/>
  <c r="AH88" i="7"/>
  <c r="M88" i="7"/>
  <c r="J88" i="7"/>
  <c r="I88" i="7"/>
  <c r="AH87" i="7"/>
  <c r="M87" i="7"/>
  <c r="J87" i="7"/>
  <c r="I87" i="7"/>
  <c r="AH86" i="7"/>
  <c r="M86" i="7"/>
  <c r="J86" i="7"/>
  <c r="I86" i="7"/>
  <c r="AH85" i="7"/>
  <c r="M85" i="7"/>
  <c r="J85" i="7"/>
  <c r="I85" i="7"/>
  <c r="AH84" i="7"/>
  <c r="M84" i="7"/>
  <c r="J84" i="7"/>
  <c r="I84" i="7"/>
  <c r="AH83" i="7"/>
  <c r="M83" i="7"/>
  <c r="J83" i="7"/>
  <c r="I83" i="7"/>
  <c r="AH82" i="7"/>
  <c r="M82" i="7"/>
  <c r="J82" i="7"/>
  <c r="I82" i="7"/>
  <c r="AH81" i="7"/>
  <c r="M81" i="7"/>
  <c r="J81" i="7"/>
  <c r="I81" i="7"/>
  <c r="AH80" i="7"/>
  <c r="M80" i="7"/>
  <c r="J80" i="7"/>
  <c r="I80" i="7"/>
  <c r="AH79" i="7"/>
  <c r="M79" i="7"/>
  <c r="J79" i="7"/>
  <c r="I79" i="7"/>
  <c r="AH78" i="7"/>
  <c r="M78" i="7"/>
  <c r="J78" i="7"/>
  <c r="I78" i="7"/>
  <c r="AH77" i="7"/>
  <c r="M77" i="7"/>
  <c r="J77" i="7"/>
  <c r="I77" i="7"/>
  <c r="AH76" i="7"/>
  <c r="M76" i="7"/>
  <c r="J76" i="7"/>
  <c r="I76" i="7"/>
  <c r="AH75" i="7"/>
  <c r="M75" i="7"/>
  <c r="J75" i="7"/>
  <c r="I75" i="7"/>
  <c r="AH74" i="7"/>
  <c r="M74" i="7"/>
  <c r="J74" i="7"/>
  <c r="I74" i="7"/>
  <c r="AH73" i="7"/>
  <c r="M73" i="7"/>
  <c r="J73" i="7"/>
  <c r="I73" i="7"/>
  <c r="AH72" i="7"/>
  <c r="M72" i="7"/>
  <c r="J72" i="7"/>
  <c r="I72" i="7"/>
  <c r="AH71" i="7"/>
  <c r="M71" i="7"/>
  <c r="J71" i="7"/>
  <c r="I71" i="7"/>
  <c r="AH70" i="7"/>
  <c r="M70" i="7"/>
  <c r="J70" i="7"/>
  <c r="I70" i="7"/>
  <c r="AH69" i="7"/>
  <c r="M69" i="7"/>
  <c r="J69" i="7"/>
  <c r="I69" i="7"/>
  <c r="AH68" i="7"/>
  <c r="M68" i="7"/>
  <c r="J68" i="7"/>
  <c r="I68" i="7"/>
  <c r="AH67" i="7"/>
  <c r="M67" i="7"/>
  <c r="J67" i="7"/>
  <c r="I67" i="7"/>
  <c r="AH66" i="7"/>
  <c r="M66" i="7"/>
  <c r="J66" i="7"/>
  <c r="I66" i="7"/>
  <c r="AH65" i="7"/>
  <c r="M65" i="7"/>
  <c r="J65" i="7"/>
  <c r="I65" i="7"/>
  <c r="AH64" i="7"/>
  <c r="M64" i="7"/>
  <c r="J64" i="7"/>
  <c r="I64" i="7"/>
  <c r="AH63" i="7"/>
  <c r="M63" i="7"/>
  <c r="J63" i="7"/>
  <c r="I63" i="7"/>
  <c r="AH62" i="7"/>
  <c r="M62" i="7"/>
  <c r="J62" i="7"/>
  <c r="I62" i="7"/>
  <c r="AH61" i="7"/>
  <c r="M61" i="7"/>
  <c r="J61" i="7"/>
  <c r="I61" i="7"/>
  <c r="AH60" i="7"/>
  <c r="M60" i="7"/>
  <c r="J60" i="7"/>
  <c r="I60" i="7"/>
  <c r="AH59" i="7"/>
  <c r="M59" i="7"/>
  <c r="J59" i="7"/>
  <c r="I59" i="7"/>
  <c r="AH58" i="7"/>
  <c r="M58" i="7"/>
  <c r="J58" i="7"/>
  <c r="I58" i="7"/>
  <c r="AH57" i="7"/>
  <c r="M57" i="7"/>
  <c r="J57" i="7"/>
  <c r="I57" i="7"/>
  <c r="AH56" i="7"/>
  <c r="M56" i="7"/>
  <c r="J56" i="7"/>
  <c r="I56" i="7"/>
  <c r="AH55" i="7"/>
  <c r="M55" i="7"/>
  <c r="J55" i="7"/>
  <c r="I55" i="7"/>
  <c r="AH54" i="7"/>
  <c r="M54" i="7"/>
  <c r="J54" i="7"/>
  <c r="I54" i="7"/>
  <c r="AH53" i="7"/>
  <c r="M53" i="7"/>
  <c r="J53" i="7"/>
  <c r="I53" i="7"/>
  <c r="AH52" i="7"/>
  <c r="M52" i="7"/>
  <c r="J52" i="7"/>
  <c r="I52" i="7"/>
  <c r="AH51" i="7"/>
  <c r="M51" i="7"/>
  <c r="J51" i="7"/>
  <c r="I51" i="7"/>
  <c r="AH50" i="7"/>
  <c r="M50" i="7"/>
  <c r="J50" i="7"/>
  <c r="I50" i="7"/>
  <c r="AH49" i="7"/>
  <c r="M49" i="7"/>
  <c r="J49" i="7"/>
  <c r="I49" i="7"/>
  <c r="AH48" i="7"/>
  <c r="M48" i="7"/>
  <c r="J48" i="7"/>
  <c r="I48" i="7"/>
  <c r="AH47" i="7"/>
  <c r="M47" i="7"/>
  <c r="J47" i="7"/>
  <c r="I47" i="7"/>
  <c r="AH46" i="7"/>
  <c r="M46" i="7"/>
  <c r="J46" i="7"/>
  <c r="I46" i="7"/>
  <c r="AH45" i="7"/>
  <c r="M45" i="7"/>
  <c r="J45" i="7"/>
  <c r="I45" i="7"/>
  <c r="AH44" i="7"/>
  <c r="M44" i="7"/>
  <c r="J44" i="7"/>
  <c r="I44" i="7"/>
  <c r="AH43" i="7"/>
  <c r="M43" i="7"/>
  <c r="J43" i="7"/>
  <c r="I43" i="7"/>
  <c r="AH42" i="7"/>
  <c r="M42" i="7"/>
  <c r="J42" i="7"/>
  <c r="I42" i="7"/>
  <c r="AH41" i="7"/>
  <c r="M41" i="7"/>
  <c r="J41" i="7"/>
  <c r="I41" i="7"/>
  <c r="AH40" i="7"/>
  <c r="M40" i="7"/>
  <c r="J40" i="7"/>
  <c r="I40" i="7"/>
  <c r="AH39" i="7"/>
  <c r="M39" i="7"/>
  <c r="J39" i="7"/>
  <c r="I39" i="7"/>
  <c r="AH38" i="7"/>
  <c r="M38" i="7"/>
  <c r="J38" i="7"/>
  <c r="I38" i="7"/>
  <c r="AH37" i="7"/>
  <c r="M37" i="7"/>
  <c r="J37" i="7"/>
  <c r="I37" i="7"/>
  <c r="AH36" i="7"/>
  <c r="M36" i="7"/>
  <c r="J36" i="7"/>
  <c r="I36" i="7"/>
  <c r="AH35" i="7"/>
  <c r="M35" i="7"/>
  <c r="J35" i="7"/>
  <c r="I35" i="7"/>
  <c r="AH34" i="7"/>
  <c r="M34" i="7"/>
  <c r="J34" i="7"/>
  <c r="I34" i="7"/>
  <c r="AH33" i="7"/>
  <c r="M33" i="7"/>
  <c r="J33" i="7"/>
  <c r="I33" i="7"/>
  <c r="AH32" i="7"/>
  <c r="M32" i="7"/>
  <c r="J32" i="7"/>
  <c r="I32" i="7"/>
  <c r="AC32" i="7" s="1"/>
  <c r="AH31" i="7"/>
  <c r="M31" i="7"/>
  <c r="J31" i="7"/>
  <c r="I31" i="7"/>
  <c r="AH30" i="7"/>
  <c r="M30" i="7"/>
  <c r="J30" i="7"/>
  <c r="I30" i="7"/>
  <c r="AH29" i="7"/>
  <c r="M29" i="7"/>
  <c r="J29" i="7"/>
  <c r="I29" i="7"/>
  <c r="AH28" i="7"/>
  <c r="M28" i="7"/>
  <c r="J28" i="7"/>
  <c r="I28" i="7"/>
  <c r="AH27" i="7"/>
  <c r="M27" i="7"/>
  <c r="J27" i="7"/>
  <c r="I27" i="7"/>
  <c r="AH26" i="7"/>
  <c r="M26" i="7"/>
  <c r="J26" i="7"/>
  <c r="I26" i="7"/>
  <c r="AH25" i="7"/>
  <c r="M25" i="7"/>
  <c r="J25" i="7"/>
  <c r="I25" i="7"/>
  <c r="AH24" i="7"/>
  <c r="M24" i="7"/>
  <c r="J24" i="7"/>
  <c r="I24" i="7"/>
  <c r="AH23" i="7"/>
  <c r="M23" i="7"/>
  <c r="J23" i="7"/>
  <c r="I23" i="7"/>
  <c r="AH22" i="7"/>
  <c r="M22" i="7"/>
  <c r="J22" i="7"/>
  <c r="I22" i="7"/>
  <c r="AH21" i="7"/>
  <c r="M21" i="7"/>
  <c r="J21" i="7"/>
  <c r="I21" i="7"/>
  <c r="AH20" i="7"/>
  <c r="M20" i="7"/>
  <c r="J20" i="7"/>
  <c r="I20" i="7"/>
  <c r="AH19" i="7"/>
  <c r="M19" i="7"/>
  <c r="J19" i="7"/>
  <c r="I19" i="7"/>
  <c r="AH18" i="7"/>
  <c r="M18" i="7"/>
  <c r="J18" i="7"/>
  <c r="I18" i="7"/>
  <c r="AH17" i="7"/>
  <c r="M17" i="7"/>
  <c r="J17" i="7"/>
  <c r="I17" i="7"/>
  <c r="AH16" i="7"/>
  <c r="M16" i="7"/>
  <c r="J16" i="7"/>
  <c r="I16" i="7"/>
  <c r="AH15" i="7"/>
  <c r="M15" i="7"/>
  <c r="J15" i="7"/>
  <c r="I15" i="7"/>
  <c r="AH14" i="7"/>
  <c r="M14" i="7"/>
  <c r="J14" i="7"/>
  <c r="I14" i="7"/>
  <c r="AH13" i="7"/>
  <c r="M13" i="7"/>
  <c r="J13" i="7"/>
  <c r="I13" i="7"/>
  <c r="AH12" i="7"/>
  <c r="M12" i="7"/>
  <c r="J12" i="7"/>
  <c r="I12" i="7"/>
  <c r="AH11" i="7"/>
  <c r="M11" i="7"/>
  <c r="J11" i="7"/>
  <c r="I11" i="7"/>
  <c r="AH10" i="7"/>
  <c r="M10" i="7"/>
  <c r="J10" i="7"/>
  <c r="I10" i="7"/>
  <c r="AH9" i="7"/>
  <c r="M9" i="7"/>
  <c r="J9" i="7"/>
  <c r="I9" i="7"/>
  <c r="AH8" i="7"/>
  <c r="M8" i="7"/>
  <c r="J8" i="7"/>
  <c r="I8" i="7"/>
  <c r="AH7" i="7"/>
  <c r="I7" i="7"/>
  <c r="AI6" i="7"/>
  <c r="T6" i="7"/>
  <c r="M5" i="7"/>
  <c r="L5" i="7"/>
  <c r="Z5" i="7" s="1"/>
  <c r="K5" i="7"/>
  <c r="Y5" i="7" s="1"/>
  <c r="J5" i="7"/>
  <c r="X5" i="7" s="1"/>
  <c r="I5" i="7"/>
  <c r="W5" i="7" s="1"/>
  <c r="AV382" i="20"/>
  <c r="AU382" i="20"/>
  <c r="AV381" i="20"/>
  <c r="AU381" i="20"/>
  <c r="AV380" i="20"/>
  <c r="AU380" i="20"/>
  <c r="AV379" i="20"/>
  <c r="AU379" i="20"/>
  <c r="AV378" i="20"/>
  <c r="AU378" i="20"/>
  <c r="AV377" i="20"/>
  <c r="AU377" i="20"/>
  <c r="AV376" i="20"/>
  <c r="AU376" i="20"/>
  <c r="AV375" i="20"/>
  <c r="AU375" i="20"/>
  <c r="AV374" i="20"/>
  <c r="AU374" i="20"/>
  <c r="AV373" i="20"/>
  <c r="AU373" i="20"/>
  <c r="AV372" i="20"/>
  <c r="AU372" i="20"/>
  <c r="AV371" i="20"/>
  <c r="AU371" i="20"/>
  <c r="AV370" i="20"/>
  <c r="AU370" i="20"/>
  <c r="AV369" i="20"/>
  <c r="AU369" i="20"/>
  <c r="AV368" i="20"/>
  <c r="AU368" i="20"/>
  <c r="AV367" i="20"/>
  <c r="AU367" i="20"/>
  <c r="AV366" i="20"/>
  <c r="AU366" i="20"/>
  <c r="AV365" i="20"/>
  <c r="AU365" i="20"/>
  <c r="AV364" i="20"/>
  <c r="AU364" i="20"/>
  <c r="AV363" i="20"/>
  <c r="AU363" i="20"/>
  <c r="AV362" i="20"/>
  <c r="AU362" i="20"/>
  <c r="AV361" i="20"/>
  <c r="AU361" i="20"/>
  <c r="AV360" i="20"/>
  <c r="AU360" i="20"/>
  <c r="AV359" i="20"/>
  <c r="AU359" i="20"/>
  <c r="AV358" i="20"/>
  <c r="AU358" i="20"/>
  <c r="AV357" i="20"/>
  <c r="AU357" i="20"/>
  <c r="AV356" i="20"/>
  <c r="AU356" i="20"/>
  <c r="AV355" i="20"/>
  <c r="AU355" i="20"/>
  <c r="AV354" i="20"/>
  <c r="AU354" i="20"/>
  <c r="AV353" i="20"/>
  <c r="AU353" i="20"/>
  <c r="AV352" i="20"/>
  <c r="AU352" i="20"/>
  <c r="AV351" i="20"/>
  <c r="AU351" i="20"/>
  <c r="AV350" i="20"/>
  <c r="AU350" i="20"/>
  <c r="AV349" i="20"/>
  <c r="AU349" i="20"/>
  <c r="AV348" i="20"/>
  <c r="AU348" i="20"/>
  <c r="AV347" i="20"/>
  <c r="AU347" i="20"/>
  <c r="AV346" i="20"/>
  <c r="AU346" i="20"/>
  <c r="AV345" i="20"/>
  <c r="AU345" i="20"/>
  <c r="AV344" i="20"/>
  <c r="AU344" i="20"/>
  <c r="AV343" i="20"/>
  <c r="AU343" i="20"/>
  <c r="AV342" i="20"/>
  <c r="AU342" i="20"/>
  <c r="AV341" i="20"/>
  <c r="AU341" i="20"/>
  <c r="AV340" i="20"/>
  <c r="AU340" i="20"/>
  <c r="AV339" i="20"/>
  <c r="AU339" i="20"/>
  <c r="AV338" i="20"/>
  <c r="AU338" i="20"/>
  <c r="AV337" i="20"/>
  <c r="AU337" i="20"/>
  <c r="AV336" i="20"/>
  <c r="AU336" i="20"/>
  <c r="AV335" i="20"/>
  <c r="AU335" i="20"/>
  <c r="AV334" i="20"/>
  <c r="AU334" i="20"/>
  <c r="AV333" i="20"/>
  <c r="AU333" i="20"/>
  <c r="AV332" i="20"/>
  <c r="AU332" i="20"/>
  <c r="AV331" i="20"/>
  <c r="AU331" i="20"/>
  <c r="AV330" i="20"/>
  <c r="AU330" i="20"/>
  <c r="AV329" i="20"/>
  <c r="AU329" i="20"/>
  <c r="AV328" i="20"/>
  <c r="AU328" i="20"/>
  <c r="AV327" i="20"/>
  <c r="AU327" i="20"/>
  <c r="AV326" i="20"/>
  <c r="AU326" i="20"/>
  <c r="AV325" i="20"/>
  <c r="AU325" i="20"/>
  <c r="AV324" i="20"/>
  <c r="AU324" i="20"/>
  <c r="AV323" i="20"/>
  <c r="AU323" i="20"/>
  <c r="AV322" i="20"/>
  <c r="AU322" i="20"/>
  <c r="AV321" i="20"/>
  <c r="AU321" i="20"/>
  <c r="AV320" i="20"/>
  <c r="AU320" i="20"/>
  <c r="AV319" i="20"/>
  <c r="AU319" i="20"/>
  <c r="AV318" i="20"/>
  <c r="AU318" i="20"/>
  <c r="AV317" i="20"/>
  <c r="AU317" i="20"/>
  <c r="AV316" i="20"/>
  <c r="AU316" i="20"/>
  <c r="AV315" i="20"/>
  <c r="AU315" i="20"/>
  <c r="AV314" i="20"/>
  <c r="AU314" i="20"/>
  <c r="AV313" i="20"/>
  <c r="AU313" i="20"/>
  <c r="AV312" i="20"/>
  <c r="AU312" i="20"/>
  <c r="AV311" i="20"/>
  <c r="AU311" i="20"/>
  <c r="AV310" i="20"/>
  <c r="AU310" i="20"/>
  <c r="AV309" i="20"/>
  <c r="AU309" i="20"/>
  <c r="AV308" i="20"/>
  <c r="AU308" i="20"/>
  <c r="AV307" i="20"/>
  <c r="AU307" i="20"/>
  <c r="AV306" i="20"/>
  <c r="AU306" i="20"/>
  <c r="AV305" i="20"/>
  <c r="AU305" i="20"/>
  <c r="AV304" i="20"/>
  <c r="AU304" i="20"/>
  <c r="AV303" i="20"/>
  <c r="AU303" i="20"/>
  <c r="AV302" i="20"/>
  <c r="AU302" i="20"/>
  <c r="AV301" i="20"/>
  <c r="AU301" i="20"/>
  <c r="AV300" i="20"/>
  <c r="AU300" i="20"/>
  <c r="AV299" i="20"/>
  <c r="AU299" i="20"/>
  <c r="AV298" i="20"/>
  <c r="AU298" i="20"/>
  <c r="AV297" i="20"/>
  <c r="AU297" i="20"/>
  <c r="AV296" i="20"/>
  <c r="AU296" i="20"/>
  <c r="AV295" i="20"/>
  <c r="AU295" i="20"/>
  <c r="AV294" i="20"/>
  <c r="AU294" i="20"/>
  <c r="AV293" i="20"/>
  <c r="AU293" i="20"/>
  <c r="AV292" i="20"/>
  <c r="AU292" i="20"/>
  <c r="AV291" i="20"/>
  <c r="AU291" i="20"/>
  <c r="AV290" i="20"/>
  <c r="AU290" i="20"/>
  <c r="AV289" i="20"/>
  <c r="AU289" i="20"/>
  <c r="AV288" i="20"/>
  <c r="AU288" i="20"/>
  <c r="AV287" i="20"/>
  <c r="AU287" i="20"/>
  <c r="AV286" i="20"/>
  <c r="AU286" i="20"/>
  <c r="AV285" i="20"/>
  <c r="AU285" i="20"/>
  <c r="AV284" i="20"/>
  <c r="AU284" i="20"/>
  <c r="AV283" i="20"/>
  <c r="AU283" i="20"/>
  <c r="AV282" i="20"/>
  <c r="AU282" i="20"/>
  <c r="AV281" i="20"/>
  <c r="AU281" i="20"/>
  <c r="AV280" i="20"/>
  <c r="AU280" i="20"/>
  <c r="AU279" i="20"/>
  <c r="AU278" i="20"/>
  <c r="AU277" i="20"/>
  <c r="AU276" i="20"/>
  <c r="AU275" i="20"/>
  <c r="AU274" i="20"/>
  <c r="AU273" i="20"/>
  <c r="AU272" i="20"/>
  <c r="AU271" i="20"/>
  <c r="AU270" i="20"/>
  <c r="AU269" i="20"/>
  <c r="AU268" i="20"/>
  <c r="AU267" i="20"/>
  <c r="AU266" i="20"/>
  <c r="AU265" i="20"/>
  <c r="AU264" i="20"/>
  <c r="AU263" i="20"/>
  <c r="AU262" i="20"/>
  <c r="AU261" i="20"/>
  <c r="AU260" i="20"/>
  <c r="AU259" i="20"/>
  <c r="AU258" i="20"/>
  <c r="AU257" i="20"/>
  <c r="AU256" i="20"/>
  <c r="AU255" i="20"/>
  <c r="AU254" i="20"/>
  <c r="AU253" i="20"/>
  <c r="AV252" i="20"/>
  <c r="AU252" i="20"/>
  <c r="AV251" i="20"/>
  <c r="AU251" i="20"/>
  <c r="AV250" i="20"/>
  <c r="AU250" i="20"/>
  <c r="AV249" i="20"/>
  <c r="AU249" i="20"/>
  <c r="AV248" i="20"/>
  <c r="AU248" i="20"/>
  <c r="AV247" i="20"/>
  <c r="AU247" i="20"/>
  <c r="AV246" i="20"/>
  <c r="AU246" i="20"/>
  <c r="AV245" i="20"/>
  <c r="AU245" i="20"/>
  <c r="AV244" i="20"/>
  <c r="AU244" i="20"/>
  <c r="AV243" i="20"/>
  <c r="AU243" i="20"/>
  <c r="AV242" i="20"/>
  <c r="AU242" i="20"/>
  <c r="AV241" i="20"/>
  <c r="AU241" i="20"/>
  <c r="AV240" i="20"/>
  <c r="AU240" i="20"/>
  <c r="AV239" i="20"/>
  <c r="AU239" i="20"/>
  <c r="AV238" i="20"/>
  <c r="AU238" i="20"/>
  <c r="AV237" i="20"/>
  <c r="AU237" i="20"/>
  <c r="AV236" i="20"/>
  <c r="AU236" i="20"/>
  <c r="AV235" i="20"/>
  <c r="AU235" i="20"/>
  <c r="AV234" i="20"/>
  <c r="AU234" i="20"/>
  <c r="AV233" i="20"/>
  <c r="AU233" i="20"/>
  <c r="AV232" i="20"/>
  <c r="AU232" i="20"/>
  <c r="AV231" i="20"/>
  <c r="AU231" i="20"/>
  <c r="AV230" i="20"/>
  <c r="AU230" i="20"/>
  <c r="AV229" i="20"/>
  <c r="AU229" i="20"/>
  <c r="AV228" i="20"/>
  <c r="AU228" i="20"/>
  <c r="AV227" i="20"/>
  <c r="AU227" i="20"/>
  <c r="AV226" i="20"/>
  <c r="AU226" i="20"/>
  <c r="AV225" i="20"/>
  <c r="AU225" i="20"/>
  <c r="AV224" i="20"/>
  <c r="AU224" i="20"/>
  <c r="AV223" i="20"/>
  <c r="AU223" i="20"/>
  <c r="AV222" i="20"/>
  <c r="AU222" i="20"/>
  <c r="AV221" i="20"/>
  <c r="AU221" i="20"/>
  <c r="AV220" i="20"/>
  <c r="AU220" i="20"/>
  <c r="AV219" i="20"/>
  <c r="AU219" i="20"/>
  <c r="AV218" i="20"/>
  <c r="AU218" i="20"/>
  <c r="AV217" i="20"/>
  <c r="AU217" i="20"/>
  <c r="AV216" i="20"/>
  <c r="AU216" i="20"/>
  <c r="AV215" i="20"/>
  <c r="AU215" i="20"/>
  <c r="AV214" i="20"/>
  <c r="AU214" i="20"/>
  <c r="AV213" i="20"/>
  <c r="AU213" i="20"/>
  <c r="AV212" i="20"/>
  <c r="AU212" i="20"/>
  <c r="AV211" i="20"/>
  <c r="AU211" i="20"/>
  <c r="AV210" i="20"/>
  <c r="AU210" i="20"/>
  <c r="AV209" i="20"/>
  <c r="AU209" i="20"/>
  <c r="AV208" i="20"/>
  <c r="AU208" i="20"/>
  <c r="AV207" i="20"/>
  <c r="AU207" i="20"/>
  <c r="AV206" i="20"/>
  <c r="AU206" i="20"/>
  <c r="AV205" i="20"/>
  <c r="AU205" i="20"/>
  <c r="AV204" i="20"/>
  <c r="AU204" i="20"/>
  <c r="AV203" i="20"/>
  <c r="AU203" i="20"/>
  <c r="AV202" i="20"/>
  <c r="AU202" i="20"/>
  <c r="AV201" i="20"/>
  <c r="AU201" i="20"/>
  <c r="AV200" i="20"/>
  <c r="AU200" i="20"/>
  <c r="AV199" i="20"/>
  <c r="AU199" i="20"/>
  <c r="AV198" i="20"/>
  <c r="AU198" i="20"/>
  <c r="AV197" i="20"/>
  <c r="AU197" i="20"/>
  <c r="AV196" i="20"/>
  <c r="AU196" i="20"/>
  <c r="AV195" i="20"/>
  <c r="AU195" i="20"/>
  <c r="AV194" i="20"/>
  <c r="AU194" i="20"/>
  <c r="AV193" i="20"/>
  <c r="AU193" i="20"/>
  <c r="AV192" i="20"/>
  <c r="AU192" i="20"/>
  <c r="AV191" i="20"/>
  <c r="AU191" i="20"/>
  <c r="AV190" i="20"/>
  <c r="AU190" i="20"/>
  <c r="AV189" i="20"/>
  <c r="AU189" i="20"/>
  <c r="AV188" i="20"/>
  <c r="AU188" i="20"/>
  <c r="AV187" i="20"/>
  <c r="AU187" i="20"/>
  <c r="AV186" i="20"/>
  <c r="AU186" i="20"/>
  <c r="AV185" i="20"/>
  <c r="AU185" i="20"/>
  <c r="AV184" i="20"/>
  <c r="AU184" i="20"/>
  <c r="AV183" i="20"/>
  <c r="AU183" i="20"/>
  <c r="AV182" i="20"/>
  <c r="AU182" i="20"/>
  <c r="AV181" i="20"/>
  <c r="AU181" i="20"/>
  <c r="AV180" i="20"/>
  <c r="AU180" i="20"/>
  <c r="AV179" i="20"/>
  <c r="AU179" i="20"/>
  <c r="AV178" i="20"/>
  <c r="AU178" i="20"/>
  <c r="AV177" i="20"/>
  <c r="AU177" i="20"/>
  <c r="AV176" i="20"/>
  <c r="AU176" i="20"/>
  <c r="AV175" i="20"/>
  <c r="AU175" i="20"/>
  <c r="AV174" i="20"/>
  <c r="AU174" i="20"/>
  <c r="AV173" i="20"/>
  <c r="AU173" i="20"/>
  <c r="AV172" i="20"/>
  <c r="AU172" i="20"/>
  <c r="AV171" i="20"/>
  <c r="AU171" i="20"/>
  <c r="AV170" i="20"/>
  <c r="AU170" i="20"/>
  <c r="AV169" i="20"/>
  <c r="AU169" i="20"/>
  <c r="AV168" i="20"/>
  <c r="AU168" i="20"/>
  <c r="AV167" i="20"/>
  <c r="AU167" i="20"/>
  <c r="AV166" i="20"/>
  <c r="AU166" i="20"/>
  <c r="AV165" i="20"/>
  <c r="AU165" i="20"/>
  <c r="AV164" i="20"/>
  <c r="AU164" i="20"/>
  <c r="AV163" i="20"/>
  <c r="AU163" i="20"/>
  <c r="AV162" i="20"/>
  <c r="AU162" i="20"/>
  <c r="AV161" i="20"/>
  <c r="AU161" i="20"/>
  <c r="AV160" i="20"/>
  <c r="AU160" i="20"/>
  <c r="AV159" i="20"/>
  <c r="AU159" i="20"/>
  <c r="AV158" i="20"/>
  <c r="AU158" i="20"/>
  <c r="AV157" i="20"/>
  <c r="AU157" i="20"/>
  <c r="AV156" i="20"/>
  <c r="AU156" i="20"/>
  <c r="AV155" i="20"/>
  <c r="AU155" i="20"/>
  <c r="AV154" i="20"/>
  <c r="AU154" i="20"/>
  <c r="AV153" i="20"/>
  <c r="AU153" i="20"/>
  <c r="AV152" i="20"/>
  <c r="AU152" i="20"/>
  <c r="AV151" i="20"/>
  <c r="AU151" i="20"/>
  <c r="AV150" i="20"/>
  <c r="AU150" i="20"/>
  <c r="AV149" i="20"/>
  <c r="AU149" i="20"/>
  <c r="AV148" i="20"/>
  <c r="AU148" i="20"/>
  <c r="AV147" i="20"/>
  <c r="AU147" i="20"/>
  <c r="AV146" i="20"/>
  <c r="AU146" i="20"/>
  <c r="AV145" i="20"/>
  <c r="AU145" i="20"/>
  <c r="AV144" i="20"/>
  <c r="AU144" i="20"/>
  <c r="AV143" i="20"/>
  <c r="AU143" i="20"/>
  <c r="AV142" i="20"/>
  <c r="AU142" i="20"/>
  <c r="AV141" i="20"/>
  <c r="AU141" i="20"/>
  <c r="AV140" i="20"/>
  <c r="AU140" i="20"/>
  <c r="AV139" i="20"/>
  <c r="AU139" i="20"/>
  <c r="AV138" i="20"/>
  <c r="AU138" i="20"/>
  <c r="AV137" i="20"/>
  <c r="AU137" i="20"/>
  <c r="AV136" i="20"/>
  <c r="AU136" i="20"/>
  <c r="AV135" i="20"/>
  <c r="AU135" i="20"/>
  <c r="AV134" i="20"/>
  <c r="AU134" i="20"/>
  <c r="AV133" i="20"/>
  <c r="AU133" i="20"/>
  <c r="AV132" i="20"/>
  <c r="AU132" i="20"/>
  <c r="AV131" i="20"/>
  <c r="AU131" i="20"/>
  <c r="AV130" i="20"/>
  <c r="AU130" i="20"/>
  <c r="AV129" i="20"/>
  <c r="AU129" i="20"/>
  <c r="AV128" i="20"/>
  <c r="AU128" i="20"/>
  <c r="AV127" i="20"/>
  <c r="AU127" i="20"/>
  <c r="AV126" i="20"/>
  <c r="AU126" i="20"/>
  <c r="AV125" i="20"/>
  <c r="AU125" i="20"/>
  <c r="AV124" i="20"/>
  <c r="AU124" i="20"/>
  <c r="AV123" i="20"/>
  <c r="AU123" i="20"/>
  <c r="AV122" i="20"/>
  <c r="AU122" i="20"/>
  <c r="AV121" i="20"/>
  <c r="AU121" i="20"/>
  <c r="AV120" i="20"/>
  <c r="AU120" i="20"/>
  <c r="AV119" i="20"/>
  <c r="AU119" i="20"/>
  <c r="AV118" i="20"/>
  <c r="AU118" i="20"/>
  <c r="AV117" i="20"/>
  <c r="AU117" i="20"/>
  <c r="AV116" i="20"/>
  <c r="AU116" i="20"/>
  <c r="AV115" i="20"/>
  <c r="AU115" i="20"/>
  <c r="AV114" i="20"/>
  <c r="AU114" i="20"/>
  <c r="AV113" i="20"/>
  <c r="AU113" i="20"/>
  <c r="AV112" i="20"/>
  <c r="AU112" i="20"/>
  <c r="AV111" i="20"/>
  <c r="AU111" i="20"/>
  <c r="AV110" i="20"/>
  <c r="AU110" i="20"/>
  <c r="AV109" i="20"/>
  <c r="AU109" i="20"/>
  <c r="AV108" i="20"/>
  <c r="AU108" i="20"/>
  <c r="AV107" i="20"/>
  <c r="AU107" i="20"/>
  <c r="AV106" i="20"/>
  <c r="AU106" i="20"/>
  <c r="AV105" i="20"/>
  <c r="AU105" i="20"/>
  <c r="AV104" i="20"/>
  <c r="AU104" i="20"/>
  <c r="AV103" i="20"/>
  <c r="AU103" i="20"/>
  <c r="AV102" i="20"/>
  <c r="AU102" i="20"/>
  <c r="AV101" i="20"/>
  <c r="AU101" i="20"/>
  <c r="AV100" i="20"/>
  <c r="AU100" i="20"/>
  <c r="AV99" i="20"/>
  <c r="AU99" i="20"/>
  <c r="AV98" i="20"/>
  <c r="AU98" i="20"/>
  <c r="AV97" i="20"/>
  <c r="AU97" i="20"/>
  <c r="AV96" i="20"/>
  <c r="AU96" i="20"/>
  <c r="AV95" i="20"/>
  <c r="AU95" i="20"/>
  <c r="AV94" i="20"/>
  <c r="AU94" i="20"/>
  <c r="AV93" i="20"/>
  <c r="AU93" i="20"/>
  <c r="AV92" i="20"/>
  <c r="AU92" i="20"/>
  <c r="AV91" i="20"/>
  <c r="AU91" i="20"/>
  <c r="AV90" i="20"/>
  <c r="AU90" i="20"/>
  <c r="AV89" i="20"/>
  <c r="AU89" i="20"/>
  <c r="AV88" i="20"/>
  <c r="AU88" i="20"/>
  <c r="AV87" i="20"/>
  <c r="AU87" i="20"/>
  <c r="AV86" i="20"/>
  <c r="AU86" i="20"/>
  <c r="AV85" i="20"/>
  <c r="AU85" i="20"/>
  <c r="AV84" i="20"/>
  <c r="AU84" i="20"/>
  <c r="AV83" i="20"/>
  <c r="AU83" i="20"/>
  <c r="AV82" i="20"/>
  <c r="AU82" i="20"/>
  <c r="AV81" i="20"/>
  <c r="AU81" i="20"/>
  <c r="AV80" i="20"/>
  <c r="AU80" i="20"/>
  <c r="AV79" i="20"/>
  <c r="AU79" i="20"/>
  <c r="AV78" i="20"/>
  <c r="AU78" i="20"/>
  <c r="AV77" i="20"/>
  <c r="AU77" i="20"/>
  <c r="AV76" i="20"/>
  <c r="AU76" i="20"/>
  <c r="AV75" i="20"/>
  <c r="AU75" i="20"/>
  <c r="AV74" i="20"/>
  <c r="AU74" i="20"/>
  <c r="AV73" i="20"/>
  <c r="AU73" i="20"/>
  <c r="AV72" i="20"/>
  <c r="AU72" i="20"/>
  <c r="AV71" i="20"/>
  <c r="AU71" i="20"/>
  <c r="AV70" i="20"/>
  <c r="AU70" i="20"/>
  <c r="AV69" i="20"/>
  <c r="AU69" i="20"/>
  <c r="AV68" i="20"/>
  <c r="AU68" i="20"/>
  <c r="AV67" i="20"/>
  <c r="AU67" i="20"/>
  <c r="AV66" i="20"/>
  <c r="AU66" i="20"/>
  <c r="AV65" i="20"/>
  <c r="AU65" i="20"/>
  <c r="AV64" i="20"/>
  <c r="AU64" i="20"/>
  <c r="AV63" i="20"/>
  <c r="AU63" i="20"/>
  <c r="AV62" i="20"/>
  <c r="AU62" i="20"/>
  <c r="AV61" i="20"/>
  <c r="AU61" i="20"/>
  <c r="AV60" i="20"/>
  <c r="AU60" i="20"/>
  <c r="AV59" i="20"/>
  <c r="AU59" i="20"/>
  <c r="AV58" i="20"/>
  <c r="AU58" i="20"/>
  <c r="AV57" i="20"/>
  <c r="AU57" i="20"/>
  <c r="AV56" i="20"/>
  <c r="AU56" i="20"/>
  <c r="AV55" i="20"/>
  <c r="AU55" i="20"/>
  <c r="AV54" i="20"/>
  <c r="AU54" i="20"/>
  <c r="AV53" i="20"/>
  <c r="AU53" i="20"/>
  <c r="AV52" i="20"/>
  <c r="AU52" i="20"/>
  <c r="AV51" i="20"/>
  <c r="AU51" i="20"/>
  <c r="AV50" i="20"/>
  <c r="AU50" i="20"/>
  <c r="AV49" i="20"/>
  <c r="AU49" i="20"/>
  <c r="AV48" i="20"/>
  <c r="AU48" i="20"/>
  <c r="AV47" i="20"/>
  <c r="AU47" i="20"/>
  <c r="AV46" i="20"/>
  <c r="AU46" i="20"/>
  <c r="AV45" i="20"/>
  <c r="AU45" i="20"/>
  <c r="AV44" i="20"/>
  <c r="AU44" i="20"/>
  <c r="AV43" i="20"/>
  <c r="AU43" i="20"/>
  <c r="AV42" i="20"/>
  <c r="AU42" i="20"/>
  <c r="AV41" i="20"/>
  <c r="AU41" i="20"/>
  <c r="AV40" i="20"/>
  <c r="AU40" i="20"/>
  <c r="AV39" i="20"/>
  <c r="AU39" i="20"/>
  <c r="AV38" i="20"/>
  <c r="AU38" i="20"/>
  <c r="AV37" i="20"/>
  <c r="AU37" i="20"/>
  <c r="AV36" i="20"/>
  <c r="AU36" i="20"/>
  <c r="AV35" i="20"/>
  <c r="AU35" i="20"/>
  <c r="AV34" i="20"/>
  <c r="AU34" i="20"/>
  <c r="AV33" i="20"/>
  <c r="AU33" i="20"/>
  <c r="AV32" i="20"/>
  <c r="AU32" i="20"/>
  <c r="AV31" i="20"/>
  <c r="AU31" i="20"/>
  <c r="AV30" i="20"/>
  <c r="AU30" i="20"/>
  <c r="AV29" i="20"/>
  <c r="AU29" i="20"/>
  <c r="AV28" i="20"/>
  <c r="AU28" i="20"/>
  <c r="AV27" i="20"/>
  <c r="AU27" i="20"/>
  <c r="AV26" i="20"/>
  <c r="AU26" i="20"/>
  <c r="AV25" i="20"/>
  <c r="AU25" i="20"/>
  <c r="AV24" i="20"/>
  <c r="AU24" i="20"/>
  <c r="AV23" i="20"/>
  <c r="AU23" i="20"/>
  <c r="AV22" i="20"/>
  <c r="AU22" i="20"/>
  <c r="AV21" i="20"/>
  <c r="AU21" i="20"/>
  <c r="AV20" i="20"/>
  <c r="AU20" i="20"/>
  <c r="AV19" i="20"/>
  <c r="AU19" i="20"/>
  <c r="AV18" i="20"/>
  <c r="AU18" i="20"/>
  <c r="AV17" i="20"/>
  <c r="AU17" i="20"/>
  <c r="AV16" i="20"/>
  <c r="AU16" i="20"/>
  <c r="AV15" i="20"/>
  <c r="AU15" i="20"/>
  <c r="AV14" i="20"/>
  <c r="AU14" i="20"/>
  <c r="AV13" i="20"/>
  <c r="AU13" i="20"/>
  <c r="AV12" i="20"/>
  <c r="AU12" i="20"/>
  <c r="AV11" i="20"/>
  <c r="AU11" i="20"/>
  <c r="AV10" i="20"/>
  <c r="AU10" i="20"/>
  <c r="AV9" i="20"/>
  <c r="AU9" i="20"/>
  <c r="AV8" i="20"/>
  <c r="AU8" i="20"/>
  <c r="AV7" i="20"/>
  <c r="AU7" i="20"/>
  <c r="Y6" i="7"/>
  <c r="E6" i="7"/>
  <c r="X6" i="7"/>
  <c r="D6" i="7"/>
  <c r="V6" i="7"/>
  <c r="B6" i="7"/>
  <c r="M6" i="20"/>
  <c r="G6" i="7"/>
  <c r="A6" i="20"/>
  <c r="AJ6" i="20"/>
  <c r="Y6" i="20"/>
  <c r="AC815" i="7" l="1"/>
  <c r="AC1042" i="7"/>
  <c r="AC1088" i="7"/>
  <c r="O662" i="7"/>
  <c r="O838" i="7"/>
  <c r="O849" i="7"/>
  <c r="O700" i="7"/>
  <c r="O868" i="7"/>
  <c r="AC799" i="7"/>
  <c r="AC831" i="7"/>
  <c r="O1049" i="7"/>
  <c r="O663" i="7"/>
  <c r="O871" i="7"/>
  <c r="AC459" i="7"/>
  <c r="AC970" i="7"/>
  <c r="O970" i="7"/>
  <c r="AC1029" i="7"/>
  <c r="AC846" i="7"/>
  <c r="AC279" i="7"/>
  <c r="AC495" i="7"/>
  <c r="AC290" i="7"/>
  <c r="AC338" i="7"/>
  <c r="AC354" i="7"/>
  <c r="AC607" i="7"/>
  <c r="O820" i="7"/>
  <c r="O650" i="7"/>
  <c r="AC461" i="7"/>
  <c r="AC509" i="7"/>
  <c r="AC8" i="7"/>
  <c r="AC16" i="7"/>
  <c r="AC24" i="7"/>
  <c r="AC40" i="7"/>
  <c r="AC48" i="7"/>
  <c r="AC400" i="7"/>
  <c r="AC565" i="7"/>
  <c r="O815" i="7"/>
  <c r="AC83" i="7"/>
  <c r="O938" i="7"/>
  <c r="AC1002" i="7"/>
  <c r="AC46" i="7"/>
  <c r="AC70" i="7"/>
  <c r="AC86" i="7"/>
  <c r="AC126" i="7"/>
  <c r="AC150" i="7"/>
  <c r="AC166" i="7"/>
  <c r="AC299" i="7"/>
  <c r="AC307" i="7"/>
  <c r="AC347" i="7"/>
  <c r="AC355" i="7"/>
  <c r="AC371" i="7"/>
  <c r="AC395" i="7"/>
  <c r="AC403" i="7"/>
  <c r="AC427" i="7"/>
  <c r="AC443" i="7"/>
  <c r="AC626" i="7"/>
  <c r="AC783" i="7"/>
  <c r="O791" i="7"/>
  <c r="AC870" i="7"/>
  <c r="AC878" i="7"/>
  <c r="AC992" i="7"/>
  <c r="AC262" i="7"/>
  <c r="AC512" i="7"/>
  <c r="AC669" i="7"/>
  <c r="O674" i="7"/>
  <c r="AC685" i="7"/>
  <c r="AC820" i="7"/>
  <c r="AC939" i="7"/>
  <c r="AC73" i="7"/>
  <c r="AC81" i="7"/>
  <c r="AC97" i="7"/>
  <c r="AC121" i="7"/>
  <c r="AC161" i="7"/>
  <c r="AC193" i="7"/>
  <c r="AC201" i="7"/>
  <c r="AC485" i="7"/>
  <c r="AC778" i="7"/>
  <c r="AC987" i="7"/>
  <c r="AC257" i="7"/>
  <c r="AC281" i="7"/>
  <c r="AC470" i="7"/>
  <c r="AC507" i="7"/>
  <c r="AC733" i="7"/>
  <c r="AC765" i="7"/>
  <c r="AC868" i="7"/>
  <c r="AC897" i="7"/>
  <c r="O934" i="7"/>
  <c r="AC958" i="7"/>
  <c r="AC196" i="7"/>
  <c r="AC369" i="7"/>
  <c r="AC401" i="7"/>
  <c r="AC449" i="7"/>
  <c r="AC635" i="7"/>
  <c r="AC773" i="7"/>
  <c r="AC847" i="7"/>
  <c r="O974" i="7"/>
  <c r="AC990" i="7"/>
  <c r="O1077" i="7"/>
  <c r="AC241" i="7"/>
  <c r="AC465" i="7"/>
  <c r="AC510" i="7"/>
  <c r="AC539" i="7"/>
  <c r="AC582" i="7"/>
  <c r="AC590" i="7"/>
  <c r="AC598" i="7"/>
  <c r="O699" i="7"/>
  <c r="AC818" i="7"/>
  <c r="AC863" i="7"/>
  <c r="AC71" i="7"/>
  <c r="AC87" i="7"/>
  <c r="AC300" i="7"/>
  <c r="AC316" i="7"/>
  <c r="AC412" i="7"/>
  <c r="AC489" i="7"/>
  <c r="AC497" i="7"/>
  <c r="O635" i="7"/>
  <c r="AC646" i="7"/>
  <c r="AC654" i="7"/>
  <c r="AC662" i="7"/>
  <c r="O773" i="7"/>
  <c r="AC792" i="7"/>
  <c r="AC916" i="7"/>
  <c r="O1030" i="7"/>
  <c r="AC271" i="7"/>
  <c r="AC505" i="7"/>
  <c r="AC569" i="7"/>
  <c r="O747" i="7"/>
  <c r="O964" i="7"/>
  <c r="O998" i="7"/>
  <c r="O1014" i="7"/>
  <c r="AC58" i="7"/>
  <c r="AC66" i="7"/>
  <c r="AC98" i="7"/>
  <c r="AC114" i="7"/>
  <c r="AC122" i="7"/>
  <c r="AC138" i="7"/>
  <c r="AC311" i="7"/>
  <c r="AC359" i="7"/>
  <c r="AC407" i="7"/>
  <c r="AC415" i="7"/>
  <c r="AC423" i="7"/>
  <c r="AC439" i="7"/>
  <c r="AC617" i="7"/>
  <c r="AC625" i="7"/>
  <c r="O633" i="7"/>
  <c r="AC657" i="7"/>
  <c r="AC787" i="7"/>
  <c r="AC821" i="7"/>
  <c r="AC829" i="7"/>
  <c r="AC837" i="7"/>
  <c r="O1020" i="7"/>
  <c r="AC242" i="7"/>
  <c r="AC266" i="7"/>
  <c r="AC332" i="7"/>
  <c r="AC471" i="7"/>
  <c r="AC484" i="7"/>
  <c r="AC516" i="7"/>
  <c r="AC524" i="7"/>
  <c r="AC532" i="7"/>
  <c r="AC540" i="7"/>
  <c r="AC548" i="7"/>
  <c r="O681" i="7"/>
  <c r="AC689" i="7"/>
  <c r="AC710" i="7"/>
  <c r="O718" i="7"/>
  <c r="O734" i="7"/>
  <c r="AC853" i="7"/>
  <c r="AC898" i="7"/>
  <c r="AC1054" i="7"/>
  <c r="O1080" i="7"/>
  <c r="AC21" i="7"/>
  <c r="AC45" i="7"/>
  <c r="AC125" i="7"/>
  <c r="AC173" i="7"/>
  <c r="AC370" i="7"/>
  <c r="AC434" i="7"/>
  <c r="AC612" i="7"/>
  <c r="AC620" i="7"/>
  <c r="O636" i="7"/>
  <c r="O705" i="7"/>
  <c r="O782" i="7"/>
  <c r="O798" i="7"/>
  <c r="AC922" i="7"/>
  <c r="O975" i="7"/>
  <c r="O1007" i="7"/>
  <c r="AC285" i="7"/>
  <c r="AC466" i="7"/>
  <c r="AC500" i="7"/>
  <c r="AC684" i="7"/>
  <c r="AC729" i="7"/>
  <c r="AC737" i="7"/>
  <c r="AC753" i="7"/>
  <c r="O898" i="7"/>
  <c r="AC56" i="7"/>
  <c r="AC128" i="7"/>
  <c r="AC224" i="7"/>
  <c r="AC325" i="7"/>
  <c r="AC445" i="7"/>
  <c r="O785" i="7"/>
  <c r="AC1081" i="7"/>
  <c r="AC221" i="7"/>
  <c r="AC240" i="7"/>
  <c r="AC296" i="7"/>
  <c r="AC724" i="7"/>
  <c r="AC732" i="7"/>
  <c r="AC1039" i="7"/>
  <c r="AC107" i="7"/>
  <c r="AC123" i="7"/>
  <c r="AC610" i="7"/>
  <c r="O634" i="7"/>
  <c r="O642" i="7"/>
  <c r="AC658" i="7"/>
  <c r="AC772" i="7"/>
  <c r="AC822" i="7"/>
  <c r="AC838" i="7"/>
  <c r="O846" i="7"/>
  <c r="AC875" i="7"/>
  <c r="AC912" i="7"/>
  <c r="O920" i="7"/>
  <c r="AC1047" i="7"/>
  <c r="AC275" i="7"/>
  <c r="AC333" i="7"/>
  <c r="AC480" i="7"/>
  <c r="AC581" i="7"/>
  <c r="AC674" i="7"/>
  <c r="AC727" i="7"/>
  <c r="AC812" i="7"/>
  <c r="O817" i="7"/>
  <c r="AC862" i="7"/>
  <c r="AC907" i="7"/>
  <c r="AC960" i="7"/>
  <c r="O1081" i="7"/>
  <c r="O1087" i="7"/>
  <c r="AC59" i="7"/>
  <c r="AC109" i="7"/>
  <c r="AC157" i="7"/>
  <c r="AC339" i="7"/>
  <c r="AC381" i="7"/>
  <c r="AC397" i="7"/>
  <c r="O679" i="7"/>
  <c r="AC742" i="7"/>
  <c r="O935" i="7"/>
  <c r="AC302" i="7"/>
  <c r="O967" i="7"/>
  <c r="AC1001" i="7"/>
  <c r="AC139" i="7"/>
  <c r="AC176" i="7"/>
  <c r="AC566" i="7"/>
  <c r="AC852" i="7"/>
  <c r="AC891" i="7"/>
  <c r="AC102" i="7"/>
  <c r="O732" i="7"/>
  <c r="O737" i="7"/>
  <c r="AC284" i="7"/>
  <c r="AC519" i="7"/>
  <c r="AC527" i="7"/>
  <c r="AC543" i="7"/>
  <c r="AC31" i="7"/>
  <c r="AC163" i="7"/>
  <c r="AC203" i="7"/>
  <c r="AC205" i="7"/>
  <c r="O667" i="7"/>
  <c r="AC722" i="7"/>
  <c r="O881" i="7"/>
  <c r="O928" i="7"/>
  <c r="O1009" i="7"/>
  <c r="AC129" i="7"/>
  <c r="AC145" i="7"/>
  <c r="AC245" i="7"/>
  <c r="AC538" i="7"/>
  <c r="AC879" i="7"/>
  <c r="AC1082" i="7"/>
  <c r="O694" i="7"/>
  <c r="O960" i="7"/>
  <c r="O981" i="7"/>
  <c r="AC420" i="7"/>
  <c r="AC438" i="7"/>
  <c r="AC673" i="7"/>
  <c r="O775" i="7"/>
  <c r="O804" i="7"/>
  <c r="AC900" i="7"/>
  <c r="AC926" i="7"/>
  <c r="AC1085" i="7"/>
  <c r="AC444" i="7"/>
  <c r="AC583" i="7"/>
  <c r="AC391" i="7"/>
  <c r="AC460" i="7"/>
  <c r="AC481" i="7"/>
  <c r="AC623" i="7"/>
  <c r="O631" i="7"/>
  <c r="AC856" i="7"/>
  <c r="O1002" i="7"/>
  <c r="AC375" i="7"/>
  <c r="O992" i="7"/>
  <c r="AC204" i="7"/>
  <c r="AC576" i="7"/>
  <c r="O822" i="7"/>
  <c r="AC948" i="7"/>
  <c r="AC1087" i="7"/>
  <c r="AC212" i="7"/>
  <c r="AC479" i="7"/>
  <c r="AC571" i="7"/>
  <c r="AC747" i="7"/>
  <c r="AC789" i="7"/>
  <c r="O982" i="7"/>
  <c r="AC72" i="7"/>
  <c r="AC181" i="7"/>
  <c r="AC360" i="7"/>
  <c r="AC426" i="7"/>
  <c r="AC455" i="7"/>
  <c r="AC591" i="7"/>
  <c r="AC801" i="7"/>
  <c r="O801" i="7"/>
  <c r="AC944" i="7"/>
  <c r="O944" i="7"/>
  <c r="AC986" i="7"/>
  <c r="AC30" i="7"/>
  <c r="AC85" i="7"/>
  <c r="AC148" i="7"/>
  <c r="AC884" i="7"/>
  <c r="O884" i="7"/>
  <c r="AC77" i="7"/>
  <c r="AC90" i="7"/>
  <c r="AC95" i="7"/>
  <c r="AC133" i="7"/>
  <c r="AC197" i="7"/>
  <c r="AC209" i="7"/>
  <c r="AC229" i="7"/>
  <c r="AC416" i="7"/>
  <c r="AC159" i="7"/>
  <c r="AC187" i="7"/>
  <c r="AC189" i="7"/>
  <c r="AC214" i="7"/>
  <c r="AC268" i="7"/>
  <c r="O786" i="7"/>
  <c r="AC843" i="7"/>
  <c r="O843" i="7"/>
  <c r="AC38" i="7"/>
  <c r="AC63" i="7"/>
  <c r="AC105" i="7"/>
  <c r="AC149" i="7"/>
  <c r="AC156" i="7"/>
  <c r="AC217" i="7"/>
  <c r="AC232" i="7"/>
  <c r="O1028" i="7"/>
  <c r="AC1028" i="7"/>
  <c r="AC15" i="7"/>
  <c r="AC65" i="7"/>
  <c r="AC1018" i="7"/>
  <c r="O1018" i="7"/>
  <c r="AC788" i="7"/>
  <c r="O788" i="7"/>
  <c r="AC88" i="7"/>
  <c r="AC131" i="7"/>
  <c r="AC162" i="7"/>
  <c r="AC210" i="7"/>
  <c r="AC222" i="7"/>
  <c r="O673" i="7"/>
  <c r="AC726" i="7"/>
  <c r="O867" i="7"/>
  <c r="AC867" i="7"/>
  <c r="O879" i="7"/>
  <c r="AC919" i="7"/>
  <c r="O919" i="7"/>
  <c r="AC924" i="7"/>
  <c r="AX1" i="20"/>
  <c r="AC75" i="7"/>
  <c r="AC127" i="7"/>
  <c r="AC147" i="7"/>
  <c r="AC182" i="7"/>
  <c r="AC295" i="7"/>
  <c r="AC364" i="7"/>
  <c r="AC379" i="7"/>
  <c r="AC511" i="7"/>
  <c r="AC721" i="7"/>
  <c r="O854" i="7"/>
  <c r="O906" i="7"/>
  <c r="AC23" i="7"/>
  <c r="AC93" i="7"/>
  <c r="AC188" i="7"/>
  <c r="AC319" i="7"/>
  <c r="AC327" i="7"/>
  <c r="AC343" i="7"/>
  <c r="AC577" i="7"/>
  <c r="AC758" i="7"/>
  <c r="AC836" i="7"/>
  <c r="O836" i="7"/>
  <c r="O1082" i="7"/>
  <c r="AC738" i="7"/>
  <c r="O738" i="7"/>
  <c r="AC931" i="7"/>
  <c r="O931" i="7"/>
  <c r="AC111" i="7"/>
  <c r="AC160" i="7"/>
  <c r="AC180" i="7"/>
  <c r="AC208" i="7"/>
  <c r="AC235" i="7"/>
  <c r="AC396" i="7"/>
  <c r="AC433" i="7"/>
  <c r="AC506" i="7"/>
  <c r="AC619" i="7"/>
  <c r="AC690" i="7"/>
  <c r="AC901" i="7"/>
  <c r="AC951" i="7"/>
  <c r="AC959" i="7"/>
  <c r="O959" i="7"/>
  <c r="AC54" i="7"/>
  <c r="AC106" i="7"/>
  <c r="AC108" i="7"/>
  <c r="AC113" i="7"/>
  <c r="AC198" i="7"/>
  <c r="AC225" i="7"/>
  <c r="AC230" i="7"/>
  <c r="AC441" i="7"/>
  <c r="AC761" i="7"/>
  <c r="O761" i="7"/>
  <c r="AC14" i="7"/>
  <c r="AC61" i="7"/>
  <c r="AC79" i="7"/>
  <c r="AC213" i="7"/>
  <c r="AC614" i="7"/>
  <c r="AC933" i="7"/>
  <c r="O1006" i="7"/>
  <c r="AC1006" i="7"/>
  <c r="AC91" i="7"/>
  <c r="AC153" i="7"/>
  <c r="AC158" i="7"/>
  <c r="AC267" i="7"/>
  <c r="AC886" i="7"/>
  <c r="O949" i="7"/>
  <c r="AC949" i="7"/>
  <c r="O983" i="7"/>
  <c r="AC249" i="7"/>
  <c r="AC22" i="7"/>
  <c r="AC37" i="7"/>
  <c r="AC82" i="7"/>
  <c r="AC143" i="7"/>
  <c r="AC194" i="7"/>
  <c r="AC894" i="7"/>
  <c r="O894" i="7"/>
  <c r="AC928" i="7"/>
  <c r="O996" i="7"/>
  <c r="AC996" i="7"/>
  <c r="AC1027" i="7"/>
  <c r="AC301" i="7"/>
  <c r="AC329" i="7"/>
  <c r="AC349" i="7"/>
  <c r="AC386" i="7"/>
  <c r="AC411" i="7"/>
  <c r="AC454" i="7"/>
  <c r="AC488" i="7"/>
  <c r="AC493" i="7"/>
  <c r="AC515" i="7"/>
  <c r="AC533" i="7"/>
  <c r="AC541" i="7"/>
  <c r="AC549" i="7"/>
  <c r="AC601" i="7"/>
  <c r="O646" i="7"/>
  <c r="AC663" i="7"/>
  <c r="AC668" i="7"/>
  <c r="O683" i="7"/>
  <c r="AC708" i="7"/>
  <c r="AC718" i="7"/>
  <c r="O733" i="7"/>
  <c r="AC748" i="7"/>
  <c r="AC763" i="7"/>
  <c r="O768" i="7"/>
  <c r="O805" i="7"/>
  <c r="AC835" i="7"/>
  <c r="O862" i="7"/>
  <c r="O965" i="7"/>
  <c r="O1059" i="7"/>
  <c r="O1064" i="7"/>
  <c r="AC1077" i="7"/>
  <c r="AC258" i="7"/>
  <c r="AC269" i="7"/>
  <c r="AC362" i="7"/>
  <c r="AC367" i="7"/>
  <c r="AC389" i="7"/>
  <c r="AC394" i="7"/>
  <c r="AC399" i="7"/>
  <c r="AC462" i="7"/>
  <c r="AC520" i="7"/>
  <c r="AC629" i="7"/>
  <c r="AC634" i="7"/>
  <c r="AC649" i="7"/>
  <c r="O661" i="7"/>
  <c r="O668" i="7"/>
  <c r="AC683" i="7"/>
  <c r="O695" i="7"/>
  <c r="O703" i="7"/>
  <c r="AC716" i="7"/>
  <c r="AC743" i="7"/>
  <c r="AC756" i="7"/>
  <c r="AC766" i="7"/>
  <c r="O803" i="7"/>
  <c r="AC805" i="7"/>
  <c r="O808" i="7"/>
  <c r="AC828" i="7"/>
  <c r="AC833" i="7"/>
  <c r="O840" i="7"/>
  <c r="O857" i="7"/>
  <c r="O869" i="7"/>
  <c r="O988" i="7"/>
  <c r="AC414" i="7"/>
  <c r="AC467" i="7"/>
  <c r="AC491" i="7"/>
  <c r="AC531" i="7"/>
  <c r="AC599" i="7"/>
  <c r="O658" i="7"/>
  <c r="O690" i="7"/>
  <c r="AC693" i="7"/>
  <c r="O731" i="7"/>
  <c r="O748" i="7"/>
  <c r="O753" i="7"/>
  <c r="AC769" i="7"/>
  <c r="O778" i="7"/>
  <c r="O783" i="7"/>
  <c r="AC803" i="7"/>
  <c r="O828" i="7"/>
  <c r="O847" i="7"/>
  <c r="O872" i="7"/>
  <c r="O904" i="7"/>
  <c r="AC963" i="7"/>
  <c r="O971" i="7"/>
  <c r="AC1023" i="7"/>
  <c r="O1062" i="7"/>
  <c r="O1070" i="7"/>
  <c r="AC1075" i="7"/>
  <c r="AC256" i="7"/>
  <c r="AC322" i="7"/>
  <c r="AC477" i="7"/>
  <c r="AC528" i="7"/>
  <c r="AC624" i="7"/>
  <c r="AC671" i="7"/>
  <c r="O726" i="7"/>
  <c r="AC731" i="7"/>
  <c r="O743" i="7"/>
  <c r="O751" i="7"/>
  <c r="AC971" i="7"/>
  <c r="AC991" i="7"/>
  <c r="O1001" i="7"/>
  <c r="AC1035" i="7"/>
  <c r="O1050" i="7"/>
  <c r="AC1080" i="7"/>
  <c r="O1085" i="7"/>
  <c r="AC409" i="7"/>
  <c r="AC486" i="7"/>
  <c r="AC534" i="7"/>
  <c r="AC560" i="7"/>
  <c r="AC575" i="7"/>
  <c r="AC597" i="7"/>
  <c r="O671" i="7"/>
  <c r="O711" i="7"/>
  <c r="AC741" i="7"/>
  <c r="O855" i="7"/>
  <c r="AC934" i="7"/>
  <c r="AC969" i="7"/>
  <c r="AC976" i="7"/>
  <c r="O1035" i="7"/>
  <c r="AC1055" i="7"/>
  <c r="AC529" i="7"/>
  <c r="AC550" i="7"/>
  <c r="AC609" i="7"/>
  <c r="O649" i="7"/>
  <c r="AC661" i="7"/>
  <c r="O716" i="7"/>
  <c r="O721" i="7"/>
  <c r="AC734" i="7"/>
  <c r="AC764" i="7"/>
  <c r="O806" i="7"/>
  <c r="O821" i="7"/>
  <c r="O833" i="7"/>
  <c r="AC840" i="7"/>
  <c r="AC902" i="7"/>
  <c r="O976" i="7"/>
  <c r="O986" i="7"/>
  <c r="O1040" i="7"/>
  <c r="AC1078" i="7"/>
  <c r="AC365" i="7"/>
  <c r="AC537" i="7"/>
  <c r="AC558" i="7"/>
  <c r="AC602" i="7"/>
  <c r="AC642" i="7"/>
  <c r="O654" i="7"/>
  <c r="O719" i="7"/>
  <c r="O769" i="7"/>
  <c r="O865" i="7"/>
  <c r="AC872" i="7"/>
  <c r="AC910" i="7"/>
  <c r="O912" i="7"/>
  <c r="AC982" i="7"/>
  <c r="O1023" i="7"/>
  <c r="AC1070" i="7"/>
  <c r="O1078" i="7"/>
  <c r="AC346" i="7"/>
  <c r="AC422" i="7"/>
  <c r="AC448" i="7"/>
  <c r="AC492" i="7"/>
  <c r="O647" i="7"/>
  <c r="AC699" i="7"/>
  <c r="O767" i="7"/>
  <c r="O831" i="7"/>
  <c r="O853" i="7"/>
  <c r="O878" i="7"/>
  <c r="O897" i="7"/>
  <c r="O915" i="7"/>
  <c r="O924" i="7"/>
  <c r="AC932" i="7"/>
  <c r="O991" i="7"/>
  <c r="O1019" i="7"/>
  <c r="O1043" i="7"/>
  <c r="O1048" i="7"/>
  <c r="AC1050" i="7"/>
  <c r="AC1066" i="7"/>
  <c r="AC264" i="7"/>
  <c r="AC378" i="7"/>
  <c r="AC405" i="7"/>
  <c r="AC468" i="7"/>
  <c r="AC502" i="7"/>
  <c r="AC633" i="7"/>
  <c r="AC650" i="7"/>
  <c r="AC707" i="7"/>
  <c r="AC817" i="7"/>
  <c r="AC861" i="7"/>
  <c r="O873" i="7"/>
  <c r="O883" i="7"/>
  <c r="AC962" i="7"/>
  <c r="O1004" i="7"/>
  <c r="AC1019" i="7"/>
  <c r="O1041" i="7"/>
  <c r="AC1061" i="7"/>
  <c r="O1071" i="7"/>
  <c r="AC283" i="7"/>
  <c r="AC323" i="7"/>
  <c r="AC348" i="7"/>
  <c r="AC353" i="7"/>
  <c r="AC383" i="7"/>
  <c r="AC588" i="7"/>
  <c r="O637" i="7"/>
  <c r="O652" i="7"/>
  <c r="O669" i="7"/>
  <c r="O684" i="7"/>
  <c r="O689" i="7"/>
  <c r="O729" i="7"/>
  <c r="O812" i="7"/>
  <c r="AC851" i="7"/>
  <c r="O856" i="7"/>
  <c r="O870" i="7"/>
  <c r="O875" i="7"/>
  <c r="O922" i="7"/>
  <c r="AC964" i="7"/>
  <c r="AC974" i="7"/>
  <c r="O1012" i="7"/>
  <c r="O1017" i="7"/>
  <c r="AC1033" i="7"/>
  <c r="AC1038" i="7"/>
  <c r="AC1056" i="7"/>
  <c r="O1086" i="7"/>
  <c r="AC273" i="7"/>
  <c r="AC380" i="7"/>
  <c r="AC487" i="7"/>
  <c r="AC535" i="7"/>
  <c r="AC593" i="7"/>
  <c r="AC603" i="7"/>
  <c r="O625" i="7"/>
  <c r="O657" i="7"/>
  <c r="O715" i="7"/>
  <c r="O742" i="7"/>
  <c r="AC755" i="7"/>
  <c r="O772" i="7"/>
  <c r="AC785" i="7"/>
  <c r="O792" i="7"/>
  <c r="O799" i="7"/>
  <c r="AC827" i="7"/>
  <c r="AC849" i="7"/>
  <c r="O863" i="7"/>
  <c r="O893" i="7"/>
  <c r="AC903" i="7"/>
  <c r="AC913" i="7"/>
  <c r="AC925" i="7"/>
  <c r="O950" i="7"/>
  <c r="O977" i="7"/>
  <c r="AC1007" i="7"/>
  <c r="AC1017" i="7"/>
  <c r="O1022" i="7"/>
  <c r="O1053" i="7"/>
  <c r="O1069" i="7"/>
  <c r="AC291" i="7"/>
  <c r="AC385" i="7"/>
  <c r="AC432" i="7"/>
  <c r="AC665" i="7"/>
  <c r="AC694" i="7"/>
  <c r="AC700" i="7"/>
  <c r="O710" i="7"/>
  <c r="O807" i="7"/>
  <c r="AC824" i="7"/>
  <c r="O844" i="7"/>
  <c r="AC871" i="7"/>
  <c r="AC908" i="7"/>
  <c r="O923" i="7"/>
  <c r="AC950" i="7"/>
  <c r="AC975" i="7"/>
  <c r="AC985" i="7"/>
  <c r="O990" i="7"/>
  <c r="O1034" i="7"/>
  <c r="AC1051" i="7"/>
  <c r="AC1064" i="7"/>
  <c r="AC259" i="7"/>
  <c r="AC306" i="7"/>
  <c r="AC376" i="7"/>
  <c r="AC476" i="7"/>
  <c r="AC551" i="7"/>
  <c r="AC600" i="7"/>
  <c r="AC606" i="7"/>
  <c r="O670" i="7"/>
  <c r="O685" i="7"/>
  <c r="AC715" i="7"/>
  <c r="O763" i="7"/>
  <c r="AC768" i="7"/>
  <c r="O830" i="7"/>
  <c r="AC906" i="7"/>
  <c r="O933" i="7"/>
  <c r="O1027" i="7"/>
  <c r="AC503" i="7"/>
  <c r="AC525" i="7"/>
  <c r="AC562" i="7"/>
  <c r="AC586" i="7"/>
  <c r="AC621" i="7"/>
  <c r="AC636" i="7"/>
  <c r="AC670" i="7"/>
  <c r="AC675" i="7"/>
  <c r="AC713" i="7"/>
  <c r="O758" i="7"/>
  <c r="AC790" i="7"/>
  <c r="O835" i="7"/>
  <c r="AC854" i="7"/>
  <c r="O891" i="7"/>
  <c r="O901" i="7"/>
  <c r="AC938" i="7"/>
  <c r="O945" i="7"/>
  <c r="AC953" i="7"/>
  <c r="O1029" i="7"/>
  <c r="M7" i="7"/>
  <c r="AH6" i="7"/>
  <c r="J7" i="7"/>
  <c r="AC192" i="7"/>
  <c r="AC89" i="7"/>
  <c r="AC36" i="7"/>
  <c r="AW1" i="20"/>
  <c r="AW35" i="20" s="1"/>
  <c r="AC18" i="7"/>
  <c r="AC44" i="7"/>
  <c r="AC101" i="7"/>
  <c r="AC172" i="7"/>
  <c r="AC13" i="7"/>
  <c r="AC26" i="7"/>
  <c r="AC50" i="7"/>
  <c r="AC84" i="7"/>
  <c r="AC96" i="7"/>
  <c r="AC42" i="7"/>
  <c r="AC252" i="7"/>
  <c r="AC34" i="7"/>
  <c r="AC67" i="7"/>
  <c r="AC115" i="7"/>
  <c r="AC137" i="7"/>
  <c r="AC11" i="7"/>
  <c r="AC62" i="7"/>
  <c r="AC110" i="7"/>
  <c r="AC9" i="7"/>
  <c r="AC29" i="7"/>
  <c r="AC53" i="7"/>
  <c r="AC69" i="7"/>
  <c r="AC74" i="7"/>
  <c r="AC117" i="7"/>
  <c r="AC141" i="7"/>
  <c r="AC19" i="7"/>
  <c r="AC100" i="7"/>
  <c r="AC195" i="7"/>
  <c r="AC228" i="7"/>
  <c r="AC282" i="7"/>
  <c r="AC398" i="7"/>
  <c r="AC17" i="7"/>
  <c r="AC64" i="7"/>
  <c r="AC112" i="7"/>
  <c r="AC164" i="7"/>
  <c r="AC27" i="7"/>
  <c r="AC51" i="7"/>
  <c r="AC57" i="7"/>
  <c r="AC25" i="7"/>
  <c r="AC43" i="7"/>
  <c r="AC49" i="7"/>
  <c r="AC78" i="7"/>
  <c r="AC12" i="7"/>
  <c r="AC35" i="7"/>
  <c r="AC41" i="7"/>
  <c r="AC169" i="7"/>
  <c r="AC211" i="7"/>
  <c r="AC237" i="7"/>
  <c r="AC33" i="7"/>
  <c r="AC154" i="7"/>
  <c r="AC20" i="7"/>
  <c r="AC68" i="7"/>
  <c r="AC80" i="7"/>
  <c r="AC116" i="7"/>
  <c r="AC136" i="7"/>
  <c r="AC185" i="7"/>
  <c r="AC10" i="7"/>
  <c r="AC99" i="7"/>
  <c r="AC118" i="7"/>
  <c r="AC140" i="7"/>
  <c r="AC144" i="7"/>
  <c r="AC253" i="7"/>
  <c r="AC28" i="7"/>
  <c r="AC52" i="7"/>
  <c r="AC94" i="7"/>
  <c r="AC104" i="7"/>
  <c r="AC134" i="7"/>
  <c r="AC207" i="7"/>
  <c r="AC39" i="7"/>
  <c r="AC47" i="7"/>
  <c r="AC55" i="7"/>
  <c r="AC60" i="7"/>
  <c r="AC76" i="7"/>
  <c r="AC92" i="7"/>
  <c r="AC146" i="7"/>
  <c r="AC231" i="7"/>
  <c r="AC234" i="7"/>
  <c r="AC142" i="7"/>
  <c r="AC199" i="7"/>
  <c r="AC218" i="7"/>
  <c r="AC247" i="7"/>
  <c r="AC250" i="7"/>
  <c r="AC289" i="7"/>
  <c r="AC152" i="7"/>
  <c r="AC168" i="7"/>
  <c r="AC184" i="7"/>
  <c r="AC236" i="7"/>
  <c r="AC317" i="7"/>
  <c r="AC374" i="7"/>
  <c r="AC119" i="7"/>
  <c r="AC151" i="7"/>
  <c r="AC191" i="7"/>
  <c r="AC206" i="7"/>
  <c r="AC277" i="7"/>
  <c r="AC318" i="7"/>
  <c r="AC120" i="7"/>
  <c r="AC167" i="7"/>
  <c r="AC227" i="7"/>
  <c r="AC177" i="7"/>
  <c r="AC183" i="7"/>
  <c r="AC202" i="7"/>
  <c r="AC292" i="7"/>
  <c r="AC351" i="7"/>
  <c r="AC179" i="7"/>
  <c r="AC216" i="7"/>
  <c r="AC238" i="7"/>
  <c r="AC244" i="7"/>
  <c r="AC171" i="7"/>
  <c r="AC175" i="7"/>
  <c r="AC190" i="7"/>
  <c r="AC243" i="7"/>
  <c r="AC246" i="7"/>
  <c r="AC254" i="7"/>
  <c r="AC321" i="7"/>
  <c r="AC223" i="7"/>
  <c r="AC226" i="7"/>
  <c r="AC270" i="7"/>
  <c r="AC272" i="7"/>
  <c r="AC130" i="7"/>
  <c r="AC186" i="7"/>
  <c r="AC248" i="7"/>
  <c r="AC251" i="7"/>
  <c r="AC155" i="7"/>
  <c r="AC178" i="7"/>
  <c r="AC215" i="7"/>
  <c r="AC451" i="7"/>
  <c r="AC135" i="7"/>
  <c r="AC165" i="7"/>
  <c r="AC170" i="7"/>
  <c r="AC174" i="7"/>
  <c r="AC200" i="7"/>
  <c r="AC219" i="7"/>
  <c r="AC324" i="7"/>
  <c r="AC366" i="7"/>
  <c r="AC377" i="7"/>
  <c r="AC239" i="7"/>
  <c r="AC255" i="7"/>
  <c r="AC278" i="7"/>
  <c r="AC313" i="7"/>
  <c r="AC335" i="7"/>
  <c r="AC341" i="7"/>
  <c r="AC421" i="7"/>
  <c r="AC595" i="7"/>
  <c r="AC297" i="7"/>
  <c r="AC344" i="7"/>
  <c r="AC356" i="7"/>
  <c r="AC368" i="7"/>
  <c r="AC413" i="7"/>
  <c r="AC559" i="7"/>
  <c r="AC293" i="7"/>
  <c r="AC303" i="7"/>
  <c r="AC309" i="7"/>
  <c r="AC361" i="7"/>
  <c r="AC372" i="7"/>
  <c r="AC392" i="7"/>
  <c r="AC458" i="7"/>
  <c r="AC475" i="7"/>
  <c r="AC554" i="7"/>
  <c r="AC261" i="7"/>
  <c r="AC328" i="7"/>
  <c r="AC358" i="7"/>
  <c r="AC419" i="7"/>
  <c r="AC473" i="7"/>
  <c r="AC260" i="7"/>
  <c r="AC276" i="7"/>
  <c r="AC312" i="7"/>
  <c r="AC340" i="7"/>
  <c r="AC404" i="7"/>
  <c r="AC417" i="7"/>
  <c r="AC308" i="7"/>
  <c r="AC406" i="7"/>
  <c r="AC286" i="7"/>
  <c r="AC288" i="7"/>
  <c r="AC393" i="7"/>
  <c r="AC463" i="7"/>
  <c r="AC363" i="7"/>
  <c r="AC382" i="7"/>
  <c r="AC387" i="7"/>
  <c r="AC410" i="7"/>
  <c r="AC280" i="7"/>
  <c r="AC331" i="7"/>
  <c r="AC342" i="7"/>
  <c r="AC350" i="7"/>
  <c r="AC315" i="7"/>
  <c r="AC326" i="7"/>
  <c r="AC330" i="7"/>
  <c r="AC336" i="7"/>
  <c r="AC337" i="7"/>
  <c r="AC345" i="7"/>
  <c r="AC357" i="7"/>
  <c r="AC373" i="7"/>
  <c r="AC384" i="7"/>
  <c r="AC429" i="7"/>
  <c r="AC274" i="7"/>
  <c r="AC287" i="7"/>
  <c r="AC310" i="7"/>
  <c r="AC314" i="7"/>
  <c r="AC320" i="7"/>
  <c r="AC334" i="7"/>
  <c r="AC388" i="7"/>
  <c r="AC408" i="7"/>
  <c r="AC450" i="7"/>
  <c r="AC553" i="7"/>
  <c r="AC641" i="7"/>
  <c r="O641" i="7"/>
  <c r="AC265" i="7"/>
  <c r="AC294" i="7"/>
  <c r="AC298" i="7"/>
  <c r="AC304" i="7"/>
  <c r="AC305" i="7"/>
  <c r="AC352" i="7"/>
  <c r="AC390" i="7"/>
  <c r="AC418" i="7"/>
  <c r="AC436" i="7"/>
  <c r="AC440" i="7"/>
  <c r="AC517" i="7"/>
  <c r="AC447" i="7"/>
  <c r="AC469" i="7"/>
  <c r="AC547" i="7"/>
  <c r="AC697" i="7"/>
  <c r="O697" i="7"/>
  <c r="AC435" i="7"/>
  <c r="AC522" i="7"/>
  <c r="AC472" i="7"/>
  <c r="AC545" i="7"/>
  <c r="AC556" i="7"/>
  <c r="AC431" i="7"/>
  <c r="AC442" i="7"/>
  <c r="AC446" i="7"/>
  <c r="AC561" i="7"/>
  <c r="AC430" i="7"/>
  <c r="AC453" i="7"/>
  <c r="AC457" i="7"/>
  <c r="O720" i="7"/>
  <c r="AC720" i="7"/>
  <c r="AC474" i="7"/>
  <c r="AC501" i="7"/>
  <c r="AC574" i="7"/>
  <c r="AC589" i="7"/>
  <c r="AC613" i="7"/>
  <c r="AC627" i="7"/>
  <c r="O627" i="7"/>
  <c r="AC428" i="7"/>
  <c r="AC437" i="7"/>
  <c r="AC494" i="7"/>
  <c r="AC523" i="7"/>
  <c r="AC557" i="7"/>
  <c r="AC424" i="7"/>
  <c r="AC425" i="7"/>
  <c r="AC452" i="7"/>
  <c r="AC456" i="7"/>
  <c r="AC496" i="7"/>
  <c r="AC546" i="7"/>
  <c r="AC552" i="7"/>
  <c r="AC587" i="7"/>
  <c r="AC618" i="7"/>
  <c r="AC490" i="7"/>
  <c r="AC498" i="7"/>
  <c r="AC518" i="7"/>
  <c r="AC630" i="7"/>
  <c r="O630" i="7"/>
  <c r="AC555" i="7"/>
  <c r="AC596" i="7"/>
  <c r="O656" i="7"/>
  <c r="AC656" i="7"/>
  <c r="O701" i="7"/>
  <c r="AC701" i="7"/>
  <c r="AC464" i="7"/>
  <c r="AC521" i="7"/>
  <c r="AC605" i="7"/>
  <c r="AC810" i="7"/>
  <c r="O810" i="7"/>
  <c r="O651" i="7"/>
  <c r="AC651" i="7"/>
  <c r="O672" i="7"/>
  <c r="AC672" i="7"/>
  <c r="AC750" i="7"/>
  <c r="O750" i="7"/>
  <c r="AC499" i="7"/>
  <c r="AC513" i="7"/>
  <c r="AC594" i="7"/>
  <c r="AC604" i="7"/>
  <c r="AC611" i="7"/>
  <c r="AC714" i="7"/>
  <c r="O714" i="7"/>
  <c r="AC530" i="7"/>
  <c r="AC572" i="7"/>
  <c r="AC585" i="7"/>
  <c r="AC638" i="7"/>
  <c r="AC648" i="7"/>
  <c r="O648" i="7"/>
  <c r="O678" i="7"/>
  <c r="AC678" i="7"/>
  <c r="AC682" i="7"/>
  <c r="O682" i="7"/>
  <c r="AC712" i="7"/>
  <c r="O712" i="7"/>
  <c r="AC754" i="7"/>
  <c r="O754" i="7"/>
  <c r="AC653" i="7"/>
  <c r="O653" i="7"/>
  <c r="AC774" i="7"/>
  <c r="O774" i="7"/>
  <c r="O885" i="7"/>
  <c r="AC885" i="7"/>
  <c r="AC686" i="7"/>
  <c r="O686" i="7"/>
  <c r="O725" i="7"/>
  <c r="AC725" i="7"/>
  <c r="AC744" i="7"/>
  <c r="O744" i="7"/>
  <c r="AC859" i="7"/>
  <c r="O859" i="7"/>
  <c r="O645" i="7"/>
  <c r="AC645" i="7"/>
  <c r="AC660" i="7"/>
  <c r="O660" i="7"/>
  <c r="O665" i="7"/>
  <c r="AC702" i="7"/>
  <c r="O702" i="7"/>
  <c r="AC655" i="7"/>
  <c r="O655" i="7"/>
  <c r="AC692" i="7"/>
  <c r="O692" i="7"/>
  <c r="O736" i="7"/>
  <c r="AC736" i="7"/>
  <c r="O757" i="7"/>
  <c r="AC757" i="7"/>
  <c r="AC779" i="7"/>
  <c r="O779" i="7"/>
  <c r="AC482" i="7"/>
  <c r="AC508" i="7"/>
  <c r="AC526" i="7"/>
  <c r="O638" i="7"/>
  <c r="AC647" i="7"/>
  <c r="AC719" i="7"/>
  <c r="O795" i="7"/>
  <c r="AC795" i="7"/>
  <c r="AC483" i="7"/>
  <c r="AC542" i="7"/>
  <c r="AC544" i="7"/>
  <c r="AC579" i="7"/>
  <c r="AC580" i="7"/>
  <c r="AC706" i="7"/>
  <c r="O706" i="7"/>
  <c r="AC802" i="7"/>
  <c r="O802" i="7"/>
  <c r="AC807" i="7"/>
  <c r="AC514" i="7"/>
  <c r="AC563" i="7"/>
  <c r="AC564" i="7"/>
  <c r="AC578" i="7"/>
  <c r="O626" i="7"/>
  <c r="AC664" i="7"/>
  <c r="O664" i="7"/>
  <c r="AC666" i="7"/>
  <c r="O666" i="7"/>
  <c r="O717" i="7"/>
  <c r="AC717" i="7"/>
  <c r="AC536" i="7"/>
  <c r="AC584" i="7"/>
  <c r="AC622" i="7"/>
  <c r="AC628" i="7"/>
  <c r="O628" i="7"/>
  <c r="AC631" i="7"/>
  <c r="O749" i="7"/>
  <c r="AC749" i="7"/>
  <c r="AC504" i="7"/>
  <c r="AC568" i="7"/>
  <c r="AC762" i="7"/>
  <c r="O762" i="7"/>
  <c r="AC478" i="7"/>
  <c r="O639" i="7"/>
  <c r="O709" i="7"/>
  <c r="AC709" i="7"/>
  <c r="AC745" i="7"/>
  <c r="O745" i="7"/>
  <c r="AC760" i="7"/>
  <c r="O760" i="7"/>
  <c r="AC834" i="7"/>
  <c r="O834" i="7"/>
  <c r="AC592" i="7"/>
  <c r="O687" i="7"/>
  <c r="O624" i="7"/>
  <c r="AC676" i="7"/>
  <c r="O676" i="7"/>
  <c r="AC687" i="7"/>
  <c r="AC695" i="7"/>
  <c r="AC739" i="7"/>
  <c r="AC746" i="7"/>
  <c r="O746" i="7"/>
  <c r="AC832" i="7"/>
  <c r="O832" i="7"/>
  <c r="AC615" i="7"/>
  <c r="AC616" i="7"/>
  <c r="O629" i="7"/>
  <c r="AC639" i="7"/>
  <c r="AC681" i="7"/>
  <c r="O727" i="7"/>
  <c r="O741" i="7"/>
  <c r="O793" i="7"/>
  <c r="AC793" i="7"/>
  <c r="AC940" i="7"/>
  <c r="O940" i="7"/>
  <c r="AC767" i="7"/>
  <c r="O704" i="7"/>
  <c r="AC704" i="7"/>
  <c r="O752" i="7"/>
  <c r="AC752" i="7"/>
  <c r="AC680" i="7"/>
  <c r="O680" i="7"/>
  <c r="AC728" i="7"/>
  <c r="O728" i="7"/>
  <c r="AC770" i="7"/>
  <c r="O770" i="7"/>
  <c r="AC808" i="7"/>
  <c r="AC826" i="7"/>
  <c r="O826" i="7"/>
  <c r="O677" i="7"/>
  <c r="AC691" i="7"/>
  <c r="AC711" i="7"/>
  <c r="AC735" i="7"/>
  <c r="AC759" i="7"/>
  <c r="O776" i="7"/>
  <c r="AC776" i="7"/>
  <c r="AC811" i="7"/>
  <c r="O811" i="7"/>
  <c r="AC874" i="7"/>
  <c r="O874" i="7"/>
  <c r="AC632" i="7"/>
  <c r="O632" i="7"/>
  <c r="AC644" i="7"/>
  <c r="O644" i="7"/>
  <c r="AC659" i="7"/>
  <c r="O688" i="7"/>
  <c r="AC688" i="7"/>
  <c r="AC696" i="7"/>
  <c r="O696" i="7"/>
  <c r="AC740" i="7"/>
  <c r="O809" i="7"/>
  <c r="AC809" i="7"/>
  <c r="O640" i="7"/>
  <c r="AC640" i="7"/>
  <c r="O693" i="7"/>
  <c r="AC723" i="7"/>
  <c r="AC730" i="7"/>
  <c r="O730" i="7"/>
  <c r="O735" i="7"/>
  <c r="O759" i="7"/>
  <c r="AC794" i="7"/>
  <c r="O794" i="7"/>
  <c r="AC845" i="7"/>
  <c r="AC643" i="7"/>
  <c r="AC677" i="7"/>
  <c r="AC679" i="7"/>
  <c r="AC698" i="7"/>
  <c r="O698" i="7"/>
  <c r="AC703" i="7"/>
  <c r="AC751" i="7"/>
  <c r="O766" i="7"/>
  <c r="AC781" i="7"/>
  <c r="O781" i="7"/>
  <c r="AC816" i="7"/>
  <c r="O816" i="7"/>
  <c r="O764" i="7"/>
  <c r="AC842" i="7"/>
  <c r="O842" i="7"/>
  <c r="AC881" i="7"/>
  <c r="AC782" i="7"/>
  <c r="AC806" i="7"/>
  <c r="O837" i="7"/>
  <c r="AC848" i="7"/>
  <c r="O848" i="7"/>
  <c r="AC850" i="7"/>
  <c r="O850" i="7"/>
  <c r="O917" i="7"/>
  <c r="AC917" i="7"/>
  <c r="AC954" i="7"/>
  <c r="O954" i="7"/>
  <c r="AC775" i="7"/>
  <c r="AC780" i="7"/>
  <c r="AC943" i="7"/>
  <c r="O943" i="7"/>
  <c r="AC823" i="7"/>
  <c r="AC839" i="7"/>
  <c r="AC865" i="7"/>
  <c r="AC876" i="7"/>
  <c r="O643" i="7"/>
  <c r="O659" i="7"/>
  <c r="O675" i="7"/>
  <c r="O691" i="7"/>
  <c r="O707" i="7"/>
  <c r="O723" i="7"/>
  <c r="O739" i="7"/>
  <c r="O755" i="7"/>
  <c r="O780" i="7"/>
  <c r="AC784" i="7"/>
  <c r="O784" i="7"/>
  <c r="O789" i="7"/>
  <c r="O790" i="7"/>
  <c r="O823" i="7"/>
  <c r="O825" i="7"/>
  <c r="AC825" i="7"/>
  <c r="O839" i="7"/>
  <c r="O876" i="7"/>
  <c r="O980" i="7"/>
  <c r="AC980" i="7"/>
  <c r="AC887" i="7"/>
  <c r="O887" i="7"/>
  <c r="O708" i="7"/>
  <c r="O724" i="7"/>
  <c r="O740" i="7"/>
  <c r="O756" i="7"/>
  <c r="AC797" i="7"/>
  <c r="O797" i="7"/>
  <c r="O814" i="7"/>
  <c r="AC814" i="7"/>
  <c r="O818" i="7"/>
  <c r="AC860" i="7"/>
  <c r="AC880" i="7"/>
  <c r="O880" i="7"/>
  <c r="AC882" i="7"/>
  <c r="O882" i="7"/>
  <c r="AC896" i="7"/>
  <c r="O896" i="7"/>
  <c r="O909" i="7"/>
  <c r="AC918" i="7"/>
  <c r="AC1037" i="7"/>
  <c r="O1037" i="7"/>
  <c r="O787" i="7"/>
  <c r="O860" i="7"/>
  <c r="AC929" i="7"/>
  <c r="O929" i="7"/>
  <c r="AC798" i="7"/>
  <c r="AC858" i="7"/>
  <c r="O858" i="7"/>
  <c r="AC892" i="7"/>
  <c r="O892" i="7"/>
  <c r="O771" i="7"/>
  <c r="AC796" i="7"/>
  <c r="O824" i="7"/>
  <c r="AC864" i="7"/>
  <c r="O864" i="7"/>
  <c r="AC866" i="7"/>
  <c r="O866" i="7"/>
  <c r="AC877" i="7"/>
  <c r="AC890" i="7"/>
  <c r="O890" i="7"/>
  <c r="O777" i="7"/>
  <c r="AC777" i="7"/>
  <c r="AC786" i="7"/>
  <c r="AC791" i="7"/>
  <c r="O819" i="7"/>
  <c r="O827" i="7"/>
  <c r="O914" i="7"/>
  <c r="AC914" i="7"/>
  <c r="O796" i="7"/>
  <c r="AC800" i="7"/>
  <c r="O800" i="7"/>
  <c r="AC813" i="7"/>
  <c r="AC819" i="7"/>
  <c r="AC844" i="7"/>
  <c r="AC855" i="7"/>
  <c r="AC869" i="7"/>
  <c r="AC899" i="7"/>
  <c r="O899" i="7"/>
  <c r="AC956" i="7"/>
  <c r="O1011" i="7"/>
  <c r="AC1011" i="7"/>
  <c r="AC830" i="7"/>
  <c r="AC905" i="7"/>
  <c r="O926" i="7"/>
  <c r="AC994" i="7"/>
  <c r="O994" i="7"/>
  <c r="AC841" i="7"/>
  <c r="AC857" i="7"/>
  <c r="AC873" i="7"/>
  <c r="AC893" i="7"/>
  <c r="O900" i="7"/>
  <c r="AC937" i="7"/>
  <c r="AC941" i="7"/>
  <c r="O941" i="7"/>
  <c r="O1013" i="7"/>
  <c r="AC1013" i="7"/>
  <c r="AC904" i="7"/>
  <c r="AC909" i="7"/>
  <c r="O918" i="7"/>
  <c r="AC930" i="7"/>
  <c r="O930" i="7"/>
  <c r="AC947" i="7"/>
  <c r="AC936" i="7"/>
  <c r="AC921" i="7"/>
  <c r="O925" i="7"/>
  <c r="O932" i="7"/>
  <c r="O979" i="7"/>
  <c r="AC979" i="7"/>
  <c r="O1044" i="7"/>
  <c r="AC1044" i="7"/>
  <c r="AC889" i="7"/>
  <c r="O889" i="7"/>
  <c r="O947" i="7"/>
  <c r="AC952" i="7"/>
  <c r="O985" i="7"/>
  <c r="O955" i="7"/>
  <c r="AC955" i="7"/>
  <c r="AC1065" i="7"/>
  <c r="O1065" i="7"/>
  <c r="O813" i="7"/>
  <c r="O829" i="7"/>
  <c r="O845" i="7"/>
  <c r="O861" i="7"/>
  <c r="O877" i="7"/>
  <c r="AC888" i="7"/>
  <c r="O907" i="7"/>
  <c r="O913" i="7"/>
  <c r="O916" i="7"/>
  <c r="AC920" i="7"/>
  <c r="O936" i="7"/>
  <c r="O939" i="7"/>
  <c r="O957" i="7"/>
  <c r="O972" i="7"/>
  <c r="O908" i="7"/>
  <c r="AC911" i="7"/>
  <c r="O911" i="7"/>
  <c r="AC946" i="7"/>
  <c r="O946" i="7"/>
  <c r="AC981" i="7"/>
  <c r="O997" i="7"/>
  <c r="AC997" i="7"/>
  <c r="O903" i="7"/>
  <c r="AC927" i="7"/>
  <c r="O927" i="7"/>
  <c r="AC942" i="7"/>
  <c r="O942" i="7"/>
  <c r="AC977" i="7"/>
  <c r="AC1021" i="7"/>
  <c r="O1021" i="7"/>
  <c r="AC895" i="7"/>
  <c r="O895" i="7"/>
  <c r="AC945" i="7"/>
  <c r="O948" i="7"/>
  <c r="O952" i="7"/>
  <c r="AC1008" i="7"/>
  <c r="O1008" i="7"/>
  <c r="O886" i="7"/>
  <c r="AC915" i="7"/>
  <c r="AC961" i="7"/>
  <c r="AC967" i="7"/>
  <c r="AC966" i="7"/>
  <c r="AC989" i="7"/>
  <c r="AC1025" i="7"/>
  <c r="AC1031" i="7"/>
  <c r="O1031" i="7"/>
  <c r="AC1046" i="7"/>
  <c r="AC984" i="7"/>
  <c r="O984" i="7"/>
  <c r="AC993" i="7"/>
  <c r="AC1000" i="7"/>
  <c r="O1000" i="7"/>
  <c r="AC1004" i="7"/>
  <c r="AC1015" i="7"/>
  <c r="O1046" i="7"/>
  <c r="O905" i="7"/>
  <c r="O921" i="7"/>
  <c r="O937" i="7"/>
  <c r="O953" i="7"/>
  <c r="O966" i="7"/>
  <c r="AC983" i="7"/>
  <c r="O989" i="7"/>
  <c r="O1003" i="7"/>
  <c r="AC1014" i="7"/>
  <c r="O1025" i="7"/>
  <c r="AC1030" i="7"/>
  <c r="O1036" i="7"/>
  <c r="AC1036" i="7"/>
  <c r="AC1086" i="7"/>
  <c r="O961" i="7"/>
  <c r="O969" i="7"/>
  <c r="O993" i="7"/>
  <c r="AC999" i="7"/>
  <c r="O1015" i="7"/>
  <c r="AC1052" i="7"/>
  <c r="O1052" i="7"/>
  <c r="O987" i="7"/>
  <c r="O995" i="7"/>
  <c r="O958" i="7"/>
  <c r="AC973" i="7"/>
  <c r="O978" i="7"/>
  <c r="O1010" i="7"/>
  <c r="AC1045" i="7"/>
  <c r="O1045" i="7"/>
  <c r="O1076" i="7"/>
  <c r="AC1076" i="7"/>
  <c r="AC968" i="7"/>
  <c r="O968" i="7"/>
  <c r="AC978" i="7"/>
  <c r="AC1010" i="7"/>
  <c r="AC1020" i="7"/>
  <c r="AC1058" i="7"/>
  <c r="O1058" i="7"/>
  <c r="AC998" i="7"/>
  <c r="AC1032" i="7"/>
  <c r="O1032" i="7"/>
  <c r="AC1072" i="7"/>
  <c r="O1072" i="7"/>
  <c r="AC957" i="7"/>
  <c r="O963" i="7"/>
  <c r="AC965" i="7"/>
  <c r="O999" i="7"/>
  <c r="AC972" i="7"/>
  <c r="AC995" i="7"/>
  <c r="AC1005" i="7"/>
  <c r="O1005" i="7"/>
  <c r="AC1009" i="7"/>
  <c r="AC1016" i="7"/>
  <c r="O1016" i="7"/>
  <c r="AC1026" i="7"/>
  <c r="O1026" i="7"/>
  <c r="AC1059" i="7"/>
  <c r="AC1068" i="7"/>
  <c r="O1068" i="7"/>
  <c r="AC1079" i="7"/>
  <c r="O1079" i="7"/>
  <c r="O1057" i="7"/>
  <c r="O1063" i="7"/>
  <c r="AC1083" i="7"/>
  <c r="O1083" i="7"/>
  <c r="AC1043" i="7"/>
  <c r="AC1071" i="7"/>
  <c r="O962" i="7"/>
  <c r="AC1074" i="7"/>
  <c r="AC1067" i="7"/>
  <c r="O1067" i="7"/>
  <c r="O1055" i="7"/>
  <c r="AC1057" i="7"/>
  <c r="AC1040" i="7"/>
  <c r="O1042" i="7"/>
  <c r="O1051" i="7"/>
  <c r="AC1063" i="7"/>
  <c r="O1073" i="7"/>
  <c r="O1039" i="7"/>
  <c r="O1047" i="7"/>
  <c r="AC1048" i="7"/>
  <c r="O1054" i="7"/>
  <c r="O1056" i="7"/>
  <c r="O1060" i="7"/>
  <c r="AC1084" i="7"/>
  <c r="O1084" i="7"/>
  <c r="Q7" i="7" l="1"/>
  <c r="AW250" i="20"/>
  <c r="AW384" i="20"/>
  <c r="AW195" i="20"/>
  <c r="AW247" i="20"/>
  <c r="AW138" i="20"/>
  <c r="AW366" i="20"/>
  <c r="AW229" i="20"/>
  <c r="AW334" i="20"/>
  <c r="AW228" i="20"/>
  <c r="AW86" i="20"/>
  <c r="AW367" i="20"/>
  <c r="AW233" i="20"/>
  <c r="AW12" i="20"/>
  <c r="AW214" i="20"/>
  <c r="AW113" i="20"/>
  <c r="AW383" i="20"/>
  <c r="AW379" i="20"/>
  <c r="AW234" i="20"/>
  <c r="AW172" i="20"/>
  <c r="AW280" i="20"/>
  <c r="AW98" i="20"/>
  <c r="AW166" i="20"/>
  <c r="AW175" i="20"/>
  <c r="AW101" i="20"/>
  <c r="AW150" i="20"/>
  <c r="AW44" i="20"/>
  <c r="AW33" i="20"/>
  <c r="AW375" i="20"/>
  <c r="AW382" i="20"/>
  <c r="AW294" i="20"/>
  <c r="AW145" i="20"/>
  <c r="AW251" i="20"/>
  <c r="AW337" i="20"/>
  <c r="AW134" i="20"/>
  <c r="AW170" i="20"/>
  <c r="AW83" i="20"/>
  <c r="AW123" i="20"/>
  <c r="AW36" i="20"/>
  <c r="AW9" i="20"/>
  <c r="AW371" i="20"/>
  <c r="AW345" i="20"/>
  <c r="AW378" i="20"/>
  <c r="AW252" i="20"/>
  <c r="AW140" i="20"/>
  <c r="AW200" i="20"/>
  <c r="AW292" i="20"/>
  <c r="AW107" i="20"/>
  <c r="AW143" i="20"/>
  <c r="AW248" i="20"/>
  <c r="AW241" i="20"/>
  <c r="AW118" i="20"/>
  <c r="AW20" i="20"/>
  <c r="AW64" i="20"/>
  <c r="AW380" i="20"/>
  <c r="AW363" i="20"/>
  <c r="AW362" i="20"/>
  <c r="AW220" i="20"/>
  <c r="AW77" i="20"/>
  <c r="AW176" i="20"/>
  <c r="AW231" i="20"/>
  <c r="AW197" i="20"/>
  <c r="AW111" i="20"/>
  <c r="AW147" i="20"/>
  <c r="AW209" i="20"/>
  <c r="AW82" i="20"/>
  <c r="AW19" i="20"/>
  <c r="AW376" i="20"/>
  <c r="AW348" i="20"/>
  <c r="AW356" i="20"/>
  <c r="AW347" i="20"/>
  <c r="AW354" i="20"/>
  <c r="AW191" i="20"/>
  <c r="AW202" i="20"/>
  <c r="AW149" i="20"/>
  <c r="AW218" i="20"/>
  <c r="AW243" i="20"/>
  <c r="AW106" i="20"/>
  <c r="AW142" i="20"/>
  <c r="AW183" i="20"/>
  <c r="AW39" i="20"/>
  <c r="AW60" i="20"/>
  <c r="AW372" i="20"/>
  <c r="AW381" i="20"/>
  <c r="AW351" i="20"/>
  <c r="AW186" i="20"/>
  <c r="AW213" i="20"/>
  <c r="AW144" i="20"/>
  <c r="AW185" i="20"/>
  <c r="AW230" i="20"/>
  <c r="AW76" i="20"/>
  <c r="AW110" i="20"/>
  <c r="AW178" i="20"/>
  <c r="AW31" i="20"/>
  <c r="AW67" i="20"/>
  <c r="AW364" i="20"/>
  <c r="AW377" i="20"/>
  <c r="AW288" i="20"/>
  <c r="AW159" i="20"/>
  <c r="AW190" i="20"/>
  <c r="AW117" i="20"/>
  <c r="AW180" i="20"/>
  <c r="AW211" i="20"/>
  <c r="AW284" i="20"/>
  <c r="AW78" i="20"/>
  <c r="AW151" i="20"/>
  <c r="AW15" i="20"/>
  <c r="AW59" i="20"/>
  <c r="AW360" i="20"/>
  <c r="AW373" i="20"/>
  <c r="AW246" i="20"/>
  <c r="AW127" i="20"/>
  <c r="AW158" i="20"/>
  <c r="AW112" i="20"/>
  <c r="AW116" i="20"/>
  <c r="AW199" i="20"/>
  <c r="AW242" i="20"/>
  <c r="AW105" i="20"/>
  <c r="AW119" i="20"/>
  <c r="AW70" i="20"/>
  <c r="AW51" i="20"/>
  <c r="AW344" i="20"/>
  <c r="AW358" i="20"/>
  <c r="AW369" i="20"/>
  <c r="AW227" i="20"/>
  <c r="AW122" i="20"/>
  <c r="AW131" i="20"/>
  <c r="AW85" i="20"/>
  <c r="AW89" i="20"/>
  <c r="AW189" i="20"/>
  <c r="AW193" i="20"/>
  <c r="AW114" i="20"/>
  <c r="AW62" i="20"/>
  <c r="AW336" i="20"/>
  <c r="AW340" i="20"/>
  <c r="AW365" i="20"/>
  <c r="AW66" i="20"/>
  <c r="AW126" i="20"/>
  <c r="AW79" i="20"/>
  <c r="AW215" i="20"/>
  <c r="AW184" i="20"/>
  <c r="AW188" i="20"/>
  <c r="AW282" i="20"/>
  <c r="AW46" i="20"/>
  <c r="AW27" i="20"/>
  <c r="AW361" i="20"/>
  <c r="AW196" i="20"/>
  <c r="AW169" i="20"/>
  <c r="AW99" i="20"/>
  <c r="AW286" i="20"/>
  <c r="AW137" i="20"/>
  <c r="AW157" i="20"/>
  <c r="AW156" i="20"/>
  <c r="AW296" i="20"/>
  <c r="AW240" i="20"/>
  <c r="AW30" i="20"/>
  <c r="AW34" i="20"/>
  <c r="AW349" i="20"/>
  <c r="AW168" i="20"/>
  <c r="AW239" i="20"/>
  <c r="AW94" i="20"/>
  <c r="AW244" i="20"/>
  <c r="AW237" i="20"/>
  <c r="AW125" i="20"/>
  <c r="AW129" i="20"/>
  <c r="AW235" i="20"/>
  <c r="AW208" i="20"/>
  <c r="AW14" i="20"/>
  <c r="AW57" i="20"/>
  <c r="AW353" i="20"/>
  <c r="AW350" i="20"/>
  <c r="AW141" i="20"/>
  <c r="AW207" i="20"/>
  <c r="AW7" i="20"/>
  <c r="AW162" i="20"/>
  <c r="AW224" i="20"/>
  <c r="AW120" i="20"/>
  <c r="AW124" i="20"/>
  <c r="AW203" i="20"/>
  <c r="AW187" i="20"/>
  <c r="AW69" i="20"/>
  <c r="AW25" i="20"/>
  <c r="AW346" i="20"/>
  <c r="AW104" i="20"/>
  <c r="AW201" i="20"/>
  <c r="AW135" i="20"/>
  <c r="AW205" i="20"/>
  <c r="AW236" i="20"/>
  <c r="AW97" i="20"/>
  <c r="AW192" i="20"/>
  <c r="AW182" i="20"/>
  <c r="AW45" i="20"/>
  <c r="AW17" i="20"/>
  <c r="AC7" i="7"/>
  <c r="AE7" i="7" s="1"/>
  <c r="AE8" i="7" s="1"/>
  <c r="AW75" i="20"/>
  <c r="AW177" i="20"/>
  <c r="AW103" i="20"/>
  <c r="AW171" i="20"/>
  <c r="AW217" i="20"/>
  <c r="AW92" i="20"/>
  <c r="AW128" i="20"/>
  <c r="AW155" i="20"/>
  <c r="AW29" i="20"/>
  <c r="AW65" i="20"/>
  <c r="Q8" i="7"/>
  <c r="AW359" i="20"/>
  <c r="AW338" i="20"/>
  <c r="AW357" i="20"/>
  <c r="AW339" i="20"/>
  <c r="AW226" i="20"/>
  <c r="AW163" i="20"/>
  <c r="AW181" i="20"/>
  <c r="AW130" i="20"/>
  <c r="AW81" i="20"/>
  <c r="AW132" i="20"/>
  <c r="AW204" i="20"/>
  <c r="AW161" i="20"/>
  <c r="AW115" i="20"/>
  <c r="AW96" i="20"/>
  <c r="AW221" i="20"/>
  <c r="AW23" i="20"/>
  <c r="AW28" i="20"/>
  <c r="AW41" i="20"/>
  <c r="AW368" i="20"/>
  <c r="AW341" i="20"/>
  <c r="AW352" i="20"/>
  <c r="AW173" i="20"/>
  <c r="AW154" i="20"/>
  <c r="AW108" i="20"/>
  <c r="AW93" i="20"/>
  <c r="AW194" i="20"/>
  <c r="AW139" i="20"/>
  <c r="AW152" i="20"/>
  <c r="AW342" i="20"/>
  <c r="AW290" i="20"/>
  <c r="AW222" i="20"/>
  <c r="AW146" i="20"/>
  <c r="AW91" i="20"/>
  <c r="AW61" i="20"/>
  <c r="AW43" i="20"/>
  <c r="AW343" i="20"/>
  <c r="AW355" i="20"/>
  <c r="AW374" i="20"/>
  <c r="AW136" i="20"/>
  <c r="AW95" i="20"/>
  <c r="AW73" i="20"/>
  <c r="AW238" i="20"/>
  <c r="AW225" i="20"/>
  <c r="AW153" i="20"/>
  <c r="AW102" i="20"/>
  <c r="AW88" i="20"/>
  <c r="AW223" i="20"/>
  <c r="AW216" i="20"/>
  <c r="AW165" i="20"/>
  <c r="AW87" i="20"/>
  <c r="AW71" i="20"/>
  <c r="AW13" i="20"/>
  <c r="AW11" i="20"/>
  <c r="AW370" i="20"/>
  <c r="AW109" i="20"/>
  <c r="AW90" i="20"/>
  <c r="AW245" i="20"/>
  <c r="AW219" i="20"/>
  <c r="AW212" i="20"/>
  <c r="AW148" i="20"/>
  <c r="AW84" i="20"/>
  <c r="AW164" i="20"/>
  <c r="AW210" i="20"/>
  <c r="AW179" i="20"/>
  <c r="AW160" i="20"/>
  <c r="AW80" i="20"/>
  <c r="AW63" i="20"/>
  <c r="AW68" i="20"/>
  <c r="AW333" i="20"/>
  <c r="AW331" i="20"/>
  <c r="AW329" i="20"/>
  <c r="AW327" i="20"/>
  <c r="AW325" i="20"/>
  <c r="AW323" i="20"/>
  <c r="AW321" i="20"/>
  <c r="AW319" i="20"/>
  <c r="AW317" i="20"/>
  <c r="AW315" i="20"/>
  <c r="AW313" i="20"/>
  <c r="AW311" i="20"/>
  <c r="AW309" i="20"/>
  <c r="AW307" i="20"/>
  <c r="AW305" i="20"/>
  <c r="AW303" i="20"/>
  <c r="AW301" i="20"/>
  <c r="AW299" i="20"/>
  <c r="AW297" i="20"/>
  <c r="AW295" i="20"/>
  <c r="AW293" i="20"/>
  <c r="AW291" i="20"/>
  <c r="AW289" i="20"/>
  <c r="AW287" i="20"/>
  <c r="AW285" i="20"/>
  <c r="AW283" i="20"/>
  <c r="AW281" i="20"/>
  <c r="AW335" i="20"/>
  <c r="AW332" i="20"/>
  <c r="AW330" i="20"/>
  <c r="AW328" i="20"/>
  <c r="AW326" i="20"/>
  <c r="AW324" i="20"/>
  <c r="AW322" i="20"/>
  <c r="AW320" i="20"/>
  <c r="AW318" i="20"/>
  <c r="AW316" i="20"/>
  <c r="AW314" i="20"/>
  <c r="AW312" i="20"/>
  <c r="AW310" i="20"/>
  <c r="AW308" i="20"/>
  <c r="AW306" i="20"/>
  <c r="AW304" i="20"/>
  <c r="AW302" i="20"/>
  <c r="AW300" i="20"/>
  <c r="AW298" i="20"/>
  <c r="AW58" i="20"/>
  <c r="AW42" i="20"/>
  <c r="AW26" i="20"/>
  <c r="AW10" i="20"/>
  <c r="AW22" i="20"/>
  <c r="AW47" i="20"/>
  <c r="AW40" i="20"/>
  <c r="AW8" i="20"/>
  <c r="AW49" i="20"/>
  <c r="AW48" i="20"/>
  <c r="AW32" i="20"/>
  <c r="AW72" i="20"/>
  <c r="AW56" i="20"/>
  <c r="AW24" i="20"/>
  <c r="AW18" i="20"/>
  <c r="AW54" i="20"/>
  <c r="AW38" i="20"/>
  <c r="AW16" i="20"/>
  <c r="AW53" i="20"/>
  <c r="AW37" i="20"/>
  <c r="AW21" i="20"/>
  <c r="AW232" i="20"/>
  <c r="AW206" i="20"/>
  <c r="AW167" i="20"/>
  <c r="AW121" i="20"/>
  <c r="AW74" i="20"/>
  <c r="AW249" i="20"/>
  <c r="AW198" i="20"/>
  <c r="AW174" i="20"/>
  <c r="AW133" i="20"/>
  <c r="AW100" i="20"/>
  <c r="AW55" i="20"/>
  <c r="AW52" i="20"/>
  <c r="AW50" i="20"/>
  <c r="AF7" i="7"/>
  <c r="R7" i="7"/>
  <c r="BB384" i="20" l="1"/>
  <c r="BA384" i="20"/>
  <c r="AZ384" i="20"/>
  <c r="AY384" i="20"/>
  <c r="AX384" i="20"/>
  <c r="AX289" i="20"/>
  <c r="BB383" i="20"/>
  <c r="BA383" i="20"/>
  <c r="AZ383" i="20"/>
  <c r="AY383" i="20"/>
  <c r="AX383" i="20"/>
  <c r="AY79" i="20"/>
  <c r="AZ179" i="20"/>
  <c r="AX210" i="20"/>
  <c r="BA82" i="20"/>
  <c r="AY338" i="20"/>
  <c r="AZ112" i="20"/>
  <c r="BB135" i="20"/>
  <c r="AX304" i="20"/>
  <c r="AZ109" i="20"/>
  <c r="AY230" i="20"/>
  <c r="AY151" i="20"/>
  <c r="BA69" i="20"/>
  <c r="BA291" i="20"/>
  <c r="AZ64" i="20"/>
  <c r="AY195" i="20"/>
  <c r="AY314" i="20"/>
  <c r="BB249" i="20"/>
  <c r="AY296" i="20"/>
  <c r="BA252" i="20"/>
  <c r="BB221" i="20"/>
  <c r="AY336" i="20"/>
  <c r="BB129" i="20"/>
  <c r="BB59" i="20"/>
  <c r="AZ294" i="20"/>
  <c r="AX79" i="20"/>
  <c r="AY211" i="20"/>
  <c r="BA230" i="20"/>
  <c r="AY71" i="20"/>
  <c r="BA348" i="20"/>
  <c r="BA287" i="20"/>
  <c r="AY214" i="20"/>
  <c r="AZ300" i="20"/>
  <c r="AY146" i="20"/>
  <c r="AX234" i="20"/>
  <c r="AY239" i="20"/>
  <c r="AY173" i="20"/>
  <c r="AX173" i="20"/>
  <c r="BA173" i="20"/>
  <c r="BB173" i="20"/>
  <c r="AZ173" i="20"/>
  <c r="AY169" i="20"/>
  <c r="AX169" i="20"/>
  <c r="AY171" i="20"/>
  <c r="BB172" i="20"/>
  <c r="BB169" i="20"/>
  <c r="BB168" i="20"/>
  <c r="AX171" i="20"/>
  <c r="BA172" i="20"/>
  <c r="BA169" i="20"/>
  <c r="BA168" i="20"/>
  <c r="BB171" i="20"/>
  <c r="AZ172" i="20"/>
  <c r="AZ169" i="20"/>
  <c r="AZ168" i="20"/>
  <c r="BA171" i="20"/>
  <c r="AY172" i="20"/>
  <c r="AY168" i="20"/>
  <c r="AZ171" i="20"/>
  <c r="AX168" i="20"/>
  <c r="AZ170" i="20"/>
  <c r="AY170" i="20"/>
  <c r="AX170" i="20"/>
  <c r="AY101" i="20"/>
  <c r="AX101" i="20"/>
  <c r="BB101" i="20"/>
  <c r="BA101" i="20"/>
  <c r="AZ101" i="20"/>
  <c r="BA364" i="20"/>
  <c r="AZ364" i="20"/>
  <c r="AY364" i="20"/>
  <c r="AX364" i="20"/>
  <c r="BB364" i="20"/>
  <c r="BB341" i="20"/>
  <c r="BA341" i="20"/>
  <c r="AZ341" i="20"/>
  <c r="AY341" i="20"/>
  <c r="AX341" i="20"/>
  <c r="BB340" i="20"/>
  <c r="BA340" i="20"/>
  <c r="AZ340" i="20"/>
  <c r="AY340" i="20"/>
  <c r="AX340" i="20"/>
  <c r="BB373" i="20"/>
  <c r="BA373" i="20"/>
  <c r="AZ373" i="20"/>
  <c r="AY373" i="20"/>
  <c r="AX373" i="20"/>
  <c r="BB200" i="20"/>
  <c r="BA200" i="20"/>
  <c r="AZ200" i="20"/>
  <c r="AY200" i="20"/>
  <c r="AX200" i="20"/>
  <c r="AY199" i="20"/>
  <c r="AX199" i="20"/>
  <c r="BA199" i="20"/>
  <c r="BB199" i="20"/>
  <c r="AZ199" i="20"/>
  <c r="BB188" i="20"/>
  <c r="BA188" i="20"/>
  <c r="AZ188" i="20"/>
  <c r="AY188" i="20"/>
  <c r="AX188" i="20"/>
  <c r="AY187" i="20"/>
  <c r="AX187" i="20"/>
  <c r="BA187" i="20"/>
  <c r="BB186" i="20"/>
  <c r="BA186" i="20"/>
  <c r="AZ186" i="20"/>
  <c r="AY186" i="20"/>
  <c r="AY294" i="20"/>
  <c r="AX174" i="20"/>
  <c r="AY167" i="20"/>
  <c r="AX167" i="20"/>
  <c r="BB167" i="20"/>
  <c r="BA167" i="20"/>
  <c r="AZ167" i="20"/>
  <c r="AY164" i="20"/>
  <c r="BB162" i="20"/>
  <c r="AX164" i="20"/>
  <c r="BA162" i="20"/>
  <c r="AZ162" i="20"/>
  <c r="AY162" i="20"/>
  <c r="AX162" i="20"/>
  <c r="AY163" i="20"/>
  <c r="AY165" i="20"/>
  <c r="AX163" i="20"/>
  <c r="AX165" i="20"/>
  <c r="BB163" i="20"/>
  <c r="BB165" i="20"/>
  <c r="BA163" i="20"/>
  <c r="BA165" i="20"/>
  <c r="BB164" i="20"/>
  <c r="AZ163" i="20"/>
  <c r="AZ165" i="20"/>
  <c r="BA164" i="20"/>
  <c r="AX251" i="20"/>
  <c r="BA194" i="20"/>
  <c r="AZ83" i="20"/>
  <c r="BA207" i="20"/>
  <c r="AX239" i="20"/>
  <c r="BB183" i="20"/>
  <c r="AY315" i="20"/>
  <c r="BB312" i="20"/>
  <c r="BA178" i="20"/>
  <c r="AZ219" i="20"/>
  <c r="AY219" i="20"/>
  <c r="AX219" i="20"/>
  <c r="BA219" i="20"/>
  <c r="BB219" i="20"/>
  <c r="BB218" i="20"/>
  <c r="BA218" i="20"/>
  <c r="AY218" i="20"/>
  <c r="AX218" i="20"/>
  <c r="BB326" i="20"/>
  <c r="BB92" i="20"/>
  <c r="BA92" i="20"/>
  <c r="AZ92" i="20"/>
  <c r="AY92" i="20"/>
  <c r="AX92" i="20"/>
  <c r="AY91" i="20"/>
  <c r="AX91" i="20"/>
  <c r="AZ91" i="20"/>
  <c r="BB91" i="20"/>
  <c r="BA91" i="20"/>
  <c r="BB345" i="20"/>
  <c r="BA345" i="20"/>
  <c r="AZ345" i="20"/>
  <c r="AY345" i="20"/>
  <c r="AX345" i="20"/>
  <c r="BB344" i="20"/>
  <c r="BA344" i="20"/>
  <c r="AZ344" i="20"/>
  <c r="AX344" i="20"/>
  <c r="BB377" i="20"/>
  <c r="BA377" i="20"/>
  <c r="AZ377" i="20"/>
  <c r="AY377" i="20"/>
  <c r="AX377" i="20"/>
  <c r="BB63" i="20"/>
  <c r="BA63" i="20"/>
  <c r="AZ63" i="20"/>
  <c r="AY63" i="20"/>
  <c r="AX63" i="20"/>
  <c r="AZ79" i="20"/>
  <c r="BA294" i="20"/>
  <c r="BA174" i="20"/>
  <c r="AZ252" i="20"/>
  <c r="AY252" i="20"/>
  <c r="AX252" i="20"/>
  <c r="BA251" i="20"/>
  <c r="BB251" i="20"/>
  <c r="BB252" i="20"/>
  <c r="AZ251" i="20"/>
  <c r="AX242" i="20"/>
  <c r="BB295" i="20"/>
  <c r="AZ230" i="20"/>
  <c r="AY304" i="20"/>
  <c r="BA223" i="20"/>
  <c r="AY234" i="20"/>
  <c r="AZ348" i="20"/>
  <c r="AX311" i="20"/>
  <c r="AX286" i="20"/>
  <c r="AZ247" i="20"/>
  <c r="BB375" i="20"/>
  <c r="BA375" i="20"/>
  <c r="AZ375" i="20"/>
  <c r="AY375" i="20"/>
  <c r="AX375" i="20"/>
  <c r="AZ336" i="20"/>
  <c r="AY292" i="20"/>
  <c r="AY331" i="20"/>
  <c r="BA190" i="20"/>
  <c r="BA368" i="20"/>
  <c r="AZ368" i="20"/>
  <c r="AY368" i="20"/>
  <c r="AX368" i="20"/>
  <c r="BB368" i="20"/>
  <c r="R8" i="7"/>
  <c r="R9" i="7" s="1"/>
  <c r="R10" i="7" s="1"/>
  <c r="R11" i="7" s="1"/>
  <c r="R12" i="7" s="1"/>
  <c r="R13" i="7" s="1"/>
  <c r="R14" i="7" s="1"/>
  <c r="R15" i="7" s="1"/>
  <c r="R16" i="7" s="1"/>
  <c r="R17" i="7" s="1"/>
  <c r="R18" i="7" s="1"/>
  <c r="R19" i="7" s="1"/>
  <c r="R20" i="7" s="1"/>
  <c r="R21" i="7" s="1"/>
  <c r="R22" i="7" s="1"/>
  <c r="R23" i="7" s="1"/>
  <c r="R24" i="7" s="1"/>
  <c r="R25" i="7" s="1"/>
  <c r="R26" i="7" s="1"/>
  <c r="R27" i="7" s="1"/>
  <c r="R28" i="7" s="1"/>
  <c r="R29" i="7" s="1"/>
  <c r="R30" i="7" s="1"/>
  <c r="R31" i="7" s="1"/>
  <c r="R32" i="7" s="1"/>
  <c r="R33" i="7" s="1"/>
  <c r="R34" i="7" s="1"/>
  <c r="R35" i="7" s="1"/>
  <c r="R36" i="7" s="1"/>
  <c r="R37" i="7" s="1"/>
  <c r="R38" i="7" s="1"/>
  <c r="R39" i="7" s="1"/>
  <c r="R40" i="7" s="1"/>
  <c r="R41" i="7" s="1"/>
  <c r="R42" i="7" s="1"/>
  <c r="R43" i="7" s="1"/>
  <c r="R44" i="7" s="1"/>
  <c r="R45" i="7" s="1"/>
  <c r="R46" i="7" s="1"/>
  <c r="R47" i="7" s="1"/>
  <c r="R48" i="7" s="1"/>
  <c r="R49" i="7" s="1"/>
  <c r="R50" i="7" s="1"/>
  <c r="R51" i="7" s="1"/>
  <c r="R52" i="7" s="1"/>
  <c r="R53" i="7" s="1"/>
  <c r="R54" i="7" s="1"/>
  <c r="R55" i="7" s="1"/>
  <c r="R56" i="7" s="1"/>
  <c r="R57" i="7" s="1"/>
  <c r="R58" i="7" s="1"/>
  <c r="R59" i="7" s="1"/>
  <c r="R60" i="7" s="1"/>
  <c r="R61" i="7" s="1"/>
  <c r="R62" i="7" s="1"/>
  <c r="R63" i="7" s="1"/>
  <c r="R64" i="7" s="1"/>
  <c r="R65" i="7" s="1"/>
  <c r="R66" i="7" s="1"/>
  <c r="R67" i="7" s="1"/>
  <c r="R68" i="7" s="1"/>
  <c r="R69" i="7" s="1"/>
  <c r="R70" i="7" s="1"/>
  <c r="R71" i="7" s="1"/>
  <c r="R72" i="7" s="1"/>
  <c r="R73" i="7" s="1"/>
  <c r="R74" i="7" s="1"/>
  <c r="R75" i="7" s="1"/>
  <c r="R76" i="7" s="1"/>
  <c r="R77" i="7" s="1"/>
  <c r="R78" i="7" s="1"/>
  <c r="R79" i="7" s="1"/>
  <c r="R80" i="7" s="1"/>
  <c r="R81" i="7" s="1"/>
  <c r="R82" i="7" s="1"/>
  <c r="R83" i="7" s="1"/>
  <c r="R84" i="7" s="1"/>
  <c r="R85" i="7" s="1"/>
  <c r="R86" i="7" s="1"/>
  <c r="R87" i="7" s="1"/>
  <c r="R88" i="7" s="1"/>
  <c r="R89" i="7" s="1"/>
  <c r="R90" i="7" s="1"/>
  <c r="R91" i="7" s="1"/>
  <c r="R92" i="7" s="1"/>
  <c r="R93" i="7" s="1"/>
  <c r="R94" i="7" s="1"/>
  <c r="R95" i="7" s="1"/>
  <c r="R96" i="7" s="1"/>
  <c r="R97" i="7" s="1"/>
  <c r="R98" i="7" s="1"/>
  <c r="R99" i="7" s="1"/>
  <c r="R100" i="7" s="1"/>
  <c r="R101" i="7" s="1"/>
  <c r="R102" i="7" s="1"/>
  <c r="R103" i="7" s="1"/>
  <c r="R104" i="7" s="1"/>
  <c r="R105" i="7" s="1"/>
  <c r="R106" i="7" s="1"/>
  <c r="R107" i="7" s="1"/>
  <c r="R108" i="7" s="1"/>
  <c r="R109" i="7" s="1"/>
  <c r="R110" i="7" s="1"/>
  <c r="R111" i="7" s="1"/>
  <c r="R112" i="7" s="1"/>
  <c r="R113" i="7" s="1"/>
  <c r="R114" i="7" s="1"/>
  <c r="R115" i="7" s="1"/>
  <c r="R116" i="7" s="1"/>
  <c r="R117" i="7" s="1"/>
  <c r="R118" i="7" s="1"/>
  <c r="R119" i="7" s="1"/>
  <c r="R120" i="7" s="1"/>
  <c r="R121" i="7" s="1"/>
  <c r="R122" i="7" s="1"/>
  <c r="R123" i="7" s="1"/>
  <c r="R124" i="7" s="1"/>
  <c r="R125" i="7" s="1"/>
  <c r="R126" i="7" s="1"/>
  <c r="R127" i="7" s="1"/>
  <c r="R128" i="7" s="1"/>
  <c r="R129" i="7" s="1"/>
  <c r="R130" i="7" s="1"/>
  <c r="R131" i="7" s="1"/>
  <c r="R132" i="7" s="1"/>
  <c r="R133" i="7" s="1"/>
  <c r="R134" i="7" s="1"/>
  <c r="R135" i="7" s="1"/>
  <c r="R136" i="7" s="1"/>
  <c r="R137" i="7" s="1"/>
  <c r="R138" i="7" s="1"/>
  <c r="R139" i="7" s="1"/>
  <c r="R140" i="7" s="1"/>
  <c r="R141" i="7" s="1"/>
  <c r="R142" i="7" s="1"/>
  <c r="R143" i="7" s="1"/>
  <c r="R144" i="7" s="1"/>
  <c r="R145" i="7" s="1"/>
  <c r="R146" i="7" s="1"/>
  <c r="R147" i="7" s="1"/>
  <c r="R148" i="7" s="1"/>
  <c r="R149" i="7" s="1"/>
  <c r="R150" i="7" s="1"/>
  <c r="R151" i="7" s="1"/>
  <c r="R152" i="7" s="1"/>
  <c r="R153" i="7" s="1"/>
  <c r="R154" i="7" s="1"/>
  <c r="R155" i="7" s="1"/>
  <c r="R156" i="7" s="1"/>
  <c r="R157" i="7" s="1"/>
  <c r="R158" i="7" s="1"/>
  <c r="R159" i="7" s="1"/>
  <c r="R160" i="7" s="1"/>
  <c r="R161" i="7" s="1"/>
  <c r="R162" i="7" s="1"/>
  <c r="R163" i="7" s="1"/>
  <c r="R164" i="7" s="1"/>
  <c r="R165" i="7" s="1"/>
  <c r="R166" i="7" s="1"/>
  <c r="R167" i="7" s="1"/>
  <c r="R168" i="7" s="1"/>
  <c r="R169" i="7" s="1"/>
  <c r="R170" i="7" s="1"/>
  <c r="R171" i="7" s="1"/>
  <c r="R172" i="7" s="1"/>
  <c r="R173" i="7" s="1"/>
  <c r="R174" i="7" s="1"/>
  <c r="R175" i="7" s="1"/>
  <c r="R176" i="7" s="1"/>
  <c r="R177" i="7" s="1"/>
  <c r="R178" i="7" s="1"/>
  <c r="R179" i="7" s="1"/>
  <c r="R180" i="7" s="1"/>
  <c r="R181" i="7" s="1"/>
  <c r="R182" i="7" s="1"/>
  <c r="R183" i="7" s="1"/>
  <c r="R184" i="7" s="1"/>
  <c r="R185" i="7" s="1"/>
  <c r="R186" i="7" s="1"/>
  <c r="R187" i="7" s="1"/>
  <c r="R188" i="7" s="1"/>
  <c r="R189" i="7" s="1"/>
  <c r="R190" i="7" s="1"/>
  <c r="R191" i="7" s="1"/>
  <c r="R192" i="7" s="1"/>
  <c r="R193" i="7" s="1"/>
  <c r="R194" i="7" s="1"/>
  <c r="R195" i="7" s="1"/>
  <c r="R196" i="7" s="1"/>
  <c r="R197" i="7" s="1"/>
  <c r="R198" i="7" s="1"/>
  <c r="R199" i="7" s="1"/>
  <c r="R200" i="7" s="1"/>
  <c r="R201" i="7" s="1"/>
  <c r="R202" i="7" s="1"/>
  <c r="R203" i="7" s="1"/>
  <c r="R204" i="7" s="1"/>
  <c r="R205" i="7" s="1"/>
  <c r="R206" i="7" s="1"/>
  <c r="R207" i="7" s="1"/>
  <c r="R208" i="7" s="1"/>
  <c r="R209" i="7" s="1"/>
  <c r="R210" i="7" s="1"/>
  <c r="R211" i="7" s="1"/>
  <c r="R212" i="7" s="1"/>
  <c r="R213" i="7" s="1"/>
  <c r="R214" i="7" s="1"/>
  <c r="R215" i="7" s="1"/>
  <c r="R216" i="7" s="1"/>
  <c r="R217" i="7" s="1"/>
  <c r="R218" i="7" s="1"/>
  <c r="R219" i="7" s="1"/>
  <c r="R220" i="7" s="1"/>
  <c r="R221" i="7" s="1"/>
  <c r="R222" i="7" s="1"/>
  <c r="R223" i="7" s="1"/>
  <c r="R224" i="7" s="1"/>
  <c r="R225" i="7" s="1"/>
  <c r="R226" i="7" s="1"/>
  <c r="R227" i="7" s="1"/>
  <c r="R228" i="7" s="1"/>
  <c r="R229" i="7" s="1"/>
  <c r="R230" i="7" s="1"/>
  <c r="R231" i="7" s="1"/>
  <c r="R232" i="7" s="1"/>
  <c r="R233" i="7" s="1"/>
  <c r="R234" i="7" s="1"/>
  <c r="R235" i="7" s="1"/>
  <c r="R236" i="7" s="1"/>
  <c r="R237" i="7" s="1"/>
  <c r="R238" i="7" s="1"/>
  <c r="R239" i="7" s="1"/>
  <c r="R240" i="7" s="1"/>
  <c r="R241" i="7" s="1"/>
  <c r="R242" i="7" s="1"/>
  <c r="R243" i="7" s="1"/>
  <c r="R244" i="7" s="1"/>
  <c r="R245" i="7" s="1"/>
  <c r="R246" i="7" s="1"/>
  <c r="R247" i="7" s="1"/>
  <c r="R248" i="7" s="1"/>
  <c r="R249" i="7" s="1"/>
  <c r="R250" i="7" s="1"/>
  <c r="R251" i="7" s="1"/>
  <c r="R252" i="7" s="1"/>
  <c r="R253" i="7" s="1"/>
  <c r="R254" i="7" s="1"/>
  <c r="R255" i="7" s="1"/>
  <c r="R256" i="7" s="1"/>
  <c r="R257" i="7" s="1"/>
  <c r="R258" i="7" s="1"/>
  <c r="R259" i="7" s="1"/>
  <c r="R260" i="7" s="1"/>
  <c r="R261" i="7" s="1"/>
  <c r="R262" i="7" s="1"/>
  <c r="R263" i="7" s="1"/>
  <c r="R264" i="7" s="1"/>
  <c r="R265" i="7" s="1"/>
  <c r="R266" i="7" s="1"/>
  <c r="R267" i="7" s="1"/>
  <c r="R268" i="7" s="1"/>
  <c r="R269" i="7" s="1"/>
  <c r="R270" i="7" s="1"/>
  <c r="R271" i="7" s="1"/>
  <c r="R272" i="7" s="1"/>
  <c r="R273" i="7" s="1"/>
  <c r="R274" i="7" s="1"/>
  <c r="R275" i="7" s="1"/>
  <c r="R276" i="7" s="1"/>
  <c r="R277" i="7" s="1"/>
  <c r="R278" i="7" s="1"/>
  <c r="R279" i="7" s="1"/>
  <c r="R280" i="7" s="1"/>
  <c r="R281" i="7" s="1"/>
  <c r="R282" i="7" s="1"/>
  <c r="R283" i="7" s="1"/>
  <c r="R284" i="7" s="1"/>
  <c r="R285" i="7" s="1"/>
  <c r="R286" i="7" s="1"/>
  <c r="R287" i="7" s="1"/>
  <c r="R288" i="7" s="1"/>
  <c r="R289" i="7" s="1"/>
  <c r="R290" i="7" s="1"/>
  <c r="R291" i="7" s="1"/>
  <c r="R292" i="7" s="1"/>
  <c r="R293" i="7" s="1"/>
  <c r="R294" i="7" s="1"/>
  <c r="R295" i="7" s="1"/>
  <c r="R296" i="7" s="1"/>
  <c r="R297" i="7" s="1"/>
  <c r="R298" i="7" s="1"/>
  <c r="R299" i="7" s="1"/>
  <c r="R300" i="7" s="1"/>
  <c r="R301" i="7" s="1"/>
  <c r="R302" i="7" s="1"/>
  <c r="R303" i="7" s="1"/>
  <c r="R304" i="7" s="1"/>
  <c r="R305" i="7" s="1"/>
  <c r="R306" i="7" s="1"/>
  <c r="R307" i="7" s="1"/>
  <c r="R308" i="7" s="1"/>
  <c r="R309" i="7" s="1"/>
  <c r="R310" i="7" s="1"/>
  <c r="R311" i="7" s="1"/>
  <c r="R312" i="7" s="1"/>
  <c r="R313" i="7" s="1"/>
  <c r="R314" i="7" s="1"/>
  <c r="R315" i="7" s="1"/>
  <c r="R316" i="7" s="1"/>
  <c r="R317" i="7" s="1"/>
  <c r="R318" i="7" s="1"/>
  <c r="R319" i="7" s="1"/>
  <c r="R320" i="7" s="1"/>
  <c r="R321" i="7" s="1"/>
  <c r="R322" i="7" s="1"/>
  <c r="R323" i="7" s="1"/>
  <c r="R324" i="7" s="1"/>
  <c r="R325" i="7" s="1"/>
  <c r="R326" i="7" s="1"/>
  <c r="R327" i="7" s="1"/>
  <c r="R328" i="7" s="1"/>
  <c r="R329" i="7" s="1"/>
  <c r="R330" i="7" s="1"/>
  <c r="R331" i="7" s="1"/>
  <c r="R332" i="7" s="1"/>
  <c r="R333" i="7" s="1"/>
  <c r="R334" i="7" s="1"/>
  <c r="R335" i="7" s="1"/>
  <c r="R336" i="7" s="1"/>
  <c r="R337" i="7" s="1"/>
  <c r="R338" i="7" s="1"/>
  <c r="R339" i="7" s="1"/>
  <c r="R340" i="7" s="1"/>
  <c r="R341" i="7" s="1"/>
  <c r="R342" i="7" s="1"/>
  <c r="R343" i="7" s="1"/>
  <c r="R344" i="7" s="1"/>
  <c r="R345" i="7" s="1"/>
  <c r="R346" i="7" s="1"/>
  <c r="R347" i="7" s="1"/>
  <c r="R348" i="7" s="1"/>
  <c r="R349" i="7" s="1"/>
  <c r="R350" i="7" s="1"/>
  <c r="R351" i="7" s="1"/>
  <c r="R352" i="7" s="1"/>
  <c r="R353" i="7" s="1"/>
  <c r="R354" i="7" s="1"/>
  <c r="R355" i="7" s="1"/>
  <c r="R356" i="7" s="1"/>
  <c r="R357" i="7" s="1"/>
  <c r="R358" i="7" s="1"/>
  <c r="R359" i="7" s="1"/>
  <c r="R360" i="7" s="1"/>
  <c r="R361" i="7" s="1"/>
  <c r="R362" i="7" s="1"/>
  <c r="R363" i="7" s="1"/>
  <c r="R364" i="7" s="1"/>
  <c r="R365" i="7" s="1"/>
  <c r="R366" i="7" s="1"/>
  <c r="R367" i="7" s="1"/>
  <c r="R368" i="7" s="1"/>
  <c r="R369" i="7" s="1"/>
  <c r="R370" i="7" s="1"/>
  <c r="R371" i="7" s="1"/>
  <c r="R372" i="7" s="1"/>
  <c r="R373" i="7" s="1"/>
  <c r="R374" i="7" s="1"/>
  <c r="R375" i="7" s="1"/>
  <c r="R376" i="7" s="1"/>
  <c r="R377" i="7" s="1"/>
  <c r="R378" i="7" s="1"/>
  <c r="R379" i="7" s="1"/>
  <c r="R380" i="7" s="1"/>
  <c r="R381" i="7" s="1"/>
  <c r="R382" i="7" s="1"/>
  <c r="R383" i="7" s="1"/>
  <c r="R384" i="7" s="1"/>
  <c r="R385" i="7" s="1"/>
  <c r="R386" i="7" s="1"/>
  <c r="R387" i="7" s="1"/>
  <c r="R388" i="7" s="1"/>
  <c r="R389" i="7" s="1"/>
  <c r="R390" i="7" s="1"/>
  <c r="R391" i="7" s="1"/>
  <c r="R392" i="7" s="1"/>
  <c r="R393" i="7" s="1"/>
  <c r="R394" i="7" s="1"/>
  <c r="R395" i="7" s="1"/>
  <c r="R396" i="7" s="1"/>
  <c r="R397" i="7" s="1"/>
  <c r="R398" i="7" s="1"/>
  <c r="R399" i="7" s="1"/>
  <c r="R400" i="7" s="1"/>
  <c r="R401" i="7" s="1"/>
  <c r="R402" i="7" s="1"/>
  <c r="R403" i="7" s="1"/>
  <c r="R404" i="7" s="1"/>
  <c r="R405" i="7" s="1"/>
  <c r="R406" i="7" s="1"/>
  <c r="R407" i="7" s="1"/>
  <c r="R408" i="7" s="1"/>
  <c r="R409" i="7" s="1"/>
  <c r="R410" i="7" s="1"/>
  <c r="R411" i="7" s="1"/>
  <c r="R412" i="7" s="1"/>
  <c r="R413" i="7" s="1"/>
  <c r="R414" i="7" s="1"/>
  <c r="R415" i="7" s="1"/>
  <c r="R416" i="7" s="1"/>
  <c r="R417" i="7" s="1"/>
  <c r="R418" i="7" s="1"/>
  <c r="R419" i="7" s="1"/>
  <c r="R420" i="7" s="1"/>
  <c r="R421" i="7" s="1"/>
  <c r="R422" i="7" s="1"/>
  <c r="R423" i="7" s="1"/>
  <c r="R424" i="7" s="1"/>
  <c r="R425" i="7" s="1"/>
  <c r="R426" i="7" s="1"/>
  <c r="R427" i="7" s="1"/>
  <c r="R428" i="7" s="1"/>
  <c r="R429" i="7" s="1"/>
  <c r="R430" i="7" s="1"/>
  <c r="R431" i="7" s="1"/>
  <c r="R432" i="7" s="1"/>
  <c r="R433" i="7" s="1"/>
  <c r="R434" i="7" s="1"/>
  <c r="R435" i="7" s="1"/>
  <c r="R436" i="7" s="1"/>
  <c r="R437" i="7" s="1"/>
  <c r="R438" i="7" s="1"/>
  <c r="R439" i="7" s="1"/>
  <c r="R440" i="7" s="1"/>
  <c r="R441" i="7" s="1"/>
  <c r="R442" i="7" s="1"/>
  <c r="R443" i="7" s="1"/>
  <c r="R444" i="7" s="1"/>
  <c r="R445" i="7" s="1"/>
  <c r="R446" i="7" s="1"/>
  <c r="R447" i="7" s="1"/>
  <c r="R448" i="7" s="1"/>
  <c r="R449" i="7" s="1"/>
  <c r="R450" i="7" s="1"/>
  <c r="R451" i="7" s="1"/>
  <c r="R452" i="7" s="1"/>
  <c r="R453" i="7" s="1"/>
  <c r="R454" i="7" s="1"/>
  <c r="R455" i="7" s="1"/>
  <c r="R456" i="7" s="1"/>
  <c r="R457" i="7" s="1"/>
  <c r="R458" i="7" s="1"/>
  <c r="R459" i="7" s="1"/>
  <c r="R460" i="7" s="1"/>
  <c r="R461" i="7" s="1"/>
  <c r="R462" i="7" s="1"/>
  <c r="R463" i="7" s="1"/>
  <c r="R464" i="7" s="1"/>
  <c r="R465" i="7" s="1"/>
  <c r="R466" i="7" s="1"/>
  <c r="R467" i="7" s="1"/>
  <c r="R468" i="7" s="1"/>
  <c r="R469" i="7" s="1"/>
  <c r="R470" i="7" s="1"/>
  <c r="R471" i="7" s="1"/>
  <c r="R472" i="7" s="1"/>
  <c r="R473" i="7" s="1"/>
  <c r="R474" i="7" s="1"/>
  <c r="R475" i="7" s="1"/>
  <c r="R476" i="7" s="1"/>
  <c r="R477" i="7" s="1"/>
  <c r="R478" i="7" s="1"/>
  <c r="R479" i="7" s="1"/>
  <c r="R480" i="7" s="1"/>
  <c r="R481" i="7" s="1"/>
  <c r="R482" i="7" s="1"/>
  <c r="R483" i="7" s="1"/>
  <c r="R484" i="7" s="1"/>
  <c r="R485" i="7" s="1"/>
  <c r="R486" i="7" s="1"/>
  <c r="R487" i="7" s="1"/>
  <c r="R488" i="7" s="1"/>
  <c r="R489" i="7" s="1"/>
  <c r="R490" i="7" s="1"/>
  <c r="R491" i="7" s="1"/>
  <c r="R492" i="7" s="1"/>
  <c r="R493" i="7" s="1"/>
  <c r="R494" i="7" s="1"/>
  <c r="R495" i="7" s="1"/>
  <c r="R496" i="7" s="1"/>
  <c r="R497" i="7" s="1"/>
  <c r="R498" i="7" s="1"/>
  <c r="R499" i="7" s="1"/>
  <c r="R500" i="7" s="1"/>
  <c r="R501" i="7" s="1"/>
  <c r="R502" i="7" s="1"/>
  <c r="R503" i="7" s="1"/>
  <c r="R504" i="7" s="1"/>
  <c r="R505" i="7" s="1"/>
  <c r="R506" i="7" s="1"/>
  <c r="R507" i="7" s="1"/>
  <c r="R508" i="7" s="1"/>
  <c r="R509" i="7" s="1"/>
  <c r="R510" i="7" s="1"/>
  <c r="R511" i="7" s="1"/>
  <c r="R512" i="7" s="1"/>
  <c r="R513" i="7" s="1"/>
  <c r="R514" i="7" s="1"/>
  <c r="R515" i="7" s="1"/>
  <c r="R516" i="7" s="1"/>
  <c r="R517" i="7" s="1"/>
  <c r="R518" i="7" s="1"/>
  <c r="R519" i="7" s="1"/>
  <c r="R520" i="7" s="1"/>
  <c r="R521" i="7" s="1"/>
  <c r="R522" i="7" s="1"/>
  <c r="R523" i="7" s="1"/>
  <c r="R524" i="7" s="1"/>
  <c r="R525" i="7" s="1"/>
  <c r="R526" i="7" s="1"/>
  <c r="R527" i="7" s="1"/>
  <c r="R528" i="7" s="1"/>
  <c r="R529" i="7" s="1"/>
  <c r="R530" i="7" s="1"/>
  <c r="R531" i="7" s="1"/>
  <c r="R532" i="7" s="1"/>
  <c r="R533" i="7" s="1"/>
  <c r="R534" i="7" s="1"/>
  <c r="R535" i="7" s="1"/>
  <c r="R536" i="7" s="1"/>
  <c r="R537" i="7" s="1"/>
  <c r="R538" i="7" s="1"/>
  <c r="R539" i="7" s="1"/>
  <c r="R540" i="7" s="1"/>
  <c r="R541" i="7" s="1"/>
  <c r="R542" i="7" s="1"/>
  <c r="R543" i="7" s="1"/>
  <c r="R544" i="7" s="1"/>
  <c r="R545" i="7" s="1"/>
  <c r="R546" i="7" s="1"/>
  <c r="R547" i="7" s="1"/>
  <c r="R548" i="7" s="1"/>
  <c r="R549" i="7" s="1"/>
  <c r="R550" i="7" s="1"/>
  <c r="R551" i="7" s="1"/>
  <c r="R552" i="7" s="1"/>
  <c r="R553" i="7" s="1"/>
  <c r="R554" i="7" s="1"/>
  <c r="R555" i="7" s="1"/>
  <c r="R556" i="7" s="1"/>
  <c r="R557" i="7" s="1"/>
  <c r="R558" i="7" s="1"/>
  <c r="R559" i="7" s="1"/>
  <c r="R560" i="7" s="1"/>
  <c r="R561" i="7" s="1"/>
  <c r="R562" i="7" s="1"/>
  <c r="R563" i="7" s="1"/>
  <c r="R564" i="7" s="1"/>
  <c r="R565" i="7" s="1"/>
  <c r="R566" i="7" s="1"/>
  <c r="R567" i="7" s="1"/>
  <c r="R568" i="7" s="1"/>
  <c r="R569" i="7" s="1"/>
  <c r="R570" i="7" s="1"/>
  <c r="R571" i="7" s="1"/>
  <c r="R572" i="7" s="1"/>
  <c r="R573" i="7" s="1"/>
  <c r="R574" i="7" s="1"/>
  <c r="R575" i="7" s="1"/>
  <c r="R576" i="7" s="1"/>
  <c r="R577" i="7" s="1"/>
  <c r="R578" i="7" s="1"/>
  <c r="R579" i="7" s="1"/>
  <c r="R580" i="7" s="1"/>
  <c r="R581" i="7" s="1"/>
  <c r="R582" i="7" s="1"/>
  <c r="R583" i="7" s="1"/>
  <c r="R584" i="7" s="1"/>
  <c r="R585" i="7" s="1"/>
  <c r="R586" i="7" s="1"/>
  <c r="R587" i="7" s="1"/>
  <c r="R588" i="7" s="1"/>
  <c r="R589" i="7" s="1"/>
  <c r="R590" i="7" s="1"/>
  <c r="R591" i="7" s="1"/>
  <c r="R592" i="7" s="1"/>
  <c r="R593" i="7" s="1"/>
  <c r="R594" i="7" s="1"/>
  <c r="R595" i="7" s="1"/>
  <c r="R596" i="7" s="1"/>
  <c r="R597" i="7" s="1"/>
  <c r="R598" i="7" s="1"/>
  <c r="R599" i="7" s="1"/>
  <c r="R600" i="7" s="1"/>
  <c r="R601" i="7" s="1"/>
  <c r="R602" i="7" s="1"/>
  <c r="R603" i="7" s="1"/>
  <c r="R604" i="7" s="1"/>
  <c r="R605" i="7" s="1"/>
  <c r="R606" i="7" s="1"/>
  <c r="R607" i="7" s="1"/>
  <c r="R608" i="7" s="1"/>
  <c r="R609" i="7" s="1"/>
  <c r="R610" i="7" s="1"/>
  <c r="R611" i="7" s="1"/>
  <c r="R612" i="7" s="1"/>
  <c r="R613" i="7" s="1"/>
  <c r="R614" i="7" s="1"/>
  <c r="R615" i="7" s="1"/>
  <c r="R616" i="7" s="1"/>
  <c r="R617" i="7" s="1"/>
  <c r="R618" i="7" s="1"/>
  <c r="R619" i="7" s="1"/>
  <c r="R620" i="7" s="1"/>
  <c r="R621" i="7" s="1"/>
  <c r="R622" i="7" s="1"/>
  <c r="R623" i="7" s="1"/>
  <c r="R624" i="7" s="1"/>
  <c r="R625" i="7" s="1"/>
  <c r="R626" i="7" s="1"/>
  <c r="R627" i="7" s="1"/>
  <c r="R628" i="7" s="1"/>
  <c r="R629" i="7" s="1"/>
  <c r="R630" i="7" s="1"/>
  <c r="R631" i="7" s="1"/>
  <c r="R632" i="7" s="1"/>
  <c r="R633" i="7" s="1"/>
  <c r="R634" i="7" s="1"/>
  <c r="R635" i="7" s="1"/>
  <c r="R636" i="7" s="1"/>
  <c r="R637" i="7" s="1"/>
  <c r="R638" i="7" s="1"/>
  <c r="R639" i="7" s="1"/>
  <c r="R640" i="7" s="1"/>
  <c r="R641" i="7" s="1"/>
  <c r="R642" i="7" s="1"/>
  <c r="R643" i="7" s="1"/>
  <c r="R644" i="7" s="1"/>
  <c r="R645" i="7" s="1"/>
  <c r="R646" i="7" s="1"/>
  <c r="R647" i="7" s="1"/>
  <c r="R648" i="7" s="1"/>
  <c r="R649" i="7" s="1"/>
  <c r="R650" i="7" s="1"/>
  <c r="R651" i="7" s="1"/>
  <c r="R652" i="7" s="1"/>
  <c r="R653" i="7" s="1"/>
  <c r="R654" i="7" s="1"/>
  <c r="R655" i="7" s="1"/>
  <c r="R656" i="7" s="1"/>
  <c r="R657" i="7" s="1"/>
  <c r="R658" i="7" s="1"/>
  <c r="R659" i="7" s="1"/>
  <c r="R660" i="7" s="1"/>
  <c r="R661" i="7" s="1"/>
  <c r="R662" i="7" s="1"/>
  <c r="R663" i="7" s="1"/>
  <c r="R664" i="7" s="1"/>
  <c r="R665" i="7" s="1"/>
  <c r="R666" i="7" s="1"/>
  <c r="R667" i="7" s="1"/>
  <c r="R668" i="7" s="1"/>
  <c r="R669" i="7" s="1"/>
  <c r="R670" i="7" s="1"/>
  <c r="R671" i="7" s="1"/>
  <c r="R672" i="7" s="1"/>
  <c r="R673" i="7" s="1"/>
  <c r="R674" i="7" s="1"/>
  <c r="R675" i="7" s="1"/>
  <c r="R676" i="7" s="1"/>
  <c r="R677" i="7" s="1"/>
  <c r="R678" i="7" s="1"/>
  <c r="R679" i="7" s="1"/>
  <c r="R680" i="7" s="1"/>
  <c r="R681" i="7" s="1"/>
  <c r="R682" i="7" s="1"/>
  <c r="R683" i="7" s="1"/>
  <c r="R684" i="7" s="1"/>
  <c r="R685" i="7" s="1"/>
  <c r="R686" i="7" s="1"/>
  <c r="R687" i="7" s="1"/>
  <c r="R688" i="7" s="1"/>
  <c r="R689" i="7" s="1"/>
  <c r="R690" i="7" s="1"/>
  <c r="R691" i="7" s="1"/>
  <c r="R692" i="7" s="1"/>
  <c r="R693" i="7" s="1"/>
  <c r="R694" i="7" s="1"/>
  <c r="R695" i="7" s="1"/>
  <c r="R696" i="7" s="1"/>
  <c r="R697" i="7" s="1"/>
  <c r="R698" i="7" s="1"/>
  <c r="R699" i="7" s="1"/>
  <c r="R700" i="7" s="1"/>
  <c r="R701" i="7" s="1"/>
  <c r="R702" i="7" s="1"/>
  <c r="R703" i="7" s="1"/>
  <c r="R704" i="7" s="1"/>
  <c r="R705" i="7" s="1"/>
  <c r="R706" i="7" s="1"/>
  <c r="R707" i="7" s="1"/>
  <c r="R708" i="7" s="1"/>
  <c r="R709" i="7" s="1"/>
  <c r="R710" i="7" s="1"/>
  <c r="R711" i="7" s="1"/>
  <c r="R712" i="7" s="1"/>
  <c r="R713" i="7" s="1"/>
  <c r="R714" i="7" s="1"/>
  <c r="R715" i="7" s="1"/>
  <c r="R716" i="7" s="1"/>
  <c r="R717" i="7" s="1"/>
  <c r="R718" i="7" s="1"/>
  <c r="R719" i="7" s="1"/>
  <c r="R720" i="7" s="1"/>
  <c r="R721" i="7" s="1"/>
  <c r="R722" i="7" s="1"/>
  <c r="R723" i="7" s="1"/>
  <c r="R724" i="7" s="1"/>
  <c r="R725" i="7" s="1"/>
  <c r="R726" i="7" s="1"/>
  <c r="R727" i="7" s="1"/>
  <c r="R728" i="7" s="1"/>
  <c r="R729" i="7" s="1"/>
  <c r="R730" i="7" s="1"/>
  <c r="R731" i="7" s="1"/>
  <c r="R732" i="7" s="1"/>
  <c r="R733" i="7" s="1"/>
  <c r="R734" i="7" s="1"/>
  <c r="R735" i="7" s="1"/>
  <c r="R736" i="7" s="1"/>
  <c r="R737" i="7" s="1"/>
  <c r="R738" i="7" s="1"/>
  <c r="R739" i="7" s="1"/>
  <c r="R740" i="7" s="1"/>
  <c r="R741" i="7" s="1"/>
  <c r="R742" i="7" s="1"/>
  <c r="R743" i="7" s="1"/>
  <c r="R744" i="7" s="1"/>
  <c r="R745" i="7" s="1"/>
  <c r="R746" i="7" s="1"/>
  <c r="R747" i="7" s="1"/>
  <c r="R748" i="7" s="1"/>
  <c r="R749" i="7" s="1"/>
  <c r="R750" i="7" s="1"/>
  <c r="R751" i="7" s="1"/>
  <c r="R752" i="7" s="1"/>
  <c r="R753" i="7" s="1"/>
  <c r="R754" i="7" s="1"/>
  <c r="R755" i="7" s="1"/>
  <c r="R756" i="7" s="1"/>
  <c r="R757" i="7" s="1"/>
  <c r="R758" i="7" s="1"/>
  <c r="R759" i="7" s="1"/>
  <c r="R760" i="7" s="1"/>
  <c r="R761" i="7" s="1"/>
  <c r="R762" i="7" s="1"/>
  <c r="R763" i="7" s="1"/>
  <c r="R764" i="7" s="1"/>
  <c r="R765" i="7" s="1"/>
  <c r="R766" i="7" s="1"/>
  <c r="R767" i="7" s="1"/>
  <c r="R768" i="7" s="1"/>
  <c r="R769" i="7" s="1"/>
  <c r="R770" i="7" s="1"/>
  <c r="R771" i="7" s="1"/>
  <c r="R772" i="7" s="1"/>
  <c r="R773" i="7" s="1"/>
  <c r="R774" i="7" s="1"/>
  <c r="R775" i="7" s="1"/>
  <c r="R776" i="7" s="1"/>
  <c r="R777" i="7" s="1"/>
  <c r="R778" i="7" s="1"/>
  <c r="R779" i="7" s="1"/>
  <c r="R780" i="7" s="1"/>
  <c r="R781" i="7" s="1"/>
  <c r="R782" i="7" s="1"/>
  <c r="R783" i="7" s="1"/>
  <c r="R784" i="7" s="1"/>
  <c r="R785" i="7" s="1"/>
  <c r="R786" i="7" s="1"/>
  <c r="R787" i="7" s="1"/>
  <c r="R788" i="7" s="1"/>
  <c r="R789" i="7" s="1"/>
  <c r="R790" i="7" s="1"/>
  <c r="R791" i="7" s="1"/>
  <c r="R792" i="7" s="1"/>
  <c r="R793" i="7" s="1"/>
  <c r="R794" i="7" s="1"/>
  <c r="R795" i="7" s="1"/>
  <c r="R796" i="7" s="1"/>
  <c r="R797" i="7" s="1"/>
  <c r="R798" i="7" s="1"/>
  <c r="R799" i="7" s="1"/>
  <c r="R800" i="7" s="1"/>
  <c r="R801" i="7" s="1"/>
  <c r="R802" i="7" s="1"/>
  <c r="R803" i="7" s="1"/>
  <c r="R804" i="7" s="1"/>
  <c r="R805" i="7" s="1"/>
  <c r="R806" i="7" s="1"/>
  <c r="R807" i="7" s="1"/>
  <c r="R808" i="7" s="1"/>
  <c r="R809" i="7" s="1"/>
  <c r="R810" i="7" s="1"/>
  <c r="R811" i="7" s="1"/>
  <c r="R812" i="7" s="1"/>
  <c r="R813" i="7" s="1"/>
  <c r="R814" i="7" s="1"/>
  <c r="R815" i="7" s="1"/>
  <c r="R816" i="7" s="1"/>
  <c r="R817" i="7" s="1"/>
  <c r="R818" i="7" s="1"/>
  <c r="R819" i="7" s="1"/>
  <c r="R820" i="7" s="1"/>
  <c r="R821" i="7" s="1"/>
  <c r="R822" i="7" s="1"/>
  <c r="R823" i="7" s="1"/>
  <c r="R824" i="7" s="1"/>
  <c r="R825" i="7" s="1"/>
  <c r="R826" i="7" s="1"/>
  <c r="R827" i="7" s="1"/>
  <c r="R828" i="7" s="1"/>
  <c r="R829" i="7" s="1"/>
  <c r="R830" i="7" s="1"/>
  <c r="R831" i="7" s="1"/>
  <c r="R832" i="7" s="1"/>
  <c r="R833" i="7" s="1"/>
  <c r="R834" i="7" s="1"/>
  <c r="R835" i="7" s="1"/>
  <c r="R836" i="7" s="1"/>
  <c r="R837" i="7" s="1"/>
  <c r="R838" i="7" s="1"/>
  <c r="R839" i="7" s="1"/>
  <c r="R840" i="7" s="1"/>
  <c r="R841" i="7" s="1"/>
  <c r="R842" i="7" s="1"/>
  <c r="R843" i="7" s="1"/>
  <c r="R844" i="7" s="1"/>
  <c r="R845" i="7" s="1"/>
  <c r="R846" i="7" s="1"/>
  <c r="R847" i="7" s="1"/>
  <c r="R848" i="7" s="1"/>
  <c r="R849" i="7" s="1"/>
  <c r="R850" i="7" s="1"/>
  <c r="R851" i="7" s="1"/>
  <c r="R852" i="7" s="1"/>
  <c r="R853" i="7" s="1"/>
  <c r="R854" i="7" s="1"/>
  <c r="R855" i="7" s="1"/>
  <c r="R856" i="7" s="1"/>
  <c r="R857" i="7" s="1"/>
  <c r="R858" i="7" s="1"/>
  <c r="R859" i="7" s="1"/>
  <c r="R860" i="7" s="1"/>
  <c r="R861" i="7" s="1"/>
  <c r="R862" i="7" s="1"/>
  <c r="R863" i="7" s="1"/>
  <c r="R864" i="7" s="1"/>
  <c r="R865" i="7" s="1"/>
  <c r="R866" i="7" s="1"/>
  <c r="R867" i="7" s="1"/>
  <c r="R868" i="7" s="1"/>
  <c r="R869" i="7" s="1"/>
  <c r="R870" i="7" s="1"/>
  <c r="R871" i="7" s="1"/>
  <c r="R872" i="7" s="1"/>
  <c r="R873" i="7" s="1"/>
  <c r="R874" i="7" s="1"/>
  <c r="R875" i="7" s="1"/>
  <c r="R876" i="7" s="1"/>
  <c r="R877" i="7" s="1"/>
  <c r="R878" i="7" s="1"/>
  <c r="R879" i="7" s="1"/>
  <c r="R880" i="7" s="1"/>
  <c r="R881" i="7" s="1"/>
  <c r="R882" i="7" s="1"/>
  <c r="R883" i="7" s="1"/>
  <c r="R884" i="7" s="1"/>
  <c r="R885" i="7" s="1"/>
  <c r="R886" i="7" s="1"/>
  <c r="R887" i="7" s="1"/>
  <c r="R888" i="7" s="1"/>
  <c r="R889" i="7" s="1"/>
  <c r="R890" i="7" s="1"/>
  <c r="R891" i="7" s="1"/>
  <c r="R892" i="7" s="1"/>
  <c r="R893" i="7" s="1"/>
  <c r="R894" i="7" s="1"/>
  <c r="R895" i="7" s="1"/>
  <c r="R896" i="7" s="1"/>
  <c r="R897" i="7" s="1"/>
  <c r="R898" i="7" s="1"/>
  <c r="R899" i="7" s="1"/>
  <c r="R900" i="7" s="1"/>
  <c r="R901" i="7" s="1"/>
  <c r="R902" i="7" s="1"/>
  <c r="R903" i="7" s="1"/>
  <c r="R904" i="7" s="1"/>
  <c r="R905" i="7" s="1"/>
  <c r="R906" i="7" s="1"/>
  <c r="R907" i="7" s="1"/>
  <c r="R908" i="7" s="1"/>
  <c r="R909" i="7" s="1"/>
  <c r="R910" i="7" s="1"/>
  <c r="R911" i="7" s="1"/>
  <c r="R912" i="7" s="1"/>
  <c r="R913" i="7" s="1"/>
  <c r="R914" i="7" s="1"/>
  <c r="R915" i="7" s="1"/>
  <c r="R916" i="7" s="1"/>
  <c r="R917" i="7" s="1"/>
  <c r="R918" i="7" s="1"/>
  <c r="R919" i="7" s="1"/>
  <c r="R920" i="7" s="1"/>
  <c r="R921" i="7" s="1"/>
  <c r="R922" i="7" s="1"/>
  <c r="R923" i="7" s="1"/>
  <c r="R924" i="7" s="1"/>
  <c r="R925" i="7" s="1"/>
  <c r="R926" i="7" s="1"/>
  <c r="R927" i="7" s="1"/>
  <c r="R928" i="7" s="1"/>
  <c r="R929" i="7" s="1"/>
  <c r="R930" i="7" s="1"/>
  <c r="R931" i="7" s="1"/>
  <c r="R932" i="7" s="1"/>
  <c r="R933" i="7" s="1"/>
  <c r="R934" i="7" s="1"/>
  <c r="R935" i="7" s="1"/>
  <c r="R936" i="7" s="1"/>
  <c r="R937" i="7" s="1"/>
  <c r="R938" i="7" s="1"/>
  <c r="R939" i="7" s="1"/>
  <c r="R940" i="7" s="1"/>
  <c r="R941" i="7" s="1"/>
  <c r="R942" i="7" s="1"/>
  <c r="R943" i="7" s="1"/>
  <c r="R944" i="7" s="1"/>
  <c r="R945" i="7" s="1"/>
  <c r="R946" i="7" s="1"/>
  <c r="R947" i="7" s="1"/>
  <c r="R948" i="7" s="1"/>
  <c r="R949" i="7" s="1"/>
  <c r="R950" i="7" s="1"/>
  <c r="R951" i="7" s="1"/>
  <c r="R952" i="7" s="1"/>
  <c r="R953" i="7" s="1"/>
  <c r="R954" i="7" s="1"/>
  <c r="R955" i="7" s="1"/>
  <c r="R956" i="7" s="1"/>
  <c r="R957" i="7" s="1"/>
  <c r="R958" i="7" s="1"/>
  <c r="R959" i="7" s="1"/>
  <c r="R960" i="7" s="1"/>
  <c r="R961" i="7" s="1"/>
  <c r="R962" i="7" s="1"/>
  <c r="R963" i="7" s="1"/>
  <c r="R964" i="7" s="1"/>
  <c r="R965" i="7" s="1"/>
  <c r="R966" i="7" s="1"/>
  <c r="R967" i="7" s="1"/>
  <c r="R968" i="7" s="1"/>
  <c r="R969" i="7" s="1"/>
  <c r="R970" i="7" s="1"/>
  <c r="R971" i="7" s="1"/>
  <c r="R972" i="7" s="1"/>
  <c r="R973" i="7" s="1"/>
  <c r="R974" i="7" s="1"/>
  <c r="R975" i="7" s="1"/>
  <c r="R976" i="7" s="1"/>
  <c r="R977" i="7" s="1"/>
  <c r="R978" i="7" s="1"/>
  <c r="R979" i="7" s="1"/>
  <c r="R980" i="7" s="1"/>
  <c r="R981" i="7" s="1"/>
  <c r="R982" i="7" s="1"/>
  <c r="R983" i="7" s="1"/>
  <c r="R984" i="7" s="1"/>
  <c r="R985" i="7" s="1"/>
  <c r="R986" i="7" s="1"/>
  <c r="R987" i="7" s="1"/>
  <c r="R988" i="7" s="1"/>
  <c r="R989" i="7" s="1"/>
  <c r="R990" i="7" s="1"/>
  <c r="R991" i="7" s="1"/>
  <c r="R992" i="7" s="1"/>
  <c r="R993" i="7" s="1"/>
  <c r="R994" i="7" s="1"/>
  <c r="R995" i="7" s="1"/>
  <c r="R996" i="7" s="1"/>
  <c r="R997" i="7" s="1"/>
  <c r="R998" i="7" s="1"/>
  <c r="R999" i="7" s="1"/>
  <c r="R1000" i="7" s="1"/>
  <c r="R1001" i="7" s="1"/>
  <c r="R1002" i="7" s="1"/>
  <c r="R1003" i="7" s="1"/>
  <c r="R1004" i="7" s="1"/>
  <c r="R1005" i="7" s="1"/>
  <c r="R1006" i="7" s="1"/>
  <c r="R1007" i="7" s="1"/>
  <c r="R1008" i="7" s="1"/>
  <c r="R1009" i="7" s="1"/>
  <c r="R1010" i="7" s="1"/>
  <c r="R1011" i="7" s="1"/>
  <c r="R1012" i="7" s="1"/>
  <c r="R1013" i="7" s="1"/>
  <c r="R1014" i="7" s="1"/>
  <c r="R1015" i="7" s="1"/>
  <c r="R1016" i="7" s="1"/>
  <c r="R1017" i="7" s="1"/>
  <c r="R1018" i="7" s="1"/>
  <c r="R1019" i="7" s="1"/>
  <c r="R1020" i="7" s="1"/>
  <c r="R1021" i="7" s="1"/>
  <c r="R1022" i="7" s="1"/>
  <c r="R1023" i="7" s="1"/>
  <c r="R1024" i="7" s="1"/>
  <c r="R1025" i="7" s="1"/>
  <c r="R1026" i="7" s="1"/>
  <c r="R1027" i="7" s="1"/>
  <c r="R1028" i="7" s="1"/>
  <c r="R1029" i="7" s="1"/>
  <c r="R1030" i="7" s="1"/>
  <c r="R1031" i="7" s="1"/>
  <c r="R1032" i="7" s="1"/>
  <c r="R1033" i="7" s="1"/>
  <c r="R1034" i="7" s="1"/>
  <c r="R1035" i="7" s="1"/>
  <c r="R1036" i="7" s="1"/>
  <c r="R1037" i="7" s="1"/>
  <c r="R1038" i="7" s="1"/>
  <c r="R1039" i="7" s="1"/>
  <c r="R1040" i="7" s="1"/>
  <c r="R1041" i="7" s="1"/>
  <c r="R1042" i="7" s="1"/>
  <c r="R1043" i="7" s="1"/>
  <c r="R1044" i="7" s="1"/>
  <c r="R1045" i="7" s="1"/>
  <c r="R1046" i="7" s="1"/>
  <c r="R1047" i="7" s="1"/>
  <c r="R1048" i="7" s="1"/>
  <c r="R1049" i="7" s="1"/>
  <c r="R1050" i="7" s="1"/>
  <c r="R1051" i="7" s="1"/>
  <c r="R1052" i="7" s="1"/>
  <c r="R1053" i="7" s="1"/>
  <c r="R1054" i="7" s="1"/>
  <c r="R1055" i="7" s="1"/>
  <c r="R1056" i="7" s="1"/>
  <c r="R1057" i="7" s="1"/>
  <c r="R1058" i="7" s="1"/>
  <c r="R1059" i="7" s="1"/>
  <c r="R1060" i="7" s="1"/>
  <c r="R1061" i="7" s="1"/>
  <c r="R1062" i="7" s="1"/>
  <c r="R1063" i="7" s="1"/>
  <c r="R1064" i="7" s="1"/>
  <c r="R1065" i="7" s="1"/>
  <c r="R1066" i="7" s="1"/>
  <c r="R1067" i="7" s="1"/>
  <c r="R1068" i="7" s="1"/>
  <c r="R1069" i="7" s="1"/>
  <c r="R1070" i="7" s="1"/>
  <c r="R1071" i="7" s="1"/>
  <c r="R1072" i="7" s="1"/>
  <c r="R1073" i="7" s="1"/>
  <c r="R1074" i="7" s="1"/>
  <c r="R1075" i="7" s="1"/>
  <c r="R1076" i="7" s="1"/>
  <c r="R1077" i="7" s="1"/>
  <c r="R1078" i="7" s="1"/>
  <c r="R1079" i="7" s="1"/>
  <c r="R1080" i="7" s="1"/>
  <c r="R1081" i="7" s="1"/>
  <c r="R1082" i="7" s="1"/>
  <c r="R1083" i="7" s="1"/>
  <c r="R1084" i="7" s="1"/>
  <c r="R1085" i="7" s="1"/>
  <c r="R1086" i="7" s="1"/>
  <c r="T7" i="7"/>
  <c r="BB284" i="20"/>
  <c r="BA284" i="20"/>
  <c r="AZ284" i="20"/>
  <c r="AY284" i="20"/>
  <c r="AX284" i="20"/>
  <c r="BB280" i="20"/>
  <c r="BA280" i="20"/>
  <c r="AZ280" i="20"/>
  <c r="AY280" i="20"/>
  <c r="BB283" i="20"/>
  <c r="AX280" i="20"/>
  <c r="BA283" i="20"/>
  <c r="AZ283" i="20"/>
  <c r="AX283" i="20"/>
  <c r="AY283" i="20"/>
  <c r="AY282" i="20"/>
  <c r="AX282" i="20"/>
  <c r="BB281" i="20"/>
  <c r="AZ281" i="20"/>
  <c r="AY99" i="20"/>
  <c r="AX99" i="20"/>
  <c r="BB99" i="20"/>
  <c r="BA99" i="20"/>
  <c r="AZ99" i="20"/>
  <c r="AY97" i="20"/>
  <c r="BB98" i="20"/>
  <c r="BB96" i="20"/>
  <c r="AX97" i="20"/>
  <c r="BA98" i="20"/>
  <c r="BA96" i="20"/>
  <c r="BA97" i="20"/>
  <c r="AZ98" i="20"/>
  <c r="AZ96" i="20"/>
  <c r="BB97" i="20"/>
  <c r="AY98" i="20"/>
  <c r="AY96" i="20"/>
  <c r="AZ97" i="20"/>
  <c r="AX98" i="20"/>
  <c r="AX96" i="20"/>
  <c r="BA370" i="20"/>
  <c r="BB370" i="20"/>
  <c r="AZ370" i="20"/>
  <c r="AY370" i="20"/>
  <c r="AX370" i="20"/>
  <c r="BB347" i="20"/>
  <c r="BA347" i="20"/>
  <c r="AZ347" i="20"/>
  <c r="AY347" i="20"/>
  <c r="AX347" i="20"/>
  <c r="AY346" i="20"/>
  <c r="AX346" i="20"/>
  <c r="BB346" i="20"/>
  <c r="AZ346" i="20"/>
  <c r="BA346" i="20"/>
  <c r="BB379" i="20"/>
  <c r="BA379" i="20"/>
  <c r="AZ379" i="20"/>
  <c r="AY379" i="20"/>
  <c r="AX379" i="20"/>
  <c r="BB297" i="20"/>
  <c r="BA297" i="20"/>
  <c r="AZ297" i="20"/>
  <c r="AX297" i="20"/>
  <c r="AY297" i="20"/>
  <c r="AX292" i="20"/>
  <c r="AY295" i="20"/>
  <c r="BB293" i="20"/>
  <c r="BB296" i="20"/>
  <c r="BA293" i="20"/>
  <c r="BA296" i="20"/>
  <c r="AZ293" i="20"/>
  <c r="AZ296" i="20"/>
  <c r="AX293" i="20"/>
  <c r="AY293" i="20"/>
  <c r="AZ291" i="20"/>
  <c r="AX291" i="20"/>
  <c r="AY291" i="20"/>
  <c r="BB292" i="20"/>
  <c r="BA292" i="20"/>
  <c r="BA295" i="20"/>
  <c r="AZ292" i="20"/>
  <c r="AZ295" i="20"/>
  <c r="BB65" i="20"/>
  <c r="BA65" i="20"/>
  <c r="AZ65" i="20"/>
  <c r="AY65" i="20"/>
  <c r="AX65" i="20"/>
  <c r="AY64" i="20"/>
  <c r="AX64" i="20"/>
  <c r="BB64" i="20"/>
  <c r="BA64" i="20"/>
  <c r="BB81" i="20"/>
  <c r="BB294" i="20"/>
  <c r="BB174" i="20"/>
  <c r="BB204" i="20"/>
  <c r="BA204" i="20"/>
  <c r="AZ204" i="20"/>
  <c r="AY204" i="20"/>
  <c r="AX204" i="20"/>
  <c r="AY203" i="20"/>
  <c r="AX203" i="20"/>
  <c r="BA203" i="20"/>
  <c r="BB203" i="20"/>
  <c r="BB202" i="20"/>
  <c r="BA202" i="20"/>
  <c r="AZ202" i="20"/>
  <c r="AX202" i="20"/>
  <c r="BB201" i="20"/>
  <c r="AZ201" i="20"/>
  <c r="AY174" i="20"/>
  <c r="AZ164" i="20"/>
  <c r="BA242" i="20"/>
  <c r="BA201" i="20"/>
  <c r="AX223" i="20"/>
  <c r="AY149" i="20"/>
  <c r="BA59" i="20"/>
  <c r="BB291" i="20"/>
  <c r="AX325" i="20"/>
  <c r="BB180" i="20"/>
  <c r="BA372" i="20"/>
  <c r="AZ372" i="20"/>
  <c r="AY372" i="20"/>
  <c r="AX372" i="20"/>
  <c r="BB372" i="20"/>
  <c r="BB189" i="20"/>
  <c r="AY89" i="20"/>
  <c r="AX89" i="20"/>
  <c r="BB89" i="20"/>
  <c r="BA89" i="20"/>
  <c r="AZ89" i="20"/>
  <c r="AX85" i="20"/>
  <c r="BA88" i="20"/>
  <c r="BB85" i="20"/>
  <c r="BB86" i="20"/>
  <c r="AZ88" i="20"/>
  <c r="BA85" i="20"/>
  <c r="BA86" i="20"/>
  <c r="AY88" i="20"/>
  <c r="AZ85" i="20"/>
  <c r="AZ86" i="20"/>
  <c r="AX88" i="20"/>
  <c r="AY86" i="20"/>
  <c r="AX86" i="20"/>
  <c r="AY87" i="20"/>
  <c r="AX87" i="20"/>
  <c r="BB87" i="20"/>
  <c r="BA87" i="20"/>
  <c r="BB62" i="20"/>
  <c r="BA62" i="20"/>
  <c r="AZ62" i="20"/>
  <c r="AY62" i="20"/>
  <c r="AX62" i="20"/>
  <c r="BB61" i="20"/>
  <c r="BA61" i="20"/>
  <c r="AZ61" i="20"/>
  <c r="BA374" i="20"/>
  <c r="BB374" i="20"/>
  <c r="AZ374" i="20"/>
  <c r="AY374" i="20"/>
  <c r="AX374" i="20"/>
  <c r="BA351" i="20"/>
  <c r="BB351" i="20"/>
  <c r="AZ351" i="20"/>
  <c r="AY351" i="20"/>
  <c r="AX351" i="20"/>
  <c r="AY161" i="20"/>
  <c r="AX161" i="20"/>
  <c r="BB161" i="20"/>
  <c r="BA161" i="20"/>
  <c r="AZ161" i="20"/>
  <c r="BA159" i="20"/>
  <c r="BB157" i="20"/>
  <c r="AY139" i="20"/>
  <c r="AX139" i="20"/>
  <c r="BB139" i="20"/>
  <c r="BA139" i="20"/>
  <c r="AZ139" i="20"/>
  <c r="AY137" i="20"/>
  <c r="AX137" i="20"/>
  <c r="BB137" i="20"/>
  <c r="BA137" i="20"/>
  <c r="AZ137" i="20"/>
  <c r="BB138" i="20"/>
  <c r="BA138" i="20"/>
  <c r="AZ138" i="20"/>
  <c r="AY138" i="20"/>
  <c r="AX138" i="20"/>
  <c r="AZ134" i="20"/>
  <c r="BB159" i="20"/>
  <c r="BB193" i="20"/>
  <c r="BB245" i="20"/>
  <c r="AZ181" i="20"/>
  <c r="BA210" i="20"/>
  <c r="AX211" i="20"/>
  <c r="AY201" i="20"/>
  <c r="AZ282" i="20"/>
  <c r="AY61" i="20"/>
  <c r="AZ127" i="20"/>
  <c r="AZ187" i="20"/>
  <c r="AZ329" i="20"/>
  <c r="AY251" i="20"/>
  <c r="BB74" i="20"/>
  <c r="BA74" i="20"/>
  <c r="AZ74" i="20"/>
  <c r="AY74" i="20"/>
  <c r="AX74" i="20"/>
  <c r="BB381" i="20"/>
  <c r="BA381" i="20"/>
  <c r="AZ381" i="20"/>
  <c r="AY381" i="20"/>
  <c r="AX381" i="20"/>
  <c r="BB142" i="20"/>
  <c r="BA142" i="20"/>
  <c r="AZ142" i="20"/>
  <c r="AY142" i="20"/>
  <c r="AX142" i="20"/>
  <c r="BA141" i="20"/>
  <c r="BB141" i="20"/>
  <c r="AZ141" i="20"/>
  <c r="AX172" i="20"/>
  <c r="AY128" i="20"/>
  <c r="BB187" i="20"/>
  <c r="AZ315" i="20"/>
  <c r="AY105" i="20"/>
  <c r="AX105" i="20"/>
  <c r="BB105" i="20"/>
  <c r="BA105" i="20"/>
  <c r="AZ105" i="20"/>
  <c r="BB78" i="20"/>
  <c r="BA78" i="20"/>
  <c r="AZ78" i="20"/>
  <c r="AY78" i="20"/>
  <c r="AX78" i="20"/>
  <c r="AY77" i="20"/>
  <c r="AX77" i="20"/>
  <c r="BA77" i="20"/>
  <c r="BB77" i="20"/>
  <c r="AZ77" i="20"/>
  <c r="BA376" i="20"/>
  <c r="AZ376" i="20"/>
  <c r="AY376" i="20"/>
  <c r="AX376" i="20"/>
  <c r="BB376" i="20"/>
  <c r="BB353" i="20"/>
  <c r="BA353" i="20"/>
  <c r="AY353" i="20"/>
  <c r="AX353" i="20"/>
  <c r="AZ353" i="20"/>
  <c r="AZ217" i="20"/>
  <c r="AY217" i="20"/>
  <c r="AX217" i="20"/>
  <c r="BA217" i="20"/>
  <c r="BB217" i="20"/>
  <c r="BB134" i="20"/>
  <c r="AZ159" i="20"/>
  <c r="BA193" i="20"/>
  <c r="BB144" i="20"/>
  <c r="BB210" i="20"/>
  <c r="BA282" i="20"/>
  <c r="BB88" i="20"/>
  <c r="AX127" i="20"/>
  <c r="BA319" i="20"/>
  <c r="BB343" i="20"/>
  <c r="BA343" i="20"/>
  <c r="AZ343" i="20"/>
  <c r="AY343" i="20"/>
  <c r="AX343" i="20"/>
  <c r="AF8" i="7"/>
  <c r="AF9" i="7" s="1"/>
  <c r="AF10" i="7" s="1"/>
  <c r="AF11" i="7" s="1"/>
  <c r="AF12" i="7" s="1"/>
  <c r="AF13" i="7" s="1"/>
  <c r="AF14" i="7" s="1"/>
  <c r="AF15" i="7" s="1"/>
  <c r="AF16" i="7" s="1"/>
  <c r="AF17" i="7" s="1"/>
  <c r="AF18" i="7" s="1"/>
  <c r="AF19" i="7" s="1"/>
  <c r="AF20" i="7" s="1"/>
  <c r="AF21" i="7" s="1"/>
  <c r="AF22" i="7" s="1"/>
  <c r="AF23" i="7" s="1"/>
  <c r="AF24" i="7" s="1"/>
  <c r="AF25" i="7" s="1"/>
  <c r="AF26" i="7" s="1"/>
  <c r="AF27" i="7" s="1"/>
  <c r="AF28" i="7" s="1"/>
  <c r="AF29" i="7" s="1"/>
  <c r="AF30" i="7" s="1"/>
  <c r="AF31" i="7" s="1"/>
  <c r="AF32" i="7" s="1"/>
  <c r="AF33" i="7" s="1"/>
  <c r="AF34" i="7" s="1"/>
  <c r="AF35" i="7" s="1"/>
  <c r="AF36" i="7" s="1"/>
  <c r="AF37" i="7" s="1"/>
  <c r="AF38" i="7" s="1"/>
  <c r="AF39" i="7" s="1"/>
  <c r="AF40" i="7" s="1"/>
  <c r="AF41" i="7" s="1"/>
  <c r="AF42" i="7" s="1"/>
  <c r="AF43" i="7" s="1"/>
  <c r="AF44" i="7" s="1"/>
  <c r="AF45" i="7" s="1"/>
  <c r="AF46" i="7" s="1"/>
  <c r="AF47" i="7" s="1"/>
  <c r="AF48" i="7" s="1"/>
  <c r="AF49" i="7" s="1"/>
  <c r="AF50" i="7" s="1"/>
  <c r="AF51" i="7" s="1"/>
  <c r="AF52" i="7" s="1"/>
  <c r="AF53" i="7" s="1"/>
  <c r="AF54" i="7" s="1"/>
  <c r="AF55" i="7" s="1"/>
  <c r="AF56" i="7" s="1"/>
  <c r="AF57" i="7" s="1"/>
  <c r="AF58" i="7" s="1"/>
  <c r="AF59" i="7" s="1"/>
  <c r="AF60" i="7" s="1"/>
  <c r="AF61" i="7" s="1"/>
  <c r="AF62" i="7" s="1"/>
  <c r="AF63" i="7" s="1"/>
  <c r="AF64" i="7" s="1"/>
  <c r="AF65" i="7" s="1"/>
  <c r="AF66" i="7" s="1"/>
  <c r="AF67" i="7" s="1"/>
  <c r="AF68" i="7" s="1"/>
  <c r="AF69" i="7" s="1"/>
  <c r="AF70" i="7" s="1"/>
  <c r="AF71" i="7" s="1"/>
  <c r="AF72" i="7" s="1"/>
  <c r="AF73" i="7" s="1"/>
  <c r="AF74" i="7" s="1"/>
  <c r="AF75" i="7" s="1"/>
  <c r="AF76" i="7" s="1"/>
  <c r="AF77" i="7" s="1"/>
  <c r="AF78" i="7" s="1"/>
  <c r="AF79" i="7" s="1"/>
  <c r="AF80" i="7" s="1"/>
  <c r="AF81" i="7" s="1"/>
  <c r="AF82" i="7" s="1"/>
  <c r="AF83" i="7" s="1"/>
  <c r="AF84" i="7" s="1"/>
  <c r="AF85" i="7" s="1"/>
  <c r="AF86" i="7" s="1"/>
  <c r="AF87" i="7" s="1"/>
  <c r="AF88" i="7" s="1"/>
  <c r="AF89" i="7" s="1"/>
  <c r="AF90" i="7" s="1"/>
  <c r="AF91" i="7" s="1"/>
  <c r="AF92" i="7" s="1"/>
  <c r="AF93" i="7" s="1"/>
  <c r="AF94" i="7" s="1"/>
  <c r="AF95" i="7" s="1"/>
  <c r="AF96" i="7" s="1"/>
  <c r="AF97" i="7" s="1"/>
  <c r="AF98" i="7" s="1"/>
  <c r="AF99" i="7" s="1"/>
  <c r="AF100" i="7" s="1"/>
  <c r="AF101" i="7" s="1"/>
  <c r="AF102" i="7" s="1"/>
  <c r="AF103" i="7" s="1"/>
  <c r="AF104" i="7" s="1"/>
  <c r="AF105" i="7" s="1"/>
  <c r="AF106" i="7" s="1"/>
  <c r="AF107" i="7" s="1"/>
  <c r="AF108" i="7" s="1"/>
  <c r="AF109" i="7" s="1"/>
  <c r="AF110" i="7" s="1"/>
  <c r="AF111" i="7" s="1"/>
  <c r="AF112" i="7" s="1"/>
  <c r="AF113" i="7" s="1"/>
  <c r="AF114" i="7" s="1"/>
  <c r="AF115" i="7" s="1"/>
  <c r="AF116" i="7" s="1"/>
  <c r="AF117" i="7" s="1"/>
  <c r="AF118" i="7" s="1"/>
  <c r="AF119" i="7" s="1"/>
  <c r="AF120" i="7" s="1"/>
  <c r="AF121" i="7" s="1"/>
  <c r="AF122" i="7" s="1"/>
  <c r="AF123" i="7" s="1"/>
  <c r="AF124" i="7" s="1"/>
  <c r="AF125" i="7" s="1"/>
  <c r="AF126" i="7" s="1"/>
  <c r="AF127" i="7" s="1"/>
  <c r="AF128" i="7" s="1"/>
  <c r="AF129" i="7" s="1"/>
  <c r="AF130" i="7" s="1"/>
  <c r="AF131" i="7" s="1"/>
  <c r="AF132" i="7" s="1"/>
  <c r="AF133" i="7" s="1"/>
  <c r="AF134" i="7" s="1"/>
  <c r="AF135" i="7" s="1"/>
  <c r="AF136" i="7" s="1"/>
  <c r="AF137" i="7" s="1"/>
  <c r="AF138" i="7" s="1"/>
  <c r="AF139" i="7" s="1"/>
  <c r="AF140" i="7" s="1"/>
  <c r="AF141" i="7" s="1"/>
  <c r="AF142" i="7" s="1"/>
  <c r="AF143" i="7" s="1"/>
  <c r="AF144" i="7" s="1"/>
  <c r="AF145" i="7" s="1"/>
  <c r="AF146" i="7" s="1"/>
  <c r="AF147" i="7" s="1"/>
  <c r="AF148" i="7" s="1"/>
  <c r="AF149" i="7" s="1"/>
  <c r="AF150" i="7" s="1"/>
  <c r="AF151" i="7" s="1"/>
  <c r="AF152" i="7" s="1"/>
  <c r="AF153" i="7" s="1"/>
  <c r="AF154" i="7" s="1"/>
  <c r="AF155" i="7" s="1"/>
  <c r="AF156" i="7" s="1"/>
  <c r="AF157" i="7" s="1"/>
  <c r="AF158" i="7" s="1"/>
  <c r="AF159" i="7" s="1"/>
  <c r="AF160" i="7" s="1"/>
  <c r="AF161" i="7" s="1"/>
  <c r="AF162" i="7" s="1"/>
  <c r="AF163" i="7" s="1"/>
  <c r="AF164" i="7" s="1"/>
  <c r="AF165" i="7" s="1"/>
  <c r="AF166" i="7" s="1"/>
  <c r="AF167" i="7" s="1"/>
  <c r="AF168" i="7" s="1"/>
  <c r="AF169" i="7" s="1"/>
  <c r="AF170" i="7" s="1"/>
  <c r="AF171" i="7" s="1"/>
  <c r="AF172" i="7" s="1"/>
  <c r="AF173" i="7" s="1"/>
  <c r="AF174" i="7" s="1"/>
  <c r="AF175" i="7" s="1"/>
  <c r="AF176" i="7" s="1"/>
  <c r="AF177" i="7" s="1"/>
  <c r="AF178" i="7" s="1"/>
  <c r="AF179" i="7" s="1"/>
  <c r="AF180" i="7" s="1"/>
  <c r="AF181" i="7" s="1"/>
  <c r="AF182" i="7" s="1"/>
  <c r="AF183" i="7" s="1"/>
  <c r="AF184" i="7" s="1"/>
  <c r="AF185" i="7" s="1"/>
  <c r="AF186" i="7" s="1"/>
  <c r="AF187" i="7" s="1"/>
  <c r="AF188" i="7" s="1"/>
  <c r="AF189" i="7" s="1"/>
  <c r="AF190" i="7" s="1"/>
  <c r="AF191" i="7" s="1"/>
  <c r="AF192" i="7" s="1"/>
  <c r="AF193" i="7" s="1"/>
  <c r="AF194" i="7" s="1"/>
  <c r="AF195" i="7" s="1"/>
  <c r="AF196" i="7" s="1"/>
  <c r="AF197" i="7" s="1"/>
  <c r="AF198" i="7" s="1"/>
  <c r="AF199" i="7" s="1"/>
  <c r="AF200" i="7" s="1"/>
  <c r="AF201" i="7" s="1"/>
  <c r="AF202" i="7" s="1"/>
  <c r="AF203" i="7" s="1"/>
  <c r="AF204" i="7" s="1"/>
  <c r="AF205" i="7" s="1"/>
  <c r="AF206" i="7" s="1"/>
  <c r="AF207" i="7" s="1"/>
  <c r="AF208" i="7" s="1"/>
  <c r="AF209" i="7" s="1"/>
  <c r="AF210" i="7" s="1"/>
  <c r="AF211" i="7" s="1"/>
  <c r="AF212" i="7" s="1"/>
  <c r="AF213" i="7" s="1"/>
  <c r="AF214" i="7" s="1"/>
  <c r="AF215" i="7" s="1"/>
  <c r="AF216" i="7" s="1"/>
  <c r="AF217" i="7" s="1"/>
  <c r="AF218" i="7" s="1"/>
  <c r="AF219" i="7" s="1"/>
  <c r="AF220" i="7" s="1"/>
  <c r="AF221" i="7" s="1"/>
  <c r="AF222" i="7" s="1"/>
  <c r="AF223" i="7" s="1"/>
  <c r="AF224" i="7" s="1"/>
  <c r="AF225" i="7" s="1"/>
  <c r="AF226" i="7" s="1"/>
  <c r="AF227" i="7" s="1"/>
  <c r="AF228" i="7" s="1"/>
  <c r="AF229" i="7" s="1"/>
  <c r="AF230" i="7" s="1"/>
  <c r="AF231" i="7" s="1"/>
  <c r="AF232" i="7" s="1"/>
  <c r="AF233" i="7" s="1"/>
  <c r="AF234" i="7" s="1"/>
  <c r="AF235" i="7" s="1"/>
  <c r="AF236" i="7" s="1"/>
  <c r="AF237" i="7" s="1"/>
  <c r="AF238" i="7" s="1"/>
  <c r="AF239" i="7" s="1"/>
  <c r="AF240" i="7" s="1"/>
  <c r="AF241" i="7" s="1"/>
  <c r="AF242" i="7" s="1"/>
  <c r="AF243" i="7" s="1"/>
  <c r="AF244" i="7" s="1"/>
  <c r="AF245" i="7" s="1"/>
  <c r="AF246" i="7" s="1"/>
  <c r="AF247" i="7" s="1"/>
  <c r="AF248" i="7" s="1"/>
  <c r="AF249" i="7" s="1"/>
  <c r="AF250" i="7" s="1"/>
  <c r="AF251" i="7" s="1"/>
  <c r="AF252" i="7" s="1"/>
  <c r="AF253" i="7" s="1"/>
  <c r="AF254" i="7" s="1"/>
  <c r="AF255" i="7" s="1"/>
  <c r="AF256" i="7" s="1"/>
  <c r="AF257" i="7" s="1"/>
  <c r="AF258" i="7" s="1"/>
  <c r="AF259" i="7" s="1"/>
  <c r="AF260" i="7" s="1"/>
  <c r="AF261" i="7" s="1"/>
  <c r="AF262" i="7" s="1"/>
  <c r="AF263" i="7" s="1"/>
  <c r="AF264" i="7" s="1"/>
  <c r="AF265" i="7" s="1"/>
  <c r="AF266" i="7" s="1"/>
  <c r="AF267" i="7" s="1"/>
  <c r="AF268" i="7" s="1"/>
  <c r="AF269" i="7" s="1"/>
  <c r="AF270" i="7" s="1"/>
  <c r="AF271" i="7" s="1"/>
  <c r="AF272" i="7" s="1"/>
  <c r="AF273" i="7" s="1"/>
  <c r="AF274" i="7" s="1"/>
  <c r="AF275" i="7" s="1"/>
  <c r="AF276" i="7" s="1"/>
  <c r="AF277" i="7" s="1"/>
  <c r="AF278" i="7" s="1"/>
  <c r="AF279" i="7" s="1"/>
  <c r="AF280" i="7" s="1"/>
  <c r="AF281" i="7" s="1"/>
  <c r="AF282" i="7" s="1"/>
  <c r="AF283" i="7" s="1"/>
  <c r="AF284" i="7" s="1"/>
  <c r="AF285" i="7" s="1"/>
  <c r="AF286" i="7" s="1"/>
  <c r="AF287" i="7" s="1"/>
  <c r="AF288" i="7" s="1"/>
  <c r="AF289" i="7" s="1"/>
  <c r="AF290" i="7" s="1"/>
  <c r="AF291" i="7" s="1"/>
  <c r="AF292" i="7" s="1"/>
  <c r="AF293" i="7" s="1"/>
  <c r="AF294" i="7" s="1"/>
  <c r="AF295" i="7" s="1"/>
  <c r="AF296" i="7" s="1"/>
  <c r="AF297" i="7" s="1"/>
  <c r="AF298" i="7" s="1"/>
  <c r="AF299" i="7" s="1"/>
  <c r="AF300" i="7" s="1"/>
  <c r="AF301" i="7" s="1"/>
  <c r="AF302" i="7" s="1"/>
  <c r="AF303" i="7" s="1"/>
  <c r="AF304" i="7" s="1"/>
  <c r="AF305" i="7" s="1"/>
  <c r="AF306" i="7" s="1"/>
  <c r="AF307" i="7" s="1"/>
  <c r="AF308" i="7" s="1"/>
  <c r="AF309" i="7" s="1"/>
  <c r="AF310" i="7" s="1"/>
  <c r="AF311" i="7" s="1"/>
  <c r="AF312" i="7" s="1"/>
  <c r="AF313" i="7" s="1"/>
  <c r="AF314" i="7" s="1"/>
  <c r="AF315" i="7" s="1"/>
  <c r="AF316" i="7" s="1"/>
  <c r="AF317" i="7" s="1"/>
  <c r="AF318" i="7" s="1"/>
  <c r="AF319" i="7" s="1"/>
  <c r="AF320" i="7" s="1"/>
  <c r="AF321" i="7" s="1"/>
  <c r="AF322" i="7" s="1"/>
  <c r="AF323" i="7" s="1"/>
  <c r="AF324" i="7" s="1"/>
  <c r="AF325" i="7" s="1"/>
  <c r="AF326" i="7" s="1"/>
  <c r="AF327" i="7" s="1"/>
  <c r="AF328" i="7" s="1"/>
  <c r="AF329" i="7" s="1"/>
  <c r="AF330" i="7" s="1"/>
  <c r="AF331" i="7" s="1"/>
  <c r="AF332" i="7" s="1"/>
  <c r="AF333" i="7" s="1"/>
  <c r="AF334" i="7" s="1"/>
  <c r="AF335" i="7" s="1"/>
  <c r="AF336" i="7" s="1"/>
  <c r="AF337" i="7" s="1"/>
  <c r="AF338" i="7" s="1"/>
  <c r="AF339" i="7" s="1"/>
  <c r="AF340" i="7" s="1"/>
  <c r="AF341" i="7" s="1"/>
  <c r="AF342" i="7" s="1"/>
  <c r="AF343" i="7" s="1"/>
  <c r="AF344" i="7" s="1"/>
  <c r="AF345" i="7" s="1"/>
  <c r="AF346" i="7" s="1"/>
  <c r="AF347" i="7" s="1"/>
  <c r="AF348" i="7" s="1"/>
  <c r="AF349" i="7" s="1"/>
  <c r="AF350" i="7" s="1"/>
  <c r="AF351" i="7" s="1"/>
  <c r="AF352" i="7" s="1"/>
  <c r="AF353" i="7" s="1"/>
  <c r="AF354" i="7" s="1"/>
  <c r="AF355" i="7" s="1"/>
  <c r="AF356" i="7" s="1"/>
  <c r="AF357" i="7" s="1"/>
  <c r="AF358" i="7" s="1"/>
  <c r="AF359" i="7" s="1"/>
  <c r="AF360" i="7" s="1"/>
  <c r="AF361" i="7" s="1"/>
  <c r="AF362" i="7" s="1"/>
  <c r="AF363" i="7" s="1"/>
  <c r="AF364" i="7" s="1"/>
  <c r="AF365" i="7" s="1"/>
  <c r="AF366" i="7" s="1"/>
  <c r="AF367" i="7" s="1"/>
  <c r="AF368" i="7" s="1"/>
  <c r="AF369" i="7" s="1"/>
  <c r="AF370" i="7" s="1"/>
  <c r="AF371" i="7" s="1"/>
  <c r="AF372" i="7" s="1"/>
  <c r="AF373" i="7" s="1"/>
  <c r="AF374" i="7" s="1"/>
  <c r="AF375" i="7" s="1"/>
  <c r="AF376" i="7" s="1"/>
  <c r="AF377" i="7" s="1"/>
  <c r="AF378" i="7" s="1"/>
  <c r="AF379" i="7" s="1"/>
  <c r="AF380" i="7" s="1"/>
  <c r="AF381" i="7" s="1"/>
  <c r="AF382" i="7" s="1"/>
  <c r="AF383" i="7" s="1"/>
  <c r="AF384" i="7" s="1"/>
  <c r="AF385" i="7" s="1"/>
  <c r="AF386" i="7" s="1"/>
  <c r="AF387" i="7" s="1"/>
  <c r="AF388" i="7" s="1"/>
  <c r="AF389" i="7" s="1"/>
  <c r="AF390" i="7" s="1"/>
  <c r="AF391" i="7" s="1"/>
  <c r="AF392" i="7" s="1"/>
  <c r="AF393" i="7" s="1"/>
  <c r="AF394" i="7" s="1"/>
  <c r="AF395" i="7" s="1"/>
  <c r="AF396" i="7" s="1"/>
  <c r="AF397" i="7" s="1"/>
  <c r="AF398" i="7" s="1"/>
  <c r="AF399" i="7" s="1"/>
  <c r="AF400" i="7" s="1"/>
  <c r="AF401" i="7" s="1"/>
  <c r="AF402" i="7" s="1"/>
  <c r="AF403" i="7" s="1"/>
  <c r="AF404" i="7" s="1"/>
  <c r="AF405" i="7" s="1"/>
  <c r="AF406" i="7" s="1"/>
  <c r="AF407" i="7" s="1"/>
  <c r="AF408" i="7" s="1"/>
  <c r="AF409" i="7" s="1"/>
  <c r="AF410" i="7" s="1"/>
  <c r="AF411" i="7" s="1"/>
  <c r="AF412" i="7" s="1"/>
  <c r="AF413" i="7" s="1"/>
  <c r="AF414" i="7" s="1"/>
  <c r="AF415" i="7" s="1"/>
  <c r="AF416" i="7" s="1"/>
  <c r="AF417" i="7" s="1"/>
  <c r="AF418" i="7" s="1"/>
  <c r="AF419" i="7" s="1"/>
  <c r="AF420" i="7" s="1"/>
  <c r="AF421" i="7" s="1"/>
  <c r="AF422" i="7" s="1"/>
  <c r="AF423" i="7" s="1"/>
  <c r="AF424" i="7" s="1"/>
  <c r="AF425" i="7" s="1"/>
  <c r="AF426" i="7" s="1"/>
  <c r="AF427" i="7" s="1"/>
  <c r="AF428" i="7" s="1"/>
  <c r="AF429" i="7" s="1"/>
  <c r="AF430" i="7" s="1"/>
  <c r="AF431" i="7" s="1"/>
  <c r="AF432" i="7" s="1"/>
  <c r="AF433" i="7" s="1"/>
  <c r="AF434" i="7" s="1"/>
  <c r="AF435" i="7" s="1"/>
  <c r="AF436" i="7" s="1"/>
  <c r="AF437" i="7" s="1"/>
  <c r="AF438" i="7" s="1"/>
  <c r="AF439" i="7" s="1"/>
  <c r="AF440" i="7" s="1"/>
  <c r="AF441" i="7" s="1"/>
  <c r="AF442" i="7" s="1"/>
  <c r="AF443" i="7" s="1"/>
  <c r="AF444" i="7" s="1"/>
  <c r="AF445" i="7" s="1"/>
  <c r="AF446" i="7" s="1"/>
  <c r="AF447" i="7" s="1"/>
  <c r="AF448" i="7" s="1"/>
  <c r="AF449" i="7" s="1"/>
  <c r="AF450" i="7" s="1"/>
  <c r="AF451" i="7" s="1"/>
  <c r="AF452" i="7" s="1"/>
  <c r="AF453" i="7" s="1"/>
  <c r="AF454" i="7" s="1"/>
  <c r="AF455" i="7" s="1"/>
  <c r="AF456" i="7" s="1"/>
  <c r="AF457" i="7" s="1"/>
  <c r="AF458" i="7" s="1"/>
  <c r="AF459" i="7" s="1"/>
  <c r="AF460" i="7" s="1"/>
  <c r="AF461" i="7" s="1"/>
  <c r="AF462" i="7" s="1"/>
  <c r="AF463" i="7" s="1"/>
  <c r="AF464" i="7" s="1"/>
  <c r="AF465" i="7" s="1"/>
  <c r="AF466" i="7" s="1"/>
  <c r="AF467" i="7" s="1"/>
  <c r="AF468" i="7" s="1"/>
  <c r="AF469" i="7" s="1"/>
  <c r="AF470" i="7" s="1"/>
  <c r="AF471" i="7" s="1"/>
  <c r="AF472" i="7" s="1"/>
  <c r="AF473" i="7" s="1"/>
  <c r="AF474" i="7" s="1"/>
  <c r="AF475" i="7" s="1"/>
  <c r="AF476" i="7" s="1"/>
  <c r="AF477" i="7" s="1"/>
  <c r="AF478" i="7" s="1"/>
  <c r="AF479" i="7" s="1"/>
  <c r="AF480" i="7" s="1"/>
  <c r="AF481" i="7" s="1"/>
  <c r="AF482" i="7" s="1"/>
  <c r="AF483" i="7" s="1"/>
  <c r="AF484" i="7" s="1"/>
  <c r="AF485" i="7" s="1"/>
  <c r="AF486" i="7" s="1"/>
  <c r="AF487" i="7" s="1"/>
  <c r="AF488" i="7" s="1"/>
  <c r="AF489" i="7" s="1"/>
  <c r="AF490" i="7" s="1"/>
  <c r="AF491" i="7" s="1"/>
  <c r="AF492" i="7" s="1"/>
  <c r="AF493" i="7" s="1"/>
  <c r="AF494" i="7" s="1"/>
  <c r="AF495" i="7" s="1"/>
  <c r="AF496" i="7" s="1"/>
  <c r="AF497" i="7" s="1"/>
  <c r="AF498" i="7" s="1"/>
  <c r="AF499" i="7" s="1"/>
  <c r="AF500" i="7" s="1"/>
  <c r="AF501" i="7" s="1"/>
  <c r="AF502" i="7" s="1"/>
  <c r="AF503" i="7" s="1"/>
  <c r="AF504" i="7" s="1"/>
  <c r="AF505" i="7" s="1"/>
  <c r="AF506" i="7" s="1"/>
  <c r="AF507" i="7" s="1"/>
  <c r="AF508" i="7" s="1"/>
  <c r="AF509" i="7" s="1"/>
  <c r="AF510" i="7" s="1"/>
  <c r="AF511" i="7" s="1"/>
  <c r="AF512" i="7" s="1"/>
  <c r="AF513" i="7" s="1"/>
  <c r="AF514" i="7" s="1"/>
  <c r="AF515" i="7" s="1"/>
  <c r="AF516" i="7" s="1"/>
  <c r="AF517" i="7" s="1"/>
  <c r="AF518" i="7" s="1"/>
  <c r="AF519" i="7" s="1"/>
  <c r="AF520" i="7" s="1"/>
  <c r="AF521" i="7" s="1"/>
  <c r="AF522" i="7" s="1"/>
  <c r="AF523" i="7" s="1"/>
  <c r="AF524" i="7" s="1"/>
  <c r="AF525" i="7" s="1"/>
  <c r="AF526" i="7" s="1"/>
  <c r="AF527" i="7" s="1"/>
  <c r="AF528" i="7" s="1"/>
  <c r="AF529" i="7" s="1"/>
  <c r="AF530" i="7" s="1"/>
  <c r="AF531" i="7" s="1"/>
  <c r="AF532" i="7" s="1"/>
  <c r="AF533" i="7" s="1"/>
  <c r="AF534" i="7" s="1"/>
  <c r="AF535" i="7" s="1"/>
  <c r="AF536" i="7" s="1"/>
  <c r="AF537" i="7" s="1"/>
  <c r="AF538" i="7" s="1"/>
  <c r="AF539" i="7" s="1"/>
  <c r="AF540" i="7" s="1"/>
  <c r="AF541" i="7" s="1"/>
  <c r="AF542" i="7" s="1"/>
  <c r="AF543" i="7" s="1"/>
  <c r="AF544" i="7" s="1"/>
  <c r="AF545" i="7" s="1"/>
  <c r="AF546" i="7" s="1"/>
  <c r="AF547" i="7" s="1"/>
  <c r="AF548" i="7" s="1"/>
  <c r="AF549" i="7" s="1"/>
  <c r="AF550" i="7" s="1"/>
  <c r="AF551" i="7" s="1"/>
  <c r="AF552" i="7" s="1"/>
  <c r="AF553" i="7" s="1"/>
  <c r="AF554" i="7" s="1"/>
  <c r="AF555" i="7" s="1"/>
  <c r="AF556" i="7" s="1"/>
  <c r="AF557" i="7" s="1"/>
  <c r="AF558" i="7" s="1"/>
  <c r="AF559" i="7" s="1"/>
  <c r="AF560" i="7" s="1"/>
  <c r="AF561" i="7" s="1"/>
  <c r="AF562" i="7" s="1"/>
  <c r="AF563" i="7" s="1"/>
  <c r="AF564" i="7" s="1"/>
  <c r="AF565" i="7" s="1"/>
  <c r="AF566" i="7" s="1"/>
  <c r="AF567" i="7" s="1"/>
  <c r="AF568" i="7" s="1"/>
  <c r="AF569" i="7" s="1"/>
  <c r="AF570" i="7" s="1"/>
  <c r="AF571" i="7" s="1"/>
  <c r="AF572" i="7" s="1"/>
  <c r="AF573" i="7" s="1"/>
  <c r="AF574" i="7" s="1"/>
  <c r="AF575" i="7" s="1"/>
  <c r="AF576" i="7" s="1"/>
  <c r="AF577" i="7" s="1"/>
  <c r="AF578" i="7" s="1"/>
  <c r="AF579" i="7" s="1"/>
  <c r="AF580" i="7" s="1"/>
  <c r="AF581" i="7" s="1"/>
  <c r="AF582" i="7" s="1"/>
  <c r="AF583" i="7" s="1"/>
  <c r="AF584" i="7" s="1"/>
  <c r="AF585" i="7" s="1"/>
  <c r="AF586" i="7" s="1"/>
  <c r="AF587" i="7" s="1"/>
  <c r="AF588" i="7" s="1"/>
  <c r="AF589" i="7" s="1"/>
  <c r="AF590" i="7" s="1"/>
  <c r="AF591" i="7" s="1"/>
  <c r="AF592" i="7" s="1"/>
  <c r="AF593" i="7" s="1"/>
  <c r="AF594" i="7" s="1"/>
  <c r="AF595" i="7" s="1"/>
  <c r="AF596" i="7" s="1"/>
  <c r="AF597" i="7" s="1"/>
  <c r="AF598" i="7" s="1"/>
  <c r="AF599" i="7" s="1"/>
  <c r="AF600" i="7" s="1"/>
  <c r="AF601" i="7" s="1"/>
  <c r="AF602" i="7" s="1"/>
  <c r="AF603" i="7" s="1"/>
  <c r="AF604" i="7" s="1"/>
  <c r="AF605" i="7" s="1"/>
  <c r="AF606" i="7" s="1"/>
  <c r="AF607" i="7" s="1"/>
  <c r="AF608" i="7" s="1"/>
  <c r="AF609" i="7" s="1"/>
  <c r="AF610" i="7" s="1"/>
  <c r="AF611" i="7" s="1"/>
  <c r="AF612" i="7" s="1"/>
  <c r="AF613" i="7" s="1"/>
  <c r="AF614" i="7" s="1"/>
  <c r="AF615" i="7" s="1"/>
  <c r="AF616" i="7" s="1"/>
  <c r="AF617" i="7" s="1"/>
  <c r="AF618" i="7" s="1"/>
  <c r="AF619" i="7" s="1"/>
  <c r="AF620" i="7" s="1"/>
  <c r="AF621" i="7" s="1"/>
  <c r="AF622" i="7" s="1"/>
  <c r="AF623" i="7" s="1"/>
  <c r="AF624" i="7" s="1"/>
  <c r="AF625" i="7" s="1"/>
  <c r="AF626" i="7" s="1"/>
  <c r="AF627" i="7" s="1"/>
  <c r="AF628" i="7" s="1"/>
  <c r="AF629" i="7" s="1"/>
  <c r="AF630" i="7" s="1"/>
  <c r="AF631" i="7" s="1"/>
  <c r="AF632" i="7" s="1"/>
  <c r="AF633" i="7" s="1"/>
  <c r="AF634" i="7" s="1"/>
  <c r="AF635" i="7" s="1"/>
  <c r="AF636" i="7" s="1"/>
  <c r="AF637" i="7" s="1"/>
  <c r="AF638" i="7" s="1"/>
  <c r="AF639" i="7" s="1"/>
  <c r="AF640" i="7" s="1"/>
  <c r="AF641" i="7" s="1"/>
  <c r="AF642" i="7" s="1"/>
  <c r="AF643" i="7" s="1"/>
  <c r="AF644" i="7" s="1"/>
  <c r="AF645" i="7" s="1"/>
  <c r="AF646" i="7" s="1"/>
  <c r="AF647" i="7" s="1"/>
  <c r="AF648" i="7" s="1"/>
  <c r="AF649" i="7" s="1"/>
  <c r="AF650" i="7" s="1"/>
  <c r="AF651" i="7" s="1"/>
  <c r="AF652" i="7" s="1"/>
  <c r="AF653" i="7" s="1"/>
  <c r="AF654" i="7" s="1"/>
  <c r="AF655" i="7" s="1"/>
  <c r="AF656" i="7" s="1"/>
  <c r="AF657" i="7" s="1"/>
  <c r="AF658" i="7" s="1"/>
  <c r="AF659" i="7" s="1"/>
  <c r="AF660" i="7" s="1"/>
  <c r="AF661" i="7" s="1"/>
  <c r="AF662" i="7" s="1"/>
  <c r="AF663" i="7" s="1"/>
  <c r="AF664" i="7" s="1"/>
  <c r="AF665" i="7" s="1"/>
  <c r="AF666" i="7" s="1"/>
  <c r="AF667" i="7" s="1"/>
  <c r="AF668" i="7" s="1"/>
  <c r="AF669" i="7" s="1"/>
  <c r="AF670" i="7" s="1"/>
  <c r="AF671" i="7" s="1"/>
  <c r="AF672" i="7" s="1"/>
  <c r="AF673" i="7" s="1"/>
  <c r="AF674" i="7" s="1"/>
  <c r="AF675" i="7" s="1"/>
  <c r="AF676" i="7" s="1"/>
  <c r="AF677" i="7" s="1"/>
  <c r="AF678" i="7" s="1"/>
  <c r="AF679" i="7" s="1"/>
  <c r="AF680" i="7" s="1"/>
  <c r="AF681" i="7" s="1"/>
  <c r="AF682" i="7" s="1"/>
  <c r="AF683" i="7" s="1"/>
  <c r="AF684" i="7" s="1"/>
  <c r="AF685" i="7" s="1"/>
  <c r="AF686" i="7" s="1"/>
  <c r="AF687" i="7" s="1"/>
  <c r="AF688" i="7" s="1"/>
  <c r="AF689" i="7" s="1"/>
  <c r="AF690" i="7" s="1"/>
  <c r="AF691" i="7" s="1"/>
  <c r="AF692" i="7" s="1"/>
  <c r="AF693" i="7" s="1"/>
  <c r="AF694" i="7" s="1"/>
  <c r="AF695" i="7" s="1"/>
  <c r="AF696" i="7" s="1"/>
  <c r="AF697" i="7" s="1"/>
  <c r="AF698" i="7" s="1"/>
  <c r="AF699" i="7" s="1"/>
  <c r="AF700" i="7" s="1"/>
  <c r="AF701" i="7" s="1"/>
  <c r="AF702" i="7" s="1"/>
  <c r="AF703" i="7" s="1"/>
  <c r="AF704" i="7" s="1"/>
  <c r="AF705" i="7" s="1"/>
  <c r="AF706" i="7" s="1"/>
  <c r="AF707" i="7" s="1"/>
  <c r="AF708" i="7" s="1"/>
  <c r="AF709" i="7" s="1"/>
  <c r="AF710" i="7" s="1"/>
  <c r="AF711" i="7" s="1"/>
  <c r="AF712" i="7" s="1"/>
  <c r="AF713" i="7" s="1"/>
  <c r="AF714" i="7" s="1"/>
  <c r="AF715" i="7" s="1"/>
  <c r="AF716" i="7" s="1"/>
  <c r="AF717" i="7" s="1"/>
  <c r="AF718" i="7" s="1"/>
  <c r="AF719" i="7" s="1"/>
  <c r="AF720" i="7" s="1"/>
  <c r="AF721" i="7" s="1"/>
  <c r="AF722" i="7" s="1"/>
  <c r="AF723" i="7" s="1"/>
  <c r="AF724" i="7" s="1"/>
  <c r="AF725" i="7" s="1"/>
  <c r="AF726" i="7" s="1"/>
  <c r="AF727" i="7" s="1"/>
  <c r="AF728" i="7" s="1"/>
  <c r="AF729" i="7" s="1"/>
  <c r="AF730" i="7" s="1"/>
  <c r="AF731" i="7" s="1"/>
  <c r="AF732" i="7" s="1"/>
  <c r="AF733" i="7" s="1"/>
  <c r="AF734" i="7" s="1"/>
  <c r="AF735" i="7" s="1"/>
  <c r="AF736" i="7" s="1"/>
  <c r="AF737" i="7" s="1"/>
  <c r="AF738" i="7" s="1"/>
  <c r="AF739" i="7" s="1"/>
  <c r="AF740" i="7" s="1"/>
  <c r="AF741" i="7" s="1"/>
  <c r="AF742" i="7" s="1"/>
  <c r="AF743" i="7" s="1"/>
  <c r="AF744" i="7" s="1"/>
  <c r="AF745" i="7" s="1"/>
  <c r="AF746" i="7" s="1"/>
  <c r="AF747" i="7" s="1"/>
  <c r="AF748" i="7" s="1"/>
  <c r="AF749" i="7" s="1"/>
  <c r="AF750" i="7" s="1"/>
  <c r="AF751" i="7" s="1"/>
  <c r="AF752" i="7" s="1"/>
  <c r="AF753" i="7" s="1"/>
  <c r="AF754" i="7" s="1"/>
  <c r="AF755" i="7" s="1"/>
  <c r="AF756" i="7" s="1"/>
  <c r="AF757" i="7" s="1"/>
  <c r="AF758" i="7" s="1"/>
  <c r="AF759" i="7" s="1"/>
  <c r="AF760" i="7" s="1"/>
  <c r="AF761" i="7" s="1"/>
  <c r="AF762" i="7" s="1"/>
  <c r="AF763" i="7" s="1"/>
  <c r="AF764" i="7" s="1"/>
  <c r="AF765" i="7" s="1"/>
  <c r="AF766" i="7" s="1"/>
  <c r="AF767" i="7" s="1"/>
  <c r="AF768" i="7" s="1"/>
  <c r="AF769" i="7" s="1"/>
  <c r="AF770" i="7" s="1"/>
  <c r="AF771" i="7" s="1"/>
  <c r="AF772" i="7" s="1"/>
  <c r="AF773" i="7" s="1"/>
  <c r="AF774" i="7" s="1"/>
  <c r="AF775" i="7" s="1"/>
  <c r="AF776" i="7" s="1"/>
  <c r="AF777" i="7" s="1"/>
  <c r="AF778" i="7" s="1"/>
  <c r="AF779" i="7" s="1"/>
  <c r="AF780" i="7" s="1"/>
  <c r="AF781" i="7" s="1"/>
  <c r="AF782" i="7" s="1"/>
  <c r="AF783" i="7" s="1"/>
  <c r="AF784" i="7" s="1"/>
  <c r="AF785" i="7" s="1"/>
  <c r="AF786" i="7" s="1"/>
  <c r="AF787" i="7" s="1"/>
  <c r="AF788" i="7" s="1"/>
  <c r="AF789" i="7" s="1"/>
  <c r="AF790" i="7" s="1"/>
  <c r="AF791" i="7" s="1"/>
  <c r="AF792" i="7" s="1"/>
  <c r="AF793" i="7" s="1"/>
  <c r="AF794" i="7" s="1"/>
  <c r="AF795" i="7" s="1"/>
  <c r="AF796" i="7" s="1"/>
  <c r="AF797" i="7" s="1"/>
  <c r="AF798" i="7" s="1"/>
  <c r="AF799" i="7" s="1"/>
  <c r="AF800" i="7" s="1"/>
  <c r="AF801" i="7" s="1"/>
  <c r="AF802" i="7" s="1"/>
  <c r="AF803" i="7" s="1"/>
  <c r="AF804" i="7" s="1"/>
  <c r="AF805" i="7" s="1"/>
  <c r="AF806" i="7" s="1"/>
  <c r="AF807" i="7" s="1"/>
  <c r="AF808" i="7" s="1"/>
  <c r="AF809" i="7" s="1"/>
  <c r="AF810" i="7" s="1"/>
  <c r="AF811" i="7" s="1"/>
  <c r="AF812" i="7" s="1"/>
  <c r="AF813" i="7" s="1"/>
  <c r="AF814" i="7" s="1"/>
  <c r="AF815" i="7" s="1"/>
  <c r="AF816" i="7" s="1"/>
  <c r="AF817" i="7" s="1"/>
  <c r="AF818" i="7" s="1"/>
  <c r="AF819" i="7" s="1"/>
  <c r="AF820" i="7" s="1"/>
  <c r="AF821" i="7" s="1"/>
  <c r="AF822" i="7" s="1"/>
  <c r="AF823" i="7" s="1"/>
  <c r="AF824" i="7" s="1"/>
  <c r="AF825" i="7" s="1"/>
  <c r="AF826" i="7" s="1"/>
  <c r="AF827" i="7" s="1"/>
  <c r="AF828" i="7" s="1"/>
  <c r="AF829" i="7" s="1"/>
  <c r="AF830" i="7" s="1"/>
  <c r="AF831" i="7" s="1"/>
  <c r="AF832" i="7" s="1"/>
  <c r="AF833" i="7" s="1"/>
  <c r="AF834" i="7" s="1"/>
  <c r="AF835" i="7" s="1"/>
  <c r="AF836" i="7" s="1"/>
  <c r="AF837" i="7" s="1"/>
  <c r="AF838" i="7" s="1"/>
  <c r="AF839" i="7" s="1"/>
  <c r="AF840" i="7" s="1"/>
  <c r="AF841" i="7" s="1"/>
  <c r="AF842" i="7" s="1"/>
  <c r="AF843" i="7" s="1"/>
  <c r="AF844" i="7" s="1"/>
  <c r="AF845" i="7" s="1"/>
  <c r="AF846" i="7" s="1"/>
  <c r="AF847" i="7" s="1"/>
  <c r="AF848" i="7" s="1"/>
  <c r="AF849" i="7" s="1"/>
  <c r="AF850" i="7" s="1"/>
  <c r="AF851" i="7" s="1"/>
  <c r="AF852" i="7" s="1"/>
  <c r="AF853" i="7" s="1"/>
  <c r="AF854" i="7" s="1"/>
  <c r="AF855" i="7" s="1"/>
  <c r="AF856" i="7" s="1"/>
  <c r="AF857" i="7" s="1"/>
  <c r="AF858" i="7" s="1"/>
  <c r="AF859" i="7" s="1"/>
  <c r="AF860" i="7" s="1"/>
  <c r="AF861" i="7" s="1"/>
  <c r="AF862" i="7" s="1"/>
  <c r="AF863" i="7" s="1"/>
  <c r="AF864" i="7" s="1"/>
  <c r="AF865" i="7" s="1"/>
  <c r="AF866" i="7" s="1"/>
  <c r="AF867" i="7" s="1"/>
  <c r="AF868" i="7" s="1"/>
  <c r="AF869" i="7" s="1"/>
  <c r="AF870" i="7" s="1"/>
  <c r="AF871" i="7" s="1"/>
  <c r="AF872" i="7" s="1"/>
  <c r="AF873" i="7" s="1"/>
  <c r="AF874" i="7" s="1"/>
  <c r="AF875" i="7" s="1"/>
  <c r="AF876" i="7" s="1"/>
  <c r="AF877" i="7" s="1"/>
  <c r="AF878" i="7" s="1"/>
  <c r="AF879" i="7" s="1"/>
  <c r="AF880" i="7" s="1"/>
  <c r="AF881" i="7" s="1"/>
  <c r="AF882" i="7" s="1"/>
  <c r="AF883" i="7" s="1"/>
  <c r="AF884" i="7" s="1"/>
  <c r="AF885" i="7" s="1"/>
  <c r="AF886" i="7" s="1"/>
  <c r="AF887" i="7" s="1"/>
  <c r="AF888" i="7" s="1"/>
  <c r="AF889" i="7" s="1"/>
  <c r="AF890" i="7" s="1"/>
  <c r="AF891" i="7" s="1"/>
  <c r="AF892" i="7" s="1"/>
  <c r="AF893" i="7" s="1"/>
  <c r="AF894" i="7" s="1"/>
  <c r="AF895" i="7" s="1"/>
  <c r="AF896" i="7" s="1"/>
  <c r="AF897" i="7" s="1"/>
  <c r="AF898" i="7" s="1"/>
  <c r="AF899" i="7" s="1"/>
  <c r="AF900" i="7" s="1"/>
  <c r="AF901" i="7" s="1"/>
  <c r="AF902" i="7" s="1"/>
  <c r="AF903" i="7" s="1"/>
  <c r="AF904" i="7" s="1"/>
  <c r="AF905" i="7" s="1"/>
  <c r="AF906" i="7" s="1"/>
  <c r="AF907" i="7" s="1"/>
  <c r="AF908" i="7" s="1"/>
  <c r="AF909" i="7" s="1"/>
  <c r="AF910" i="7" s="1"/>
  <c r="AF911" i="7" s="1"/>
  <c r="AF912" i="7" s="1"/>
  <c r="AF913" i="7" s="1"/>
  <c r="AF914" i="7" s="1"/>
  <c r="AF915" i="7" s="1"/>
  <c r="AF916" i="7" s="1"/>
  <c r="AF917" i="7" s="1"/>
  <c r="AF918" i="7" s="1"/>
  <c r="AF919" i="7" s="1"/>
  <c r="AF920" i="7" s="1"/>
  <c r="AF921" i="7" s="1"/>
  <c r="AF922" i="7" s="1"/>
  <c r="AF923" i="7" s="1"/>
  <c r="AF924" i="7" s="1"/>
  <c r="AF925" i="7" s="1"/>
  <c r="AF926" i="7" s="1"/>
  <c r="AF927" i="7" s="1"/>
  <c r="AF928" i="7" s="1"/>
  <c r="AF929" i="7" s="1"/>
  <c r="AF930" i="7" s="1"/>
  <c r="AF931" i="7" s="1"/>
  <c r="AF932" i="7" s="1"/>
  <c r="AF933" i="7" s="1"/>
  <c r="AF934" i="7" s="1"/>
  <c r="AF935" i="7" s="1"/>
  <c r="AF936" i="7" s="1"/>
  <c r="AF937" i="7" s="1"/>
  <c r="AF938" i="7" s="1"/>
  <c r="AF939" i="7" s="1"/>
  <c r="AF940" i="7" s="1"/>
  <c r="AF941" i="7" s="1"/>
  <c r="AF942" i="7" s="1"/>
  <c r="AF943" i="7" s="1"/>
  <c r="AF944" i="7" s="1"/>
  <c r="AF945" i="7" s="1"/>
  <c r="AF946" i="7" s="1"/>
  <c r="AF947" i="7" s="1"/>
  <c r="AF948" i="7" s="1"/>
  <c r="AF949" i="7" s="1"/>
  <c r="AF950" i="7" s="1"/>
  <c r="AF951" i="7" s="1"/>
  <c r="AF952" i="7" s="1"/>
  <c r="AF953" i="7" s="1"/>
  <c r="AF954" i="7" s="1"/>
  <c r="AF955" i="7" s="1"/>
  <c r="AF956" i="7" s="1"/>
  <c r="AF957" i="7" s="1"/>
  <c r="AF958" i="7" s="1"/>
  <c r="AF959" i="7" s="1"/>
  <c r="AF960" i="7" s="1"/>
  <c r="AF961" i="7" s="1"/>
  <c r="AF962" i="7" s="1"/>
  <c r="AF963" i="7" s="1"/>
  <c r="AF964" i="7" s="1"/>
  <c r="AF965" i="7" s="1"/>
  <c r="AF966" i="7" s="1"/>
  <c r="AF967" i="7" s="1"/>
  <c r="AF968" i="7" s="1"/>
  <c r="AF969" i="7" s="1"/>
  <c r="AF970" i="7" s="1"/>
  <c r="AF971" i="7" s="1"/>
  <c r="AF972" i="7" s="1"/>
  <c r="AF973" i="7" s="1"/>
  <c r="AF974" i="7" s="1"/>
  <c r="AF975" i="7" s="1"/>
  <c r="AF976" i="7" s="1"/>
  <c r="AF977" i="7" s="1"/>
  <c r="AF978" i="7" s="1"/>
  <c r="AF979" i="7" s="1"/>
  <c r="AF980" i="7" s="1"/>
  <c r="AF981" i="7" s="1"/>
  <c r="AF982" i="7" s="1"/>
  <c r="AF983" i="7" s="1"/>
  <c r="AF984" i="7" s="1"/>
  <c r="AF985" i="7" s="1"/>
  <c r="AF986" i="7" s="1"/>
  <c r="AF987" i="7" s="1"/>
  <c r="AF988" i="7" s="1"/>
  <c r="AF989" i="7" s="1"/>
  <c r="AF990" i="7" s="1"/>
  <c r="AF991" i="7" s="1"/>
  <c r="AF992" i="7" s="1"/>
  <c r="AF993" i="7" s="1"/>
  <c r="AF994" i="7" s="1"/>
  <c r="AF995" i="7" s="1"/>
  <c r="AF996" i="7" s="1"/>
  <c r="AF997" i="7" s="1"/>
  <c r="AF998" i="7" s="1"/>
  <c r="AF999" i="7" s="1"/>
  <c r="AF1000" i="7" s="1"/>
  <c r="AF1001" i="7" s="1"/>
  <c r="AF1002" i="7" s="1"/>
  <c r="AF1003" i="7" s="1"/>
  <c r="AF1004" i="7" s="1"/>
  <c r="AF1005" i="7" s="1"/>
  <c r="AF1006" i="7" s="1"/>
  <c r="AF1007" i="7" s="1"/>
  <c r="AF1008" i="7" s="1"/>
  <c r="AF1009" i="7" s="1"/>
  <c r="AF1010" i="7" s="1"/>
  <c r="AF1011" i="7" s="1"/>
  <c r="AF1012" i="7" s="1"/>
  <c r="AF1013" i="7" s="1"/>
  <c r="AF1014" i="7" s="1"/>
  <c r="AF1015" i="7" s="1"/>
  <c r="AF1016" i="7" s="1"/>
  <c r="AF1017" i="7" s="1"/>
  <c r="AF1018" i="7" s="1"/>
  <c r="AF1019" i="7" s="1"/>
  <c r="AF1020" i="7" s="1"/>
  <c r="AF1021" i="7" s="1"/>
  <c r="AF1022" i="7" s="1"/>
  <c r="AF1023" i="7" s="1"/>
  <c r="AF1024" i="7" s="1"/>
  <c r="AF1025" i="7" s="1"/>
  <c r="AF1026" i="7" s="1"/>
  <c r="AF1027" i="7" s="1"/>
  <c r="AF1028" i="7" s="1"/>
  <c r="AF1029" i="7" s="1"/>
  <c r="AF1030" i="7" s="1"/>
  <c r="AF1031" i="7" s="1"/>
  <c r="AF1032" i="7" s="1"/>
  <c r="AF1033" i="7" s="1"/>
  <c r="AF1034" i="7" s="1"/>
  <c r="AF1035" i="7" s="1"/>
  <c r="AF1036" i="7" s="1"/>
  <c r="AF1037" i="7" s="1"/>
  <c r="AF1038" i="7" s="1"/>
  <c r="AF1039" i="7" s="1"/>
  <c r="AF1040" i="7" s="1"/>
  <c r="AF1041" i="7" s="1"/>
  <c r="AF1042" i="7" s="1"/>
  <c r="AF1043" i="7" s="1"/>
  <c r="AF1044" i="7" s="1"/>
  <c r="AF1045" i="7" s="1"/>
  <c r="AF1046" i="7" s="1"/>
  <c r="AF1047" i="7" s="1"/>
  <c r="AF1048" i="7" s="1"/>
  <c r="AF1049" i="7" s="1"/>
  <c r="AF1050" i="7" s="1"/>
  <c r="AF1051" i="7" s="1"/>
  <c r="AF1052" i="7" s="1"/>
  <c r="AF1053" i="7" s="1"/>
  <c r="AF1054" i="7" s="1"/>
  <c r="AF1055" i="7" s="1"/>
  <c r="AF1056" i="7" s="1"/>
  <c r="AF1057" i="7" s="1"/>
  <c r="AF1058" i="7" s="1"/>
  <c r="AF1059" i="7" s="1"/>
  <c r="AF1060" i="7" s="1"/>
  <c r="AF1061" i="7" s="1"/>
  <c r="AF1062" i="7" s="1"/>
  <c r="AF1063" i="7" s="1"/>
  <c r="AF1064" i="7" s="1"/>
  <c r="AF1065" i="7" s="1"/>
  <c r="AF1066" i="7" s="1"/>
  <c r="AF1067" i="7" s="1"/>
  <c r="AF1068" i="7" s="1"/>
  <c r="AF1069" i="7" s="1"/>
  <c r="AF1070" i="7" s="1"/>
  <c r="AF1071" i="7" s="1"/>
  <c r="AF1072" i="7" s="1"/>
  <c r="AF1073" i="7" s="1"/>
  <c r="AF1074" i="7" s="1"/>
  <c r="AF1075" i="7" s="1"/>
  <c r="AF1076" i="7" s="1"/>
  <c r="AF1077" i="7" s="1"/>
  <c r="AF1078" i="7" s="1"/>
  <c r="AF1079" i="7" s="1"/>
  <c r="AF1080" i="7" s="1"/>
  <c r="AF1081" i="7" s="1"/>
  <c r="AF1082" i="7" s="1"/>
  <c r="AF1083" i="7" s="1"/>
  <c r="AF1084" i="7" s="1"/>
  <c r="AF1085" i="7" s="1"/>
  <c r="AF1086" i="7" s="1"/>
  <c r="AI7" i="7"/>
  <c r="AZ193" i="20"/>
  <c r="BB102" i="20"/>
  <c r="BA102" i="20"/>
  <c r="AZ102" i="20"/>
  <c r="AY102" i="20"/>
  <c r="AX102" i="20"/>
  <c r="BB355" i="20"/>
  <c r="BA355" i="20"/>
  <c r="AY355" i="20"/>
  <c r="AX355" i="20"/>
  <c r="AZ355" i="20"/>
  <c r="AX166" i="20"/>
  <c r="AY159" i="20"/>
  <c r="BB155" i="20"/>
  <c r="BB214" i="20"/>
  <c r="BB282" i="20"/>
  <c r="BA135" i="20"/>
  <c r="BB305" i="20"/>
  <c r="BB60" i="20"/>
  <c r="BA60" i="20"/>
  <c r="AY60" i="20"/>
  <c r="AZ60" i="20"/>
  <c r="AX60" i="20"/>
  <c r="AZ59" i="20"/>
  <c r="AY59" i="20"/>
  <c r="AX59" i="20"/>
  <c r="BB68" i="20"/>
  <c r="BA68" i="20"/>
  <c r="AZ68" i="20"/>
  <c r="AY68" i="20"/>
  <c r="AX68" i="20"/>
  <c r="BB67" i="20"/>
  <c r="BA67" i="20"/>
  <c r="AZ67" i="20"/>
  <c r="AZ66" i="20"/>
  <c r="AY66" i="20"/>
  <c r="AX66" i="20"/>
  <c r="BB94" i="20"/>
  <c r="BA94" i="20"/>
  <c r="AZ94" i="20"/>
  <c r="AY94" i="20"/>
  <c r="AX94" i="20"/>
  <c r="BA378" i="20"/>
  <c r="BB378" i="20"/>
  <c r="AZ378" i="20"/>
  <c r="AY378" i="20"/>
  <c r="AX378" i="20"/>
  <c r="AX156" i="20"/>
  <c r="BB104" i="20"/>
  <c r="BA104" i="20"/>
  <c r="AZ104" i="20"/>
  <c r="AY104" i="20"/>
  <c r="AX104" i="20"/>
  <c r="AY103" i="20"/>
  <c r="BB103" i="20"/>
  <c r="BA103" i="20"/>
  <c r="BA380" i="20"/>
  <c r="AZ380" i="20"/>
  <c r="AY380" i="20"/>
  <c r="AX380" i="20"/>
  <c r="BB380" i="20"/>
  <c r="AY156" i="20"/>
  <c r="BB120" i="20"/>
  <c r="BA120" i="20"/>
  <c r="AZ120" i="20"/>
  <c r="AY120" i="20"/>
  <c r="AX120" i="20"/>
  <c r="AY119" i="20"/>
  <c r="BB116" i="20"/>
  <c r="AX119" i="20"/>
  <c r="BA116" i="20"/>
  <c r="BB119" i="20"/>
  <c r="AZ116" i="20"/>
  <c r="BA119" i="20"/>
  <c r="AY116" i="20"/>
  <c r="AZ119" i="20"/>
  <c r="AX116" i="20"/>
  <c r="BB118" i="20"/>
  <c r="AY117" i="20"/>
  <c r="BA118" i="20"/>
  <c r="AX117" i="20"/>
  <c r="AZ118" i="20"/>
  <c r="BB117" i="20"/>
  <c r="AY118" i="20"/>
  <c r="BA117" i="20"/>
  <c r="AX118" i="20"/>
  <c r="AZ117" i="20"/>
  <c r="AY166" i="20"/>
  <c r="AY232" i="20"/>
  <c r="BA298" i="20"/>
  <c r="AZ196" i="20"/>
  <c r="AZ82" i="20"/>
  <c r="BB323" i="20"/>
  <c r="BB349" i="20"/>
  <c r="BA349" i="20"/>
  <c r="AZ349" i="20"/>
  <c r="AY349" i="20"/>
  <c r="AX349" i="20"/>
  <c r="AY348" i="20"/>
  <c r="AX348" i="20"/>
  <c r="BB348" i="20"/>
  <c r="BB90" i="20"/>
  <c r="BA90" i="20"/>
  <c r="AZ90" i="20"/>
  <c r="AY90" i="20"/>
  <c r="AX90" i="20"/>
  <c r="BB110" i="20"/>
  <c r="BA110" i="20"/>
  <c r="AZ110" i="20"/>
  <c r="AY110" i="20"/>
  <c r="AX110" i="20"/>
  <c r="AY109" i="20"/>
  <c r="AX109" i="20"/>
  <c r="BA109" i="20"/>
  <c r="BB109" i="20"/>
  <c r="BB357" i="20"/>
  <c r="BA357" i="20"/>
  <c r="AY357" i="20"/>
  <c r="AX357" i="20"/>
  <c r="AZ357" i="20"/>
  <c r="AY107" i="20"/>
  <c r="AX107" i="20"/>
  <c r="BB107" i="20"/>
  <c r="BA107" i="20"/>
  <c r="AZ107" i="20"/>
  <c r="BB106" i="20"/>
  <c r="BA106" i="20"/>
  <c r="AZ106" i="20"/>
  <c r="AY106" i="20"/>
  <c r="AX106" i="20"/>
  <c r="BB350" i="20"/>
  <c r="BA350" i="20"/>
  <c r="AZ350" i="20"/>
  <c r="AY350" i="20"/>
  <c r="AX350" i="20"/>
  <c r="BA382" i="20"/>
  <c r="BB382" i="20"/>
  <c r="AZ382" i="20"/>
  <c r="AY382" i="20"/>
  <c r="AX382" i="20"/>
  <c r="BB359" i="20"/>
  <c r="BA359" i="20"/>
  <c r="AY359" i="20"/>
  <c r="AX359" i="20"/>
  <c r="AZ359" i="20"/>
  <c r="AZ156" i="20"/>
  <c r="AY115" i="20"/>
  <c r="AX115" i="20"/>
  <c r="BB115" i="20"/>
  <c r="BA115" i="20"/>
  <c r="AZ115" i="20"/>
  <c r="BB114" i="20"/>
  <c r="AY114" i="20"/>
  <c r="AX114" i="20"/>
  <c r="AZ166" i="20"/>
  <c r="AZ232" i="20"/>
  <c r="BA224" i="20"/>
  <c r="AZ103" i="20"/>
  <c r="BB111" i="20"/>
  <c r="AX112" i="20"/>
  <c r="BA238" i="20"/>
  <c r="AX186" i="20"/>
  <c r="AZ287" i="20"/>
  <c r="AX310" i="20"/>
  <c r="BB154" i="20"/>
  <c r="BA154" i="20"/>
  <c r="AZ154" i="20"/>
  <c r="AY154" i="20"/>
  <c r="AX154" i="20"/>
  <c r="AY153" i="20"/>
  <c r="AX153" i="20"/>
  <c r="BB153" i="20"/>
  <c r="BA153" i="20"/>
  <c r="AZ153" i="20"/>
  <c r="BA166" i="20"/>
  <c r="BA232" i="20"/>
  <c r="AX103" i="20"/>
  <c r="AY111" i="20"/>
  <c r="AY112" i="20"/>
  <c r="BB238" i="20"/>
  <c r="AY72" i="20"/>
  <c r="BA197" i="20"/>
  <c r="AZ87" i="20"/>
  <c r="AX328" i="20"/>
  <c r="BB342" i="20"/>
  <c r="BA342" i="20"/>
  <c r="AZ342" i="20"/>
  <c r="AY342" i="20"/>
  <c r="AX342" i="20"/>
  <c r="AZ213" i="20"/>
  <c r="AY213" i="20"/>
  <c r="AX213" i="20"/>
  <c r="BA213" i="20"/>
  <c r="BB213" i="20"/>
  <c r="AY123" i="20"/>
  <c r="AX123" i="20"/>
  <c r="BB123" i="20"/>
  <c r="AZ123" i="20"/>
  <c r="BA123" i="20"/>
  <c r="BB122" i="20"/>
  <c r="AX122" i="20"/>
  <c r="AY121" i="20"/>
  <c r="AX121" i="20"/>
  <c r="BB121" i="20"/>
  <c r="BA121" i="20"/>
  <c r="BB152" i="20"/>
  <c r="BA152" i="20"/>
  <c r="AZ152" i="20"/>
  <c r="AY152" i="20"/>
  <c r="AX152" i="20"/>
  <c r="AX149" i="20"/>
  <c r="BB150" i="20"/>
  <c r="BB149" i="20"/>
  <c r="BA150" i="20"/>
  <c r="BA149" i="20"/>
  <c r="AZ150" i="20"/>
  <c r="AZ149" i="20"/>
  <c r="AY150" i="20"/>
  <c r="AX150" i="20"/>
  <c r="AX151" i="20"/>
  <c r="BB151" i="20"/>
  <c r="BA151" i="20"/>
  <c r="AZ151" i="20"/>
  <c r="BB76" i="20"/>
  <c r="BA76" i="20"/>
  <c r="AZ76" i="20"/>
  <c r="AY76" i="20"/>
  <c r="AX76" i="20"/>
  <c r="BB354" i="20"/>
  <c r="BA354" i="20"/>
  <c r="AZ354" i="20"/>
  <c r="AY354" i="20"/>
  <c r="AX354" i="20"/>
  <c r="BB363" i="20"/>
  <c r="BA363" i="20"/>
  <c r="AZ363" i="20"/>
  <c r="AY363" i="20"/>
  <c r="AX363" i="20"/>
  <c r="BB156" i="20"/>
  <c r="BB212" i="20"/>
  <c r="BA212" i="20"/>
  <c r="AZ212" i="20"/>
  <c r="AY212" i="20"/>
  <c r="AX212" i="20"/>
  <c r="AZ209" i="20"/>
  <c r="BB208" i="20"/>
  <c r="AY209" i="20"/>
  <c r="BA208" i="20"/>
  <c r="AX209" i="20"/>
  <c r="AZ208" i="20"/>
  <c r="BA209" i="20"/>
  <c r="AZ207" i="20"/>
  <c r="AY208" i="20"/>
  <c r="BB209" i="20"/>
  <c r="AY207" i="20"/>
  <c r="AX208" i="20"/>
  <c r="AX207" i="20"/>
  <c r="AZ211" i="20"/>
  <c r="BB211" i="20"/>
  <c r="AZ210" i="20"/>
  <c r="AY210" i="20"/>
  <c r="BB166" i="20"/>
  <c r="BB232" i="20"/>
  <c r="AY122" i="20"/>
  <c r="AX67" i="20"/>
  <c r="BA170" i="20"/>
  <c r="AX197" i="20"/>
  <c r="BA248" i="20"/>
  <c r="AZ114" i="20"/>
  <c r="BA211" i="20"/>
  <c r="BB361" i="20"/>
  <c r="BA361" i="20"/>
  <c r="AZ361" i="20"/>
  <c r="AY361" i="20"/>
  <c r="AX361" i="20"/>
  <c r="AY185" i="20"/>
  <c r="AX185" i="20"/>
  <c r="BB185" i="20"/>
  <c r="BA185" i="20"/>
  <c r="AZ185" i="20"/>
  <c r="BB226" i="20"/>
  <c r="BA226" i="20"/>
  <c r="AZ226" i="20"/>
  <c r="AY226" i="20"/>
  <c r="AX226" i="20"/>
  <c r="BB108" i="20"/>
  <c r="BA108" i="20"/>
  <c r="AZ108" i="20"/>
  <c r="AY108" i="20"/>
  <c r="AX108" i="20"/>
  <c r="BA356" i="20"/>
  <c r="BB356" i="20"/>
  <c r="AZ356" i="20"/>
  <c r="AY356" i="20"/>
  <c r="AX356" i="20"/>
  <c r="BB333" i="20"/>
  <c r="BA333" i="20"/>
  <c r="AZ333" i="20"/>
  <c r="AX333" i="20"/>
  <c r="AY333" i="20"/>
  <c r="BB310" i="20"/>
  <c r="BA306" i="20"/>
  <c r="AY330" i="20"/>
  <c r="AX326" i="20"/>
  <c r="BB321" i="20"/>
  <c r="BA317" i="20"/>
  <c r="AZ313" i="20"/>
  <c r="AX309" i="20"/>
  <c r="AY321" i="20"/>
  <c r="AX303" i="20"/>
  <c r="BB308" i="20"/>
  <c r="AZ332" i="20"/>
  <c r="AY328" i="20"/>
  <c r="AX324" i="20"/>
  <c r="BB319" i="20"/>
  <c r="BA315" i="20"/>
  <c r="AZ311" i="20"/>
  <c r="AX307" i="20"/>
  <c r="AY303" i="20"/>
  <c r="BB306" i="20"/>
  <c r="AZ330" i="20"/>
  <c r="AY326" i="20"/>
  <c r="AX322" i="20"/>
  <c r="BB317" i="20"/>
  <c r="BA313" i="20"/>
  <c r="AZ309" i="20"/>
  <c r="AX305" i="20"/>
  <c r="BA332" i="20"/>
  <c r="AZ328" i="20"/>
  <c r="AY324" i="20"/>
  <c r="AX320" i="20"/>
  <c r="BB315" i="20"/>
  <c r="BA311" i="20"/>
  <c r="AZ307" i="20"/>
  <c r="AY307" i="20"/>
  <c r="BB302" i="20"/>
  <c r="BA330" i="20"/>
  <c r="AZ326" i="20"/>
  <c r="AY322" i="20"/>
  <c r="AX318" i="20"/>
  <c r="BB313" i="20"/>
  <c r="BA309" i="20"/>
  <c r="AZ305" i="20"/>
  <c r="AY327" i="20"/>
  <c r="BB304" i="20"/>
  <c r="BA302" i="20"/>
  <c r="BB332" i="20"/>
  <c r="BA328" i="20"/>
  <c r="AZ324" i="20"/>
  <c r="AY320" i="20"/>
  <c r="AX316" i="20"/>
  <c r="BB311" i="20"/>
  <c r="BA307" i="20"/>
  <c r="AX331" i="20"/>
  <c r="AY313" i="20"/>
  <c r="BA304" i="20"/>
  <c r="AZ302" i="20"/>
  <c r="BB330" i="20"/>
  <c r="BA326" i="20"/>
  <c r="AZ322" i="20"/>
  <c r="AY318" i="20"/>
  <c r="AX314" i="20"/>
  <c r="BB309" i="20"/>
  <c r="BA305" i="20"/>
  <c r="AX329" i="20"/>
  <c r="AY319" i="20"/>
  <c r="AZ304" i="20"/>
  <c r="AY302" i="20"/>
  <c r="BB328" i="20"/>
  <c r="BA324" i="20"/>
  <c r="AZ320" i="20"/>
  <c r="AY316" i="20"/>
  <c r="AX312" i="20"/>
  <c r="BB307" i="20"/>
  <c r="AZ331" i="20"/>
  <c r="AX327" i="20"/>
  <c r="AY325" i="20"/>
  <c r="AX302" i="20"/>
  <c r="BB324" i="20"/>
  <c r="BA320" i="20"/>
  <c r="AZ316" i="20"/>
  <c r="AY312" i="20"/>
  <c r="AX308" i="20"/>
  <c r="BA331" i="20"/>
  <c r="AZ327" i="20"/>
  <c r="AX323" i="20"/>
  <c r="AY305" i="20"/>
  <c r="BB322" i="20"/>
  <c r="BA318" i="20"/>
  <c r="AZ314" i="20"/>
  <c r="AY310" i="20"/>
  <c r="AX306" i="20"/>
  <c r="BA329" i="20"/>
  <c r="AZ325" i="20"/>
  <c r="AX321" i="20"/>
  <c r="AY311" i="20"/>
  <c r="BB320" i="20"/>
  <c r="BA316" i="20"/>
  <c r="AZ312" i="20"/>
  <c r="AY308" i="20"/>
  <c r="BB331" i="20"/>
  <c r="BA327" i="20"/>
  <c r="AZ323" i="20"/>
  <c r="AX319" i="20"/>
  <c r="AY317" i="20"/>
  <c r="BB318" i="20"/>
  <c r="BA314" i="20"/>
  <c r="AZ310" i="20"/>
  <c r="AY306" i="20"/>
  <c r="BB329" i="20"/>
  <c r="BA325" i="20"/>
  <c r="AZ321" i="20"/>
  <c r="AX317" i="20"/>
  <c r="AY323" i="20"/>
  <c r="BB316" i="20"/>
  <c r="BA312" i="20"/>
  <c r="AZ308" i="20"/>
  <c r="AX332" i="20"/>
  <c r="BB327" i="20"/>
  <c r="BA323" i="20"/>
  <c r="AZ319" i="20"/>
  <c r="AX315" i="20"/>
  <c r="AY329" i="20"/>
  <c r="BB303" i="20"/>
  <c r="BB314" i="20"/>
  <c r="BA310" i="20"/>
  <c r="AZ306" i="20"/>
  <c r="AX330" i="20"/>
  <c r="BB325" i="20"/>
  <c r="BA321" i="20"/>
  <c r="AZ317" i="20"/>
  <c r="AX313" i="20"/>
  <c r="AY309" i="20"/>
  <c r="BB365" i="20"/>
  <c r="BA365" i="20"/>
  <c r="AZ365" i="20"/>
  <c r="AY365" i="20"/>
  <c r="AX365" i="20"/>
  <c r="AZ231" i="20"/>
  <c r="AY231" i="20"/>
  <c r="AX231" i="20"/>
  <c r="BA231" i="20"/>
  <c r="BB231" i="20"/>
  <c r="BB230" i="20"/>
  <c r="BB228" i="20"/>
  <c r="BA228" i="20"/>
  <c r="AX230" i="20"/>
  <c r="AZ227" i="20"/>
  <c r="AZ228" i="20"/>
  <c r="AZ229" i="20"/>
  <c r="AY227" i="20"/>
  <c r="AY228" i="20"/>
  <c r="AY229" i="20"/>
  <c r="AX227" i="20"/>
  <c r="AX228" i="20"/>
  <c r="AX229" i="20"/>
  <c r="BA227" i="20"/>
  <c r="BA229" i="20"/>
  <c r="AY281" i="20"/>
  <c r="AX296" i="20"/>
  <c r="AZ122" i="20"/>
  <c r="AY67" i="20"/>
  <c r="BB235" i="20"/>
  <c r="BB170" i="20"/>
  <c r="BA220" i="20"/>
  <c r="BB248" i="20"/>
  <c r="BA114" i="20"/>
  <c r="AY85" i="20"/>
  <c r="AY332" i="20"/>
  <c r="BB73" i="20"/>
  <c r="BA73" i="20"/>
  <c r="AZ73" i="20"/>
  <c r="AY73" i="20"/>
  <c r="AX73" i="20"/>
  <c r="AX72" i="20"/>
  <c r="BB71" i="20"/>
  <c r="BA71" i="20"/>
  <c r="AZ71" i="20"/>
  <c r="AX71" i="20"/>
  <c r="BB72" i="20"/>
  <c r="BA72" i="20"/>
  <c r="AZ72" i="20"/>
  <c r="AX134" i="20"/>
  <c r="AX201" i="20"/>
  <c r="BB229" i="20"/>
  <c r="BB352" i="20"/>
  <c r="BA352" i="20"/>
  <c r="AZ352" i="20"/>
  <c r="AY352" i="20"/>
  <c r="AX352" i="20"/>
  <c r="BB132" i="20"/>
  <c r="BA132" i="20"/>
  <c r="AZ132" i="20"/>
  <c r="AY132" i="20"/>
  <c r="AX132" i="20"/>
  <c r="AX128" i="20"/>
  <c r="AY131" i="20"/>
  <c r="AX131" i="20"/>
  <c r="BB131" i="20"/>
  <c r="AY129" i="20"/>
  <c r="BA131" i="20"/>
  <c r="AY127" i="20"/>
  <c r="AX129" i="20"/>
  <c r="AZ131" i="20"/>
  <c r="BA129" i="20"/>
  <c r="BB127" i="20"/>
  <c r="AZ129" i="20"/>
  <c r="BA127" i="20"/>
  <c r="BB130" i="20"/>
  <c r="BA130" i="20"/>
  <c r="BB128" i="20"/>
  <c r="BA128" i="20"/>
  <c r="AY130" i="20"/>
  <c r="AZ128" i="20"/>
  <c r="AX130" i="20"/>
  <c r="BB290" i="20"/>
  <c r="BA290" i="20"/>
  <c r="AZ290" i="20"/>
  <c r="AY290" i="20"/>
  <c r="AX290" i="20"/>
  <c r="AY289" i="20"/>
  <c r="BB285" i="20"/>
  <c r="BA285" i="20"/>
  <c r="BB287" i="20"/>
  <c r="AZ285" i="20"/>
  <c r="AX285" i="20"/>
  <c r="AY285" i="20"/>
  <c r="AX287" i="20"/>
  <c r="AY287" i="20"/>
  <c r="BB288" i="20"/>
  <c r="BB286" i="20"/>
  <c r="BA288" i="20"/>
  <c r="BA286" i="20"/>
  <c r="BB289" i="20"/>
  <c r="AZ288" i="20"/>
  <c r="AZ286" i="20"/>
  <c r="BA289" i="20"/>
  <c r="AY288" i="20"/>
  <c r="AY286" i="20"/>
  <c r="AZ289" i="20"/>
  <c r="AX288" i="20"/>
  <c r="BA122" i="20"/>
  <c r="AZ203" i="20"/>
  <c r="AY235" i="20"/>
  <c r="BA66" i="20"/>
  <c r="BB220" i="20"/>
  <c r="BA241" i="20"/>
  <c r="AY202" i="20"/>
  <c r="AZ318" i="20"/>
  <c r="BA366" i="20"/>
  <c r="BB366" i="20"/>
  <c r="AZ366" i="20"/>
  <c r="AY366" i="20"/>
  <c r="AX366" i="20"/>
  <c r="AZ174" i="20"/>
  <c r="AX295" i="20"/>
  <c r="AY189" i="20"/>
  <c r="AX61" i="20"/>
  <c r="BA156" i="20"/>
  <c r="BB250" i="20"/>
  <c r="BA250" i="20"/>
  <c r="AZ250" i="20"/>
  <c r="AY250" i="20"/>
  <c r="AX250" i="20"/>
  <c r="AY247" i="20"/>
  <c r="BB244" i="20"/>
  <c r="AX247" i="20"/>
  <c r="BA244" i="20"/>
  <c r="BA247" i="20"/>
  <c r="AZ244" i="20"/>
  <c r="BB247" i="20"/>
  <c r="AY244" i="20"/>
  <c r="AZ249" i="20"/>
  <c r="AX244" i="20"/>
  <c r="AY249" i="20"/>
  <c r="AX249" i="20"/>
  <c r="BA249" i="20"/>
  <c r="AZ248" i="20"/>
  <c r="AY248" i="20"/>
  <c r="AX248" i="20"/>
  <c r="AX232" i="20"/>
  <c r="AX238" i="20"/>
  <c r="AY242" i="20"/>
  <c r="BA358" i="20"/>
  <c r="BB358" i="20"/>
  <c r="AZ358" i="20"/>
  <c r="AY358" i="20"/>
  <c r="AX358" i="20"/>
  <c r="BB367" i="20"/>
  <c r="BA367" i="20"/>
  <c r="AZ367" i="20"/>
  <c r="AY367" i="20"/>
  <c r="AX367" i="20"/>
  <c r="BB301" i="20"/>
  <c r="BA301" i="20"/>
  <c r="AZ301" i="20"/>
  <c r="AX301" i="20"/>
  <c r="AY301" i="20"/>
  <c r="AY300" i="20"/>
  <c r="AZ298" i="20"/>
  <c r="AX300" i="20"/>
  <c r="AY298" i="20"/>
  <c r="AX298" i="20"/>
  <c r="BB299" i="20"/>
  <c r="BA299" i="20"/>
  <c r="AZ299" i="20"/>
  <c r="AX299" i="20"/>
  <c r="AY299" i="20"/>
  <c r="BB300" i="20"/>
  <c r="BA300" i="20"/>
  <c r="BB298" i="20"/>
  <c r="BB84" i="20"/>
  <c r="BA84" i="20"/>
  <c r="AZ84" i="20"/>
  <c r="AY84" i="20"/>
  <c r="AX84" i="20"/>
  <c r="BA81" i="20"/>
  <c r="AZ81" i="20"/>
  <c r="AY81" i="20"/>
  <c r="AX81" i="20"/>
  <c r="BA79" i="20"/>
  <c r="BB82" i="20"/>
  <c r="AY82" i="20"/>
  <c r="AX82" i="20"/>
  <c r="AY83" i="20"/>
  <c r="AX83" i="20"/>
  <c r="BB83" i="20"/>
  <c r="BA83" i="20"/>
  <c r="BA360" i="20"/>
  <c r="AZ360" i="20"/>
  <c r="AY360" i="20"/>
  <c r="AX360" i="20"/>
  <c r="BB360" i="20"/>
  <c r="AY337" i="20"/>
  <c r="AX337" i="20"/>
  <c r="BB337" i="20"/>
  <c r="AZ337" i="20"/>
  <c r="BA337" i="20"/>
  <c r="BB336" i="20"/>
  <c r="BA336" i="20"/>
  <c r="BB369" i="20"/>
  <c r="BA369" i="20"/>
  <c r="AZ369" i="20"/>
  <c r="AY369" i="20"/>
  <c r="AX369" i="20"/>
  <c r="BB216" i="20"/>
  <c r="BA216" i="20"/>
  <c r="AZ216" i="20"/>
  <c r="AY216" i="20"/>
  <c r="AX216" i="20"/>
  <c r="AY125" i="20"/>
  <c r="AX125" i="20"/>
  <c r="BB125" i="20"/>
  <c r="BA125" i="20"/>
  <c r="AZ125" i="20"/>
  <c r="BA281" i="20"/>
  <c r="AZ303" i="20"/>
  <c r="BA157" i="20"/>
  <c r="AZ130" i="20"/>
  <c r="AY194" i="20"/>
  <c r="BB66" i="20"/>
  <c r="AX141" i="20"/>
  <c r="BB227" i="20"/>
  <c r="BA308" i="20"/>
  <c r="AZ240" i="20"/>
  <c r="BB70" i="20"/>
  <c r="BA70" i="20"/>
  <c r="AZ70" i="20"/>
  <c r="AY70" i="20"/>
  <c r="AX70" i="20"/>
  <c r="AZ69" i="20"/>
  <c r="AY69" i="20"/>
  <c r="AX69" i="20"/>
  <c r="BB69" i="20"/>
  <c r="BB124" i="20"/>
  <c r="BA124" i="20"/>
  <c r="AZ124" i="20"/>
  <c r="AY124" i="20"/>
  <c r="AX124" i="20"/>
  <c r="AX335" i="20"/>
  <c r="BB335" i="20"/>
  <c r="BA335" i="20"/>
  <c r="AY335" i="20"/>
  <c r="AZ335" i="20"/>
  <c r="BB334" i="20"/>
  <c r="BA334" i="20"/>
  <c r="AZ334" i="20"/>
  <c r="AY334" i="20"/>
  <c r="AX334" i="20"/>
  <c r="AX281" i="20"/>
  <c r="AY113" i="20"/>
  <c r="AX113" i="20"/>
  <c r="BA113" i="20"/>
  <c r="AZ113" i="20"/>
  <c r="BB113" i="20"/>
  <c r="BB112" i="20"/>
  <c r="BA112" i="20"/>
  <c r="AX111" i="20"/>
  <c r="AZ111" i="20"/>
  <c r="BA111" i="20"/>
  <c r="AY75" i="20"/>
  <c r="BB75" i="20"/>
  <c r="BA75" i="20"/>
  <c r="AZ75" i="20"/>
  <c r="AX75" i="20"/>
  <c r="BB126" i="20"/>
  <c r="BA126" i="20"/>
  <c r="AZ126" i="20"/>
  <c r="AY126" i="20"/>
  <c r="AX126" i="20"/>
  <c r="BB100" i="20"/>
  <c r="BA100" i="20"/>
  <c r="AZ100" i="20"/>
  <c r="AY100" i="20"/>
  <c r="AX100" i="20"/>
  <c r="BA362" i="20"/>
  <c r="BB362" i="20"/>
  <c r="AZ362" i="20"/>
  <c r="AY362" i="20"/>
  <c r="AX362" i="20"/>
  <c r="AZ339" i="20"/>
  <c r="AY339" i="20"/>
  <c r="AX339" i="20"/>
  <c r="BA339" i="20"/>
  <c r="BB339" i="20"/>
  <c r="AX338" i="20"/>
  <c r="BB338" i="20"/>
  <c r="BA338" i="20"/>
  <c r="AZ338" i="20"/>
  <c r="BB371" i="20"/>
  <c r="BA371" i="20"/>
  <c r="AZ371" i="20"/>
  <c r="AY371" i="20"/>
  <c r="AX371" i="20"/>
  <c r="BB136" i="20"/>
  <c r="BA136" i="20"/>
  <c r="AZ136" i="20"/>
  <c r="AY136" i="20"/>
  <c r="AX136" i="20"/>
  <c r="AY135" i="20"/>
  <c r="AX135" i="20"/>
  <c r="AZ135" i="20"/>
  <c r="BA134" i="20"/>
  <c r="AY134" i="20"/>
  <c r="AY147" i="20"/>
  <c r="AX147" i="20"/>
  <c r="BB147" i="20"/>
  <c r="BA147" i="20"/>
  <c r="AZ147" i="20"/>
  <c r="AX146" i="20"/>
  <c r="BB146" i="20"/>
  <c r="BA146" i="20"/>
  <c r="AZ146" i="20"/>
  <c r="BB79" i="20"/>
  <c r="AX294" i="20"/>
  <c r="BA303" i="20"/>
  <c r="BB198" i="20"/>
  <c r="BA198" i="20"/>
  <c r="AZ198" i="20"/>
  <c r="AY198" i="20"/>
  <c r="AX198" i="20"/>
  <c r="AY196" i="20"/>
  <c r="AX196" i="20"/>
  <c r="AY193" i="20"/>
  <c r="AX193" i="20"/>
  <c r="AY197" i="20"/>
  <c r="BB194" i="20"/>
  <c r="BB197" i="20"/>
  <c r="BB192" i="20"/>
  <c r="AX195" i="20"/>
  <c r="AZ197" i="20"/>
  <c r="BA192" i="20"/>
  <c r="BA195" i="20"/>
  <c r="AX194" i="20"/>
  <c r="AZ192" i="20"/>
  <c r="BB195" i="20"/>
  <c r="AY192" i="20"/>
  <c r="AZ195" i="20"/>
  <c r="AX192" i="20"/>
  <c r="BB196" i="20"/>
  <c r="BA196" i="20"/>
  <c r="AY157" i="20"/>
  <c r="AX336" i="20"/>
  <c r="AZ194" i="20"/>
  <c r="AY344" i="20"/>
  <c r="BB207" i="20"/>
  <c r="AZ121" i="20"/>
  <c r="AY141" i="20"/>
  <c r="AZ218" i="20"/>
  <c r="BA322" i="20"/>
  <c r="BB236" i="20"/>
  <c r="AY93" i="20"/>
  <c r="AX93" i="20"/>
  <c r="BB93" i="20"/>
  <c r="BA93" i="20"/>
  <c r="AZ93" i="20"/>
  <c r="BA235" i="20"/>
  <c r="AZ175" i="20"/>
  <c r="AX144" i="20"/>
  <c r="AZ214" i="20"/>
  <c r="AX189" i="20"/>
  <c r="AX241" i="20"/>
  <c r="AX183" i="20"/>
  <c r="BA240" i="20"/>
  <c r="BB178" i="20"/>
  <c r="BB190" i="20"/>
  <c r="AX159" i="20"/>
  <c r="AY95" i="20"/>
  <c r="AX95" i="20"/>
  <c r="AZ95" i="20"/>
  <c r="BB95" i="20"/>
  <c r="BA95" i="20"/>
  <c r="BB80" i="20"/>
  <c r="BA80" i="20"/>
  <c r="AZ80" i="20"/>
  <c r="AY80" i="20"/>
  <c r="AX80" i="20"/>
  <c r="AX157" i="20"/>
  <c r="AZ242" i="20"/>
  <c r="AX235" i="20"/>
  <c r="BA175" i="20"/>
  <c r="AY144" i="20"/>
  <c r="BA214" i="20"/>
  <c r="AY241" i="20"/>
  <c r="AY183" i="20"/>
  <c r="BB240" i="20"/>
  <c r="BB175" i="20"/>
  <c r="AZ144" i="20"/>
  <c r="AZ241" i="20"/>
  <c r="AX236" i="20"/>
  <c r="AY143" i="20"/>
  <c r="AX143" i="20"/>
  <c r="BB143" i="20"/>
  <c r="BA143" i="20"/>
  <c r="AZ143" i="20"/>
  <c r="BB242" i="20"/>
  <c r="AZ235" i="20"/>
  <c r="AY238" i="20"/>
  <c r="AX175" i="20"/>
  <c r="BA144" i="20"/>
  <c r="AX220" i="20"/>
  <c r="AY236" i="20"/>
  <c r="BB148" i="20"/>
  <c r="BA148" i="20"/>
  <c r="AZ148" i="20"/>
  <c r="AY148" i="20"/>
  <c r="AX148" i="20"/>
  <c r="AZ238" i="20"/>
  <c r="AY175" i="20"/>
  <c r="AY220" i="20"/>
  <c r="BB239" i="20"/>
  <c r="AZ236" i="20"/>
  <c r="BB223" i="20"/>
  <c r="AZ220" i="20"/>
  <c r="BA239" i="20"/>
  <c r="BA236" i="20"/>
  <c r="BB184" i="20"/>
  <c r="BA184" i="20"/>
  <c r="AZ184" i="20"/>
  <c r="AY184" i="20"/>
  <c r="AX184" i="20"/>
  <c r="BA179" i="20"/>
  <c r="BB243" i="20"/>
  <c r="BB237" i="20"/>
  <c r="AY223" i="20"/>
  <c r="AZ234" i="20"/>
  <c r="AZ239" i="20"/>
  <c r="BA221" i="20"/>
  <c r="AY191" i="20"/>
  <c r="AX191" i="20"/>
  <c r="AZ191" i="20"/>
  <c r="BB191" i="20"/>
  <c r="BA191" i="20"/>
  <c r="AY133" i="20"/>
  <c r="AX133" i="20"/>
  <c r="BB133" i="20"/>
  <c r="BA133" i="20"/>
  <c r="AZ133" i="20"/>
  <c r="BB179" i="20"/>
  <c r="AX158" i="20"/>
  <c r="BA243" i="20"/>
  <c r="BA237" i="20"/>
  <c r="AZ223" i="20"/>
  <c r="BA234" i="20"/>
  <c r="BB177" i="20"/>
  <c r="AX176" i="20"/>
  <c r="AX221" i="20"/>
  <c r="BB246" i="20"/>
  <c r="BA246" i="20"/>
  <c r="AZ246" i="20"/>
  <c r="AY246" i="20"/>
  <c r="AX246" i="20"/>
  <c r="BB182" i="20"/>
  <c r="BA182" i="20"/>
  <c r="AZ182" i="20"/>
  <c r="AY182" i="20"/>
  <c r="AX182" i="20"/>
  <c r="AX179" i="20"/>
  <c r="AY158" i="20"/>
  <c r="AX243" i="20"/>
  <c r="AX237" i="20"/>
  <c r="AX222" i="20"/>
  <c r="BA155" i="20"/>
  <c r="AE9" i="7"/>
  <c r="BB234" i="20"/>
  <c r="AZ177" i="20"/>
  <c r="AY176" i="20"/>
  <c r="BA181" i="20"/>
  <c r="AY221" i="20"/>
  <c r="BA245" i="20"/>
  <c r="Q9" i="7"/>
  <c r="T8" i="7"/>
  <c r="AX224" i="20"/>
  <c r="BB140" i="20"/>
  <c r="BA140" i="20"/>
  <c r="AZ140" i="20"/>
  <c r="AY140" i="20"/>
  <c r="AX140" i="20"/>
  <c r="AY145" i="20"/>
  <c r="AX145" i="20"/>
  <c r="BA145" i="20"/>
  <c r="AZ145" i="20"/>
  <c r="BB145" i="20"/>
  <c r="AZ233" i="20"/>
  <c r="AY233" i="20"/>
  <c r="AX233" i="20"/>
  <c r="BA233" i="20"/>
  <c r="BB233" i="20"/>
  <c r="AY179" i="20"/>
  <c r="AZ158" i="20"/>
  <c r="AY243" i="20"/>
  <c r="AY237" i="20"/>
  <c r="AY222" i="20"/>
  <c r="AX180" i="20"/>
  <c r="BA177" i="20"/>
  <c r="AZ176" i="20"/>
  <c r="BB181" i="20"/>
  <c r="AZ221" i="20"/>
  <c r="AX245" i="20"/>
  <c r="AY224" i="20"/>
  <c r="BB160" i="20"/>
  <c r="BA160" i="20"/>
  <c r="AZ160" i="20"/>
  <c r="AY160" i="20"/>
  <c r="AX160" i="20"/>
  <c r="AZ215" i="20"/>
  <c r="AY215" i="20"/>
  <c r="AX215" i="20"/>
  <c r="BA215" i="20"/>
  <c r="BB215" i="20"/>
  <c r="BA158" i="20"/>
  <c r="AZ243" i="20"/>
  <c r="AZ237" i="20"/>
  <c r="AZ222" i="20"/>
  <c r="AY180" i="20"/>
  <c r="AZ155" i="20"/>
  <c r="AX177" i="20"/>
  <c r="BA176" i="20"/>
  <c r="AX181" i="20"/>
  <c r="AY245" i="20"/>
  <c r="AZ224" i="20"/>
  <c r="AX178" i="20"/>
  <c r="AX190" i="20"/>
  <c r="AZ205" i="20"/>
  <c r="AY205" i="20"/>
  <c r="AX205" i="20"/>
  <c r="BA205" i="20"/>
  <c r="BB205" i="20"/>
  <c r="BB206" i="20"/>
  <c r="BA206" i="20"/>
  <c r="AZ206" i="20"/>
  <c r="AY206" i="20"/>
  <c r="AX206" i="20"/>
  <c r="BB158" i="20"/>
  <c r="BA222" i="20"/>
  <c r="AZ180" i="20"/>
  <c r="AX155" i="20"/>
  <c r="AY177" i="20"/>
  <c r="BB176" i="20"/>
  <c r="AY181" i="20"/>
  <c r="AZ189" i="20"/>
  <c r="AZ245" i="20"/>
  <c r="AZ183" i="20"/>
  <c r="AX240" i="20"/>
  <c r="AY178" i="20"/>
  <c r="AY190" i="20"/>
  <c r="AZ225" i="20"/>
  <c r="AY225" i="20"/>
  <c r="AX225" i="20"/>
  <c r="BA225" i="20"/>
  <c r="BB225" i="20"/>
  <c r="AZ157" i="20"/>
  <c r="BB222" i="20"/>
  <c r="BA180" i="20"/>
  <c r="AY155" i="20"/>
  <c r="AX214" i="20"/>
  <c r="BA189" i="20"/>
  <c r="BB241" i="20"/>
  <c r="BA183" i="20"/>
  <c r="BB224" i="20"/>
  <c r="AY240" i="20"/>
  <c r="AZ178" i="20"/>
  <c r="AZ190" i="20"/>
  <c r="AI8" i="7" l="1"/>
  <c r="AE10" i="7"/>
  <c r="AI9" i="7"/>
  <c r="T9" i="7"/>
  <c r="Q10" i="7"/>
  <c r="AE11" i="7" l="1"/>
  <c r="AI10" i="7"/>
  <c r="T10" i="7"/>
  <c r="Q11" i="7"/>
  <c r="T11" i="7" l="1"/>
  <c r="Q12" i="7"/>
  <c r="AI11" i="7"/>
  <c r="AE12" i="7"/>
  <c r="AI12" i="7" l="1"/>
  <c r="AE13" i="7"/>
  <c r="T12" i="7"/>
  <c r="Q13" i="7"/>
  <c r="AI13" i="7" l="1"/>
  <c r="AE14" i="7"/>
  <c r="T13" i="7"/>
  <c r="Q14" i="7"/>
  <c r="Q15" i="7" l="1"/>
  <c r="T14" i="7"/>
  <c r="AI14" i="7"/>
  <c r="AE15" i="7"/>
  <c r="Q16" i="7" l="1"/>
  <c r="T15" i="7"/>
  <c r="AI15" i="7"/>
  <c r="AE16" i="7"/>
  <c r="AI16" i="7" l="1"/>
  <c r="AE17" i="7"/>
  <c r="Q17" i="7"/>
  <c r="T16" i="7"/>
  <c r="T17" i="7" l="1"/>
  <c r="Q18" i="7"/>
  <c r="AE18" i="7"/>
  <c r="AI17" i="7"/>
  <c r="AE19" i="7" l="1"/>
  <c r="AI18" i="7"/>
  <c r="T18" i="7"/>
  <c r="Q19" i="7"/>
  <c r="T19" i="7" l="1"/>
  <c r="Q20" i="7"/>
  <c r="AI19" i="7"/>
  <c r="AE20" i="7"/>
  <c r="AI20" i="7" l="1"/>
  <c r="AE21" i="7"/>
  <c r="T20" i="7"/>
  <c r="Q21" i="7"/>
  <c r="T21" i="7" l="1"/>
  <c r="Q22" i="7"/>
  <c r="AI21" i="7"/>
  <c r="AE22" i="7"/>
  <c r="AI22" i="7" l="1"/>
  <c r="AE23" i="7"/>
  <c r="Q23" i="7"/>
  <c r="T22" i="7"/>
  <c r="Q24" i="7" l="1"/>
  <c r="T23" i="7"/>
  <c r="AI23" i="7"/>
  <c r="AE24" i="7"/>
  <c r="AI24" i="7" l="1"/>
  <c r="AE25" i="7"/>
  <c r="Q25" i="7"/>
  <c r="T24" i="7"/>
  <c r="T25" i="7" l="1"/>
  <c r="Q26" i="7"/>
  <c r="AE26" i="7"/>
  <c r="AI25" i="7"/>
  <c r="AE27" i="7" l="1"/>
  <c r="AI26" i="7"/>
  <c r="T26" i="7"/>
  <c r="Q27" i="7"/>
  <c r="T27" i="7" l="1"/>
  <c r="Q28" i="7"/>
  <c r="AI27" i="7"/>
  <c r="AE28" i="7"/>
  <c r="AI28" i="7" l="1"/>
  <c r="AE29" i="7"/>
  <c r="T28" i="7"/>
  <c r="Q29" i="7"/>
  <c r="T29" i="7" l="1"/>
  <c r="Q30" i="7"/>
  <c r="AI29" i="7"/>
  <c r="AE30" i="7"/>
  <c r="AI30" i="7" l="1"/>
  <c r="AE31" i="7"/>
  <c r="Q31" i="7"/>
  <c r="T30" i="7"/>
  <c r="Q32" i="7" l="1"/>
  <c r="T31" i="7"/>
  <c r="AI31" i="7"/>
  <c r="AE32" i="7"/>
  <c r="AI32" i="7" l="1"/>
  <c r="AE33" i="7"/>
  <c r="Q33" i="7"/>
  <c r="T32" i="7"/>
  <c r="T33" i="7" l="1"/>
  <c r="Q34" i="7"/>
  <c r="AE34" i="7"/>
  <c r="AI33" i="7"/>
  <c r="AE35" i="7" l="1"/>
  <c r="AI34" i="7"/>
  <c r="T34" i="7"/>
  <c r="Q35" i="7"/>
  <c r="T35" i="7" l="1"/>
  <c r="Q36" i="7"/>
  <c r="AI35" i="7"/>
  <c r="AE36" i="7"/>
  <c r="AI36" i="7" l="1"/>
  <c r="AE37" i="7"/>
  <c r="T36" i="7"/>
  <c r="Q37" i="7"/>
  <c r="T37" i="7" l="1"/>
  <c r="Q38" i="7"/>
  <c r="AI37" i="7"/>
  <c r="AE38" i="7"/>
  <c r="AI38" i="7" l="1"/>
  <c r="AE39" i="7"/>
  <c r="T38" i="7"/>
  <c r="Q39" i="7"/>
  <c r="AI39" i="7" l="1"/>
  <c r="AE40" i="7"/>
  <c r="Q40" i="7"/>
  <c r="T39" i="7"/>
  <c r="Q41" i="7" l="1"/>
  <c r="T40" i="7"/>
  <c r="AI40" i="7"/>
  <c r="AE41" i="7"/>
  <c r="AE42" i="7" l="1"/>
  <c r="AI41" i="7"/>
  <c r="T41" i="7"/>
  <c r="Q42" i="7"/>
  <c r="T42" i="7" l="1"/>
  <c r="Q43" i="7"/>
  <c r="AE43" i="7"/>
  <c r="AI42" i="7"/>
  <c r="T43" i="7" l="1"/>
  <c r="Q44" i="7"/>
  <c r="AI43" i="7"/>
  <c r="AE44" i="7"/>
  <c r="AI44" i="7" l="1"/>
  <c r="AE45" i="7"/>
  <c r="T44" i="7"/>
  <c r="Q45" i="7"/>
  <c r="T45" i="7" l="1"/>
  <c r="Q46" i="7"/>
  <c r="AI45" i="7"/>
  <c r="AE46" i="7"/>
  <c r="AI46" i="7" l="1"/>
  <c r="AE47" i="7"/>
  <c r="T46" i="7"/>
  <c r="Q47" i="7"/>
  <c r="AI47" i="7" l="1"/>
  <c r="AE48" i="7"/>
  <c r="Q48" i="7"/>
  <c r="T47" i="7"/>
  <c r="Q49" i="7" l="1"/>
  <c r="T48" i="7"/>
  <c r="AI48" i="7"/>
  <c r="AE49" i="7"/>
  <c r="AE50" i="7" l="1"/>
  <c r="AI49" i="7"/>
  <c r="T49" i="7"/>
  <c r="Q50" i="7"/>
  <c r="T50" i="7" l="1"/>
  <c r="Q51" i="7"/>
  <c r="AE51" i="7"/>
  <c r="AI50" i="7"/>
  <c r="AI51" i="7" l="1"/>
  <c r="AE52" i="7"/>
  <c r="T51" i="7"/>
  <c r="Q52" i="7"/>
  <c r="T52" i="7" l="1"/>
  <c r="Q53" i="7"/>
  <c r="AI52" i="7"/>
  <c r="AE53" i="7"/>
  <c r="AI53" i="7" l="1"/>
  <c r="AE54" i="7"/>
  <c r="T53" i="7"/>
  <c r="Q54" i="7"/>
  <c r="T54" i="7" l="1"/>
  <c r="Q55" i="7"/>
  <c r="AI54" i="7"/>
  <c r="AE55" i="7"/>
  <c r="AI55" i="7" l="1"/>
  <c r="AE56" i="7"/>
  <c r="Q56" i="7"/>
  <c r="T55" i="7"/>
  <c r="Q57" i="7" l="1"/>
  <c r="T56" i="7"/>
  <c r="AI56" i="7"/>
  <c r="AE57" i="7"/>
  <c r="AE58" i="7" l="1"/>
  <c r="AI57" i="7"/>
  <c r="T57" i="7"/>
  <c r="Q58" i="7"/>
  <c r="AJ58" i="7" l="1"/>
  <c r="AL58" i="7"/>
  <c r="AN58" i="7"/>
  <c r="AK58" i="7"/>
  <c r="AM58" i="7"/>
  <c r="Q59" i="7"/>
  <c r="T58" i="7"/>
  <c r="AI58" i="7"/>
  <c r="AE59" i="7"/>
  <c r="AN59" i="7" l="1"/>
  <c r="AK59" i="7"/>
  <c r="AL59" i="7"/>
  <c r="AM59" i="7"/>
  <c r="AJ59" i="7"/>
  <c r="AE60" i="7"/>
  <c r="AI59" i="7"/>
  <c r="T59" i="7"/>
  <c r="Q60" i="7"/>
  <c r="AM60" i="7" l="1"/>
  <c r="AJ60" i="7"/>
  <c r="AK60" i="7"/>
  <c r="AN60" i="7"/>
  <c r="AL60" i="7"/>
  <c r="Q61" i="7"/>
  <c r="T60" i="7"/>
  <c r="AE61" i="7"/>
  <c r="AI60" i="7"/>
  <c r="AJ61" i="7" l="1"/>
  <c r="AK61" i="7"/>
  <c r="AN61" i="7"/>
  <c r="AM61" i="7"/>
  <c r="AL61" i="7"/>
  <c r="AE62" i="7"/>
  <c r="AI61" i="7"/>
  <c r="T61" i="7"/>
  <c r="Q62" i="7"/>
  <c r="AJ62" i="7" l="1"/>
  <c r="AL62" i="7"/>
  <c r="AM62" i="7"/>
  <c r="AK62" i="7"/>
  <c r="AN62" i="7"/>
  <c r="Q63" i="7"/>
  <c r="T62" i="7"/>
  <c r="AE63" i="7"/>
  <c r="AI62" i="7"/>
  <c r="AK63" i="7" l="1"/>
  <c r="AL63" i="7"/>
  <c r="AM63" i="7"/>
  <c r="AN63" i="7"/>
  <c r="AJ63" i="7"/>
  <c r="AE64" i="7"/>
  <c r="AI63" i="7"/>
  <c r="Q64" i="7"/>
  <c r="T63" i="7"/>
  <c r="AL64" i="7" l="1"/>
  <c r="AN64" i="7"/>
  <c r="AM64" i="7"/>
  <c r="AJ64" i="7"/>
  <c r="AK64" i="7"/>
  <c r="Q65" i="7"/>
  <c r="T64" i="7"/>
  <c r="AE65" i="7"/>
  <c r="AI64" i="7"/>
  <c r="AK65" i="7" l="1"/>
  <c r="AN65" i="7"/>
  <c r="AL65" i="7"/>
  <c r="AJ65" i="7"/>
  <c r="AM65" i="7"/>
  <c r="AI65" i="7"/>
  <c r="AE66" i="7"/>
  <c r="T65" i="7"/>
  <c r="Q66" i="7"/>
  <c r="AJ66" i="7" l="1"/>
  <c r="AM66" i="7"/>
  <c r="AN66" i="7"/>
  <c r="AK66" i="7"/>
  <c r="AL66" i="7"/>
  <c r="Q67" i="7"/>
  <c r="T66" i="7"/>
  <c r="AE67" i="7"/>
  <c r="AI66" i="7"/>
  <c r="AL67" i="7" l="1"/>
  <c r="AM67" i="7"/>
  <c r="AN67" i="7"/>
  <c r="AK67" i="7"/>
  <c r="AJ67" i="7"/>
  <c r="AE68" i="7"/>
  <c r="AI67" i="7"/>
  <c r="Q68" i="7"/>
  <c r="T67" i="7"/>
  <c r="AK68" i="7" l="1"/>
  <c r="AL68" i="7"/>
  <c r="AJ68" i="7"/>
  <c r="AM68" i="7"/>
  <c r="AN68" i="7"/>
  <c r="Q69" i="7"/>
  <c r="T68" i="7"/>
  <c r="AE69" i="7"/>
  <c r="AI68" i="7"/>
  <c r="AK69" i="7" l="1"/>
  <c r="AN69" i="7"/>
  <c r="AL69" i="7"/>
  <c r="AM69" i="7"/>
  <c r="AJ69" i="7"/>
  <c r="Q70" i="7"/>
  <c r="T69" i="7"/>
  <c r="AI69" i="7"/>
  <c r="AE70" i="7"/>
  <c r="AJ70" i="7" l="1"/>
  <c r="AL70" i="7"/>
  <c r="AN70" i="7"/>
  <c r="AM70" i="7"/>
  <c r="AK70" i="7"/>
  <c r="AE71" i="7"/>
  <c r="AI70" i="7"/>
  <c r="Q71" i="7"/>
  <c r="T70" i="7"/>
  <c r="AK71" i="7" l="1"/>
  <c r="AM71" i="7"/>
  <c r="AN71" i="7"/>
  <c r="AL71" i="7"/>
  <c r="AJ71" i="7"/>
  <c r="Q72" i="7"/>
  <c r="T71" i="7"/>
  <c r="AE72" i="7"/>
  <c r="AI71" i="7"/>
  <c r="AM72" i="7" l="1"/>
  <c r="AK72" i="7"/>
  <c r="AJ72" i="7"/>
  <c r="AN72" i="7"/>
  <c r="AL72" i="7"/>
  <c r="AE73" i="7"/>
  <c r="AI72" i="7"/>
  <c r="Q73" i="7"/>
  <c r="T72" i="7"/>
  <c r="AL73" i="7" l="1"/>
  <c r="AM73" i="7"/>
  <c r="AN73" i="7"/>
  <c r="AJ73" i="7"/>
  <c r="AK73" i="7"/>
  <c r="Q74" i="7"/>
  <c r="T73" i="7"/>
  <c r="AE74" i="7"/>
  <c r="AI73" i="7"/>
  <c r="AL74" i="7" l="1"/>
  <c r="AN74" i="7"/>
  <c r="AK74" i="7"/>
  <c r="AJ74" i="7"/>
  <c r="AM74" i="7"/>
  <c r="AI74" i="7"/>
  <c r="AE75" i="7"/>
  <c r="Q75" i="7"/>
  <c r="T74" i="7"/>
  <c r="AL75" i="7" l="1"/>
  <c r="AN75" i="7"/>
  <c r="AM75" i="7"/>
  <c r="AJ75" i="7"/>
  <c r="AK75" i="7"/>
  <c r="T75" i="7"/>
  <c r="Q76" i="7"/>
  <c r="AE76" i="7"/>
  <c r="AI75" i="7"/>
  <c r="AK76" i="7" l="1"/>
  <c r="AJ76" i="7"/>
  <c r="AM76" i="7"/>
  <c r="AN76" i="7"/>
  <c r="AL76" i="7"/>
  <c r="AE77" i="7"/>
  <c r="AI76" i="7"/>
  <c r="Q77" i="7"/>
  <c r="T76" i="7"/>
  <c r="AL77" i="7" l="1"/>
  <c r="AJ77" i="7"/>
  <c r="AM77" i="7"/>
  <c r="AK77" i="7"/>
  <c r="AN77" i="7"/>
  <c r="T77" i="7"/>
  <c r="Q78" i="7"/>
  <c r="AE78" i="7"/>
  <c r="AI77" i="7"/>
  <c r="AJ78" i="7" l="1"/>
  <c r="AK78" i="7"/>
  <c r="AM78" i="7"/>
  <c r="AL78" i="7"/>
  <c r="AN78" i="7"/>
  <c r="AE79" i="7"/>
  <c r="AI78" i="7"/>
  <c r="Q79" i="7"/>
  <c r="T78" i="7"/>
  <c r="AM79" i="7" l="1"/>
  <c r="AK79" i="7"/>
  <c r="AN79" i="7"/>
  <c r="AJ79" i="7"/>
  <c r="AL79" i="7"/>
  <c r="Q80" i="7"/>
  <c r="T79" i="7"/>
  <c r="AI79" i="7"/>
  <c r="AE80" i="7"/>
  <c r="AJ80" i="7" l="1"/>
  <c r="AL80" i="7"/>
  <c r="AN80" i="7"/>
  <c r="AM80" i="7"/>
  <c r="AK80" i="7"/>
  <c r="AE81" i="7"/>
  <c r="AI80" i="7"/>
  <c r="Q81" i="7"/>
  <c r="T80" i="7"/>
  <c r="AL81" i="7" l="1"/>
  <c r="AM81" i="7"/>
  <c r="AK81" i="7"/>
  <c r="AJ81" i="7"/>
  <c r="AN81" i="7"/>
  <c r="T81" i="7"/>
  <c r="Q82" i="7"/>
  <c r="AI81" i="7"/>
  <c r="AE82" i="7"/>
  <c r="AM82" i="7" l="1"/>
  <c r="AJ82" i="7"/>
  <c r="AL82" i="7"/>
  <c r="AK82" i="7"/>
  <c r="AN82" i="7"/>
  <c r="AE83" i="7"/>
  <c r="AI82" i="7"/>
  <c r="Q83" i="7"/>
  <c r="T82" i="7"/>
  <c r="AJ83" i="7" l="1"/>
  <c r="AL83" i="7"/>
  <c r="AK83" i="7"/>
  <c r="AN83" i="7"/>
  <c r="AM83" i="7"/>
  <c r="Q84" i="7"/>
  <c r="T83" i="7"/>
  <c r="AE84" i="7"/>
  <c r="AI83" i="7"/>
  <c r="AK84" i="7" l="1"/>
  <c r="AM84" i="7"/>
  <c r="AJ84" i="7"/>
  <c r="AL84" i="7"/>
  <c r="AN84" i="7"/>
  <c r="AE85" i="7"/>
  <c r="AI84" i="7"/>
  <c r="Q85" i="7"/>
  <c r="T84" i="7"/>
  <c r="AN85" i="7" l="1"/>
  <c r="AL85" i="7"/>
  <c r="AM85" i="7"/>
  <c r="AK85" i="7"/>
  <c r="AJ85" i="7"/>
  <c r="Q86" i="7"/>
  <c r="T85" i="7"/>
  <c r="AE86" i="7"/>
  <c r="AI85" i="7"/>
  <c r="AK86" i="7" l="1"/>
  <c r="AM86" i="7"/>
  <c r="AL86" i="7"/>
  <c r="AN86" i="7"/>
  <c r="AJ86" i="7"/>
  <c r="AE87" i="7"/>
  <c r="AI86" i="7"/>
  <c r="T86" i="7"/>
  <c r="Q87" i="7"/>
  <c r="AL87" i="7" l="1"/>
  <c r="AJ87" i="7"/>
  <c r="AN87" i="7"/>
  <c r="AK87" i="7"/>
  <c r="AM87" i="7"/>
  <c r="Q88" i="7"/>
  <c r="T87" i="7"/>
  <c r="AE88" i="7"/>
  <c r="AI87" i="7"/>
  <c r="AK88" i="7" l="1"/>
  <c r="AL88" i="7"/>
  <c r="AN88" i="7"/>
  <c r="AJ88" i="7"/>
  <c r="AM88" i="7"/>
  <c r="AE89" i="7"/>
  <c r="AI88" i="7"/>
  <c r="Q89" i="7"/>
  <c r="T88" i="7"/>
  <c r="AL89" i="7" l="1"/>
  <c r="AK89" i="7"/>
  <c r="AN89" i="7"/>
  <c r="AM89" i="7"/>
  <c r="AJ89" i="7"/>
  <c r="Q90" i="7"/>
  <c r="T89" i="7"/>
  <c r="AE90" i="7"/>
  <c r="AI89" i="7"/>
  <c r="AM90" i="7" l="1"/>
  <c r="AJ90" i="7"/>
  <c r="AK90" i="7"/>
  <c r="AL90" i="7"/>
  <c r="AN90" i="7"/>
  <c r="AE91" i="7"/>
  <c r="AI90" i="7"/>
  <c r="Q91" i="7"/>
  <c r="T90" i="7"/>
  <c r="AK91" i="7" l="1"/>
  <c r="AJ91" i="7"/>
  <c r="AL91" i="7"/>
  <c r="AN91" i="7"/>
  <c r="AM91" i="7"/>
  <c r="AE92" i="7"/>
  <c r="AI91" i="7"/>
  <c r="T91" i="7"/>
  <c r="Q92" i="7"/>
  <c r="AN92" i="7" l="1"/>
  <c r="AM92" i="7"/>
  <c r="AK92" i="7"/>
  <c r="AL92" i="7"/>
  <c r="AJ92" i="7"/>
  <c r="Q93" i="7"/>
  <c r="T92" i="7"/>
  <c r="AE93" i="7"/>
  <c r="AI92" i="7"/>
  <c r="AK93" i="7" l="1"/>
  <c r="AN93" i="7"/>
  <c r="AM93" i="7"/>
  <c r="AL93" i="7"/>
  <c r="AJ93" i="7"/>
  <c r="AE94" i="7"/>
  <c r="AI93" i="7"/>
  <c r="T93" i="7"/>
  <c r="Q94" i="7"/>
  <c r="AL94" i="7" l="1"/>
  <c r="AN94" i="7"/>
  <c r="AK94" i="7"/>
  <c r="AM94" i="7"/>
  <c r="AJ94" i="7"/>
  <c r="Q95" i="7"/>
  <c r="T94" i="7"/>
  <c r="AE95" i="7"/>
  <c r="AI94" i="7"/>
  <c r="AM95" i="7" l="1"/>
  <c r="AJ95" i="7"/>
  <c r="AL95" i="7"/>
  <c r="AK95" i="7"/>
  <c r="AN95" i="7"/>
  <c r="AI95" i="7"/>
  <c r="AE96" i="7"/>
  <c r="Q96" i="7"/>
  <c r="T95" i="7"/>
  <c r="AM96" i="7" l="1"/>
  <c r="AL96" i="7"/>
  <c r="AJ96" i="7"/>
  <c r="AN96" i="7"/>
  <c r="AK96" i="7"/>
  <c r="Q97" i="7"/>
  <c r="T96" i="7"/>
  <c r="AE97" i="7"/>
  <c r="AI96" i="7"/>
  <c r="AK97" i="7" l="1"/>
  <c r="AL97" i="7"/>
  <c r="AN97" i="7"/>
  <c r="AJ97" i="7"/>
  <c r="AM97" i="7"/>
  <c r="AE98" i="7"/>
  <c r="AI97" i="7"/>
  <c r="Q98" i="7"/>
  <c r="T97" i="7"/>
  <c r="AL98" i="7" l="1"/>
  <c r="AN98" i="7"/>
  <c r="AM98" i="7"/>
  <c r="AJ98" i="7"/>
  <c r="AK98" i="7"/>
  <c r="Q99" i="7"/>
  <c r="T98" i="7"/>
  <c r="AE99" i="7"/>
  <c r="AI98" i="7"/>
  <c r="AN99" i="7" l="1"/>
  <c r="AM99" i="7"/>
  <c r="AK99" i="7"/>
  <c r="AJ99" i="7"/>
  <c r="AL99" i="7"/>
  <c r="AE100" i="7"/>
  <c r="AI99" i="7"/>
  <c r="Q100" i="7"/>
  <c r="T99" i="7"/>
  <c r="AK100" i="7" l="1"/>
  <c r="AM100" i="7"/>
  <c r="AN100" i="7"/>
  <c r="AJ100" i="7"/>
  <c r="AL100" i="7"/>
  <c r="Q101" i="7"/>
  <c r="T100" i="7"/>
  <c r="AE101" i="7"/>
  <c r="AI100" i="7"/>
  <c r="AJ101" i="7" l="1"/>
  <c r="AK101" i="7"/>
  <c r="AL101" i="7"/>
  <c r="AN101" i="7"/>
  <c r="AM101" i="7"/>
  <c r="AI101" i="7"/>
  <c r="AE102" i="7"/>
  <c r="Q102" i="7"/>
  <c r="T101" i="7"/>
  <c r="AN102" i="7" l="1"/>
  <c r="AL102" i="7"/>
  <c r="AK102" i="7"/>
  <c r="AJ102" i="7"/>
  <c r="AM102" i="7"/>
  <c r="T102" i="7"/>
  <c r="Q103" i="7"/>
  <c r="AE103" i="7"/>
  <c r="AI102" i="7"/>
  <c r="AJ103" i="7" l="1"/>
  <c r="AL103" i="7"/>
  <c r="AM103" i="7"/>
  <c r="AN103" i="7"/>
  <c r="AK103" i="7"/>
  <c r="AE104" i="7"/>
  <c r="AI103" i="7"/>
  <c r="Q104" i="7"/>
  <c r="T103" i="7"/>
  <c r="AN104" i="7" l="1"/>
  <c r="AM104" i="7"/>
  <c r="AL104" i="7"/>
  <c r="AK104" i="7"/>
  <c r="AJ104" i="7"/>
  <c r="Q105" i="7"/>
  <c r="T104" i="7"/>
  <c r="AE105" i="7"/>
  <c r="AI104" i="7"/>
  <c r="AM105" i="7" l="1"/>
  <c r="AL105" i="7"/>
  <c r="AK105" i="7"/>
  <c r="AJ105" i="7"/>
  <c r="AN105" i="7"/>
  <c r="AE106" i="7"/>
  <c r="AI105" i="7"/>
  <c r="Q106" i="7"/>
  <c r="T105" i="7"/>
  <c r="AK106" i="7" l="1"/>
  <c r="AM106" i="7"/>
  <c r="AJ106" i="7"/>
  <c r="AL106" i="7"/>
  <c r="AN106" i="7"/>
  <c r="Q107" i="7"/>
  <c r="T106" i="7"/>
  <c r="AI106" i="7"/>
  <c r="AE107" i="7"/>
  <c r="AL107" i="7" l="1"/>
  <c r="AN107" i="7"/>
  <c r="AM107" i="7"/>
  <c r="AJ107" i="7"/>
  <c r="AK107" i="7"/>
  <c r="AE108" i="7"/>
  <c r="AI107" i="7"/>
  <c r="T107" i="7"/>
  <c r="Q108" i="7"/>
  <c r="AJ108" i="7" l="1"/>
  <c r="AK108" i="7"/>
  <c r="AL108" i="7"/>
  <c r="AM108" i="7"/>
  <c r="AN108" i="7"/>
  <c r="Q109" i="7"/>
  <c r="T108" i="7"/>
  <c r="AE109" i="7"/>
  <c r="AI108" i="7"/>
  <c r="AJ109" i="7" l="1"/>
  <c r="AK109" i="7"/>
  <c r="AM109" i="7"/>
  <c r="AL109" i="7"/>
  <c r="AN109" i="7"/>
  <c r="AE110" i="7"/>
  <c r="AI109" i="7"/>
  <c r="T109" i="7"/>
  <c r="Q110" i="7"/>
  <c r="AJ110" i="7" l="1"/>
  <c r="AN110" i="7"/>
  <c r="AM110" i="7"/>
  <c r="AK110" i="7"/>
  <c r="AL110" i="7"/>
  <c r="Q111" i="7"/>
  <c r="T110" i="7"/>
  <c r="AE111" i="7"/>
  <c r="AI110" i="7"/>
  <c r="AM111" i="7" l="1"/>
  <c r="AN111" i="7"/>
  <c r="AJ111" i="7"/>
  <c r="AL111" i="7"/>
  <c r="AK111" i="7"/>
  <c r="AE112" i="7"/>
  <c r="AI111" i="7"/>
  <c r="Q112" i="7"/>
  <c r="T111" i="7"/>
  <c r="AM112" i="7" l="1"/>
  <c r="AN112" i="7"/>
  <c r="AL112" i="7"/>
  <c r="AJ112" i="7"/>
  <c r="AK112" i="7"/>
  <c r="Q113" i="7"/>
  <c r="T112" i="7"/>
  <c r="AE113" i="7"/>
  <c r="AI112" i="7"/>
  <c r="AJ113" i="7" l="1"/>
  <c r="AM113" i="7"/>
  <c r="AL113" i="7"/>
  <c r="AN113" i="7"/>
  <c r="AK113" i="7"/>
  <c r="AI113" i="7"/>
  <c r="AE114" i="7"/>
  <c r="T113" i="7"/>
  <c r="Q114" i="7"/>
  <c r="AL114" i="7" l="1"/>
  <c r="AK114" i="7"/>
  <c r="AM114" i="7"/>
  <c r="AJ114" i="7"/>
  <c r="AN114" i="7"/>
  <c r="AE115" i="7"/>
  <c r="AI114" i="7"/>
  <c r="Q115" i="7"/>
  <c r="T114" i="7"/>
  <c r="AJ115" i="7" l="1"/>
  <c r="AN115" i="7"/>
  <c r="AM115" i="7"/>
  <c r="AL115" i="7"/>
  <c r="AK115" i="7"/>
  <c r="Q116" i="7"/>
  <c r="T115" i="7"/>
  <c r="AE116" i="7"/>
  <c r="AI115" i="7"/>
  <c r="AL116" i="7" l="1"/>
  <c r="AN116" i="7"/>
  <c r="AK116" i="7"/>
  <c r="AJ116" i="7"/>
  <c r="AM116" i="7"/>
  <c r="AE117" i="7"/>
  <c r="AI116" i="7"/>
  <c r="Q117" i="7"/>
  <c r="T116" i="7"/>
  <c r="AL117" i="7" l="1"/>
  <c r="AM117" i="7"/>
  <c r="AJ117" i="7"/>
  <c r="AN117" i="7"/>
  <c r="AK117" i="7"/>
  <c r="T117" i="7"/>
  <c r="Q118" i="7"/>
  <c r="AI117" i="7"/>
  <c r="AE118" i="7"/>
  <c r="AM118" i="7" l="1"/>
  <c r="AK118" i="7"/>
  <c r="AN118" i="7"/>
  <c r="AJ118" i="7"/>
  <c r="AL118" i="7"/>
  <c r="AE119" i="7"/>
  <c r="AI118" i="7"/>
  <c r="T118" i="7"/>
  <c r="Q119" i="7"/>
  <c r="AJ119" i="7" l="1"/>
  <c r="AM119" i="7"/>
  <c r="AN119" i="7"/>
  <c r="AK119" i="7"/>
  <c r="AL119" i="7"/>
  <c r="AE120" i="7"/>
  <c r="AI119" i="7"/>
  <c r="Q120" i="7"/>
  <c r="T119" i="7"/>
  <c r="AK120" i="7" l="1"/>
  <c r="AM120" i="7"/>
  <c r="AJ120" i="7"/>
  <c r="AN120" i="7"/>
  <c r="AL120" i="7"/>
  <c r="Q121" i="7"/>
  <c r="T120" i="7"/>
  <c r="AI120" i="7"/>
  <c r="AE121" i="7"/>
  <c r="AK121" i="7" l="1"/>
  <c r="AL121" i="7"/>
  <c r="AN121" i="7"/>
  <c r="AJ121" i="7"/>
  <c r="AM121" i="7"/>
  <c r="AE122" i="7"/>
  <c r="AI121" i="7"/>
  <c r="T121" i="7"/>
  <c r="Q122" i="7"/>
  <c r="AK122" i="7" l="1"/>
  <c r="AN122" i="7"/>
  <c r="AJ122" i="7"/>
  <c r="AM122" i="7"/>
  <c r="AL122" i="7"/>
  <c r="T122" i="7"/>
  <c r="Q123" i="7"/>
  <c r="AI122" i="7"/>
  <c r="AE123" i="7"/>
  <c r="AM123" i="7" l="1"/>
  <c r="AL123" i="7"/>
  <c r="AK123" i="7"/>
  <c r="AN123" i="7"/>
  <c r="AJ123" i="7"/>
  <c r="AE124" i="7"/>
  <c r="AI123" i="7"/>
  <c r="T123" i="7"/>
  <c r="Q124" i="7"/>
  <c r="AN124" i="7" l="1"/>
  <c r="AK124" i="7"/>
  <c r="AL124" i="7"/>
  <c r="AJ124" i="7"/>
  <c r="AM124" i="7"/>
  <c r="T124" i="7"/>
  <c r="Q125" i="7"/>
  <c r="AE125" i="7"/>
  <c r="AI124" i="7"/>
  <c r="AN125" i="7" l="1"/>
  <c r="AK125" i="7"/>
  <c r="AM125" i="7"/>
  <c r="AJ125" i="7"/>
  <c r="AL125" i="7"/>
  <c r="AI125" i="7"/>
  <c r="AE126" i="7"/>
  <c r="T125" i="7"/>
  <c r="Q126" i="7"/>
  <c r="AM126" i="7" l="1"/>
  <c r="AK126" i="7"/>
  <c r="AJ126" i="7"/>
  <c r="AN126" i="7"/>
  <c r="AL126" i="7"/>
  <c r="T126" i="7"/>
  <c r="Q127" i="7"/>
  <c r="AI126" i="7"/>
  <c r="AE127" i="7"/>
  <c r="AK127" i="7" l="1"/>
  <c r="AJ127" i="7"/>
  <c r="AL127" i="7"/>
  <c r="AM127" i="7"/>
  <c r="AN127" i="7"/>
  <c r="AI127" i="7"/>
  <c r="AE128" i="7"/>
  <c r="T127" i="7"/>
  <c r="Q128" i="7"/>
  <c r="AM128" i="7" l="1"/>
  <c r="AL128" i="7"/>
  <c r="AJ128" i="7"/>
  <c r="AN128" i="7"/>
  <c r="AK128" i="7"/>
  <c r="T128" i="7"/>
  <c r="Q129" i="7"/>
  <c r="AI128" i="7"/>
  <c r="AE129" i="7"/>
  <c r="AM129" i="7" l="1"/>
  <c r="AK129" i="7"/>
  <c r="AL129" i="7"/>
  <c r="AN129" i="7"/>
  <c r="AJ129" i="7"/>
  <c r="AI129" i="7"/>
  <c r="AE130" i="7"/>
  <c r="T129" i="7"/>
  <c r="Q130" i="7"/>
  <c r="AK130" i="7" l="1"/>
  <c r="AJ130" i="7"/>
  <c r="AM130" i="7"/>
  <c r="AL130" i="7"/>
  <c r="AN130" i="7"/>
  <c r="Q131" i="7"/>
  <c r="T130" i="7"/>
  <c r="AI130" i="7"/>
  <c r="AE131" i="7"/>
  <c r="AL131" i="7" l="1"/>
  <c r="AM131" i="7"/>
  <c r="AK131" i="7"/>
  <c r="AJ131" i="7"/>
  <c r="AN131" i="7"/>
  <c r="AI131" i="7"/>
  <c r="AE132" i="7"/>
  <c r="T131" i="7"/>
  <c r="Q132" i="7"/>
  <c r="AK132" i="7" l="1"/>
  <c r="AM132" i="7"/>
  <c r="AJ132" i="7"/>
  <c r="AN132" i="7"/>
  <c r="AL132" i="7"/>
  <c r="Q133" i="7"/>
  <c r="T132" i="7"/>
  <c r="AI132" i="7"/>
  <c r="AE133" i="7"/>
  <c r="AJ133" i="7" l="1"/>
  <c r="AL133" i="7"/>
  <c r="AK133" i="7"/>
  <c r="AM133" i="7"/>
  <c r="AN133" i="7"/>
  <c r="AI133" i="7"/>
  <c r="AE134" i="7"/>
  <c r="T133" i="7"/>
  <c r="Q134" i="7"/>
  <c r="AL134" i="7" l="1"/>
  <c r="AN134" i="7"/>
  <c r="AM134" i="7"/>
  <c r="AJ134" i="7"/>
  <c r="AK134" i="7"/>
  <c r="T134" i="7"/>
  <c r="Q135" i="7"/>
  <c r="AE135" i="7"/>
  <c r="AI134" i="7"/>
  <c r="AK135" i="7" l="1"/>
  <c r="AM135" i="7"/>
  <c r="AJ135" i="7"/>
  <c r="AL135" i="7"/>
  <c r="AN135" i="7"/>
  <c r="AI135" i="7"/>
  <c r="AE136" i="7"/>
  <c r="Q136" i="7"/>
  <c r="T135" i="7"/>
  <c r="AM136" i="7" l="1"/>
  <c r="AK136" i="7"/>
  <c r="AL136" i="7"/>
  <c r="AN136" i="7"/>
  <c r="AJ136" i="7"/>
  <c r="AI136" i="7"/>
  <c r="AE137" i="7"/>
  <c r="Q137" i="7"/>
  <c r="T136" i="7"/>
  <c r="AL137" i="7" l="1"/>
  <c r="AJ137" i="7"/>
  <c r="AK137" i="7"/>
  <c r="AN137" i="7"/>
  <c r="AM137" i="7"/>
  <c r="Q138" i="7"/>
  <c r="T137" i="7"/>
  <c r="AE138" i="7"/>
  <c r="AI137" i="7"/>
  <c r="AL138" i="7" l="1"/>
  <c r="AM138" i="7"/>
  <c r="AK138" i="7"/>
  <c r="AN138" i="7"/>
  <c r="AJ138" i="7"/>
  <c r="AI138" i="7"/>
  <c r="AE139" i="7"/>
  <c r="T138" i="7"/>
  <c r="Q139" i="7"/>
  <c r="AN139" i="7" l="1"/>
  <c r="AK139" i="7"/>
  <c r="AM139" i="7"/>
  <c r="AL139" i="7"/>
  <c r="AJ139" i="7"/>
  <c r="AE140" i="7"/>
  <c r="AI139" i="7"/>
  <c r="T139" i="7"/>
  <c r="Q140" i="7"/>
  <c r="AL140" i="7" l="1"/>
  <c r="AM140" i="7"/>
  <c r="AN140" i="7"/>
  <c r="AK140" i="7"/>
  <c r="AJ140" i="7"/>
  <c r="T140" i="7"/>
  <c r="Q141" i="7"/>
  <c r="AE141" i="7"/>
  <c r="AI140" i="7"/>
  <c r="AL141" i="7" l="1"/>
  <c r="AJ141" i="7"/>
  <c r="AK141" i="7"/>
  <c r="AM141" i="7"/>
  <c r="AN141" i="7"/>
  <c r="AI141" i="7"/>
  <c r="AE142" i="7"/>
  <c r="T141" i="7"/>
  <c r="Q142" i="7"/>
  <c r="AL142" i="7" l="1"/>
  <c r="AJ142" i="7"/>
  <c r="AN142" i="7"/>
  <c r="AM142" i="7"/>
  <c r="AK142" i="7"/>
  <c r="Q143" i="7"/>
  <c r="T142" i="7"/>
  <c r="AI142" i="7"/>
  <c r="AE143" i="7"/>
  <c r="AL143" i="7" l="1"/>
  <c r="AM143" i="7"/>
  <c r="AK143" i="7"/>
  <c r="AN143" i="7"/>
  <c r="AJ143" i="7"/>
  <c r="AI143" i="7"/>
  <c r="AE144" i="7"/>
  <c r="T143" i="7"/>
  <c r="Q144" i="7"/>
  <c r="AJ144" i="7" l="1"/>
  <c r="AM144" i="7"/>
  <c r="AN144" i="7"/>
  <c r="AL144" i="7"/>
  <c r="AK144" i="7"/>
  <c r="T144" i="7"/>
  <c r="Q145" i="7"/>
  <c r="AE145" i="7"/>
  <c r="AI144" i="7"/>
  <c r="AL145" i="7" l="1"/>
  <c r="AM145" i="7"/>
  <c r="AJ145" i="7"/>
  <c r="AK145" i="7"/>
  <c r="AN145" i="7"/>
  <c r="AI145" i="7"/>
  <c r="AE146" i="7"/>
  <c r="T145" i="7"/>
  <c r="Q146" i="7"/>
  <c r="AK146" i="7" l="1"/>
  <c r="AM146" i="7"/>
  <c r="AL146" i="7"/>
  <c r="AJ146" i="7"/>
  <c r="AN146" i="7"/>
  <c r="Q147" i="7"/>
  <c r="T146" i="7"/>
  <c r="AE147" i="7"/>
  <c r="AI146" i="7"/>
  <c r="AK147" i="7" l="1"/>
  <c r="AJ147" i="7"/>
  <c r="AM147" i="7"/>
  <c r="AN147" i="7"/>
  <c r="AL147" i="7"/>
  <c r="AI147" i="7"/>
  <c r="AE148" i="7"/>
  <c r="T147" i="7"/>
  <c r="Q148" i="7"/>
  <c r="AL148" i="7" l="1"/>
  <c r="AK148" i="7"/>
  <c r="AN148" i="7"/>
  <c r="AM148" i="7"/>
  <c r="AJ148" i="7"/>
  <c r="AI148" i="7"/>
  <c r="AE149" i="7"/>
  <c r="T148" i="7"/>
  <c r="Q149" i="7"/>
  <c r="AJ149" i="7" l="1"/>
  <c r="AK149" i="7"/>
  <c r="AM149" i="7"/>
  <c r="AN149" i="7"/>
  <c r="AL149" i="7"/>
  <c r="AI149" i="7"/>
  <c r="AE150" i="7"/>
  <c r="Q150" i="7"/>
  <c r="T149" i="7"/>
  <c r="AJ150" i="7" l="1"/>
  <c r="AK150" i="7"/>
  <c r="AN150" i="7"/>
  <c r="AM150" i="7"/>
  <c r="AL150" i="7"/>
  <c r="T150" i="7"/>
  <c r="Q151" i="7"/>
  <c r="AE151" i="7"/>
  <c r="AI150" i="7"/>
  <c r="AJ151" i="7" l="1"/>
  <c r="AN151" i="7"/>
  <c r="AM151" i="7"/>
  <c r="AK151" i="7"/>
  <c r="AL151" i="7"/>
  <c r="AE152" i="7"/>
  <c r="AI151" i="7"/>
  <c r="Q152" i="7"/>
  <c r="T151" i="7"/>
  <c r="AJ152" i="7" l="1"/>
  <c r="AN152" i="7"/>
  <c r="AM152" i="7"/>
  <c r="AL152" i="7"/>
  <c r="AK152" i="7"/>
  <c r="AI152" i="7"/>
  <c r="AE153" i="7"/>
  <c r="Q153" i="7"/>
  <c r="T152" i="7"/>
  <c r="AL153" i="7" l="1"/>
  <c r="AJ153" i="7"/>
  <c r="AK153" i="7"/>
  <c r="AN153" i="7"/>
  <c r="AM153" i="7"/>
  <c r="T153" i="7"/>
  <c r="Q154" i="7"/>
  <c r="AE154" i="7"/>
  <c r="AI153" i="7"/>
  <c r="AM154" i="7" l="1"/>
  <c r="AJ154" i="7"/>
  <c r="AL154" i="7"/>
  <c r="AK154" i="7"/>
  <c r="AN154" i="7"/>
  <c r="AI154" i="7"/>
  <c r="AE155" i="7"/>
  <c r="Q155" i="7"/>
  <c r="T154" i="7"/>
  <c r="AJ155" i="7" l="1"/>
  <c r="AN155" i="7"/>
  <c r="AM155" i="7"/>
  <c r="AK155" i="7"/>
  <c r="AL155" i="7"/>
  <c r="Q156" i="7"/>
  <c r="T155" i="7"/>
  <c r="AE156" i="7"/>
  <c r="AI155" i="7"/>
  <c r="AM156" i="7" l="1"/>
  <c r="AK156" i="7"/>
  <c r="AL156" i="7"/>
  <c r="AJ156" i="7"/>
  <c r="AN156" i="7"/>
  <c r="AE157" i="7"/>
  <c r="AI156" i="7"/>
  <c r="Q157" i="7"/>
  <c r="T156" i="7"/>
  <c r="AM157" i="7" l="1"/>
  <c r="AL157" i="7"/>
  <c r="AN157" i="7"/>
  <c r="AJ157" i="7"/>
  <c r="AK157" i="7"/>
  <c r="T157" i="7"/>
  <c r="Q158" i="7"/>
  <c r="AE158" i="7"/>
  <c r="AI157" i="7"/>
  <c r="AK158" i="7" l="1"/>
  <c r="AL158" i="7"/>
  <c r="AJ158" i="7"/>
  <c r="AM158" i="7"/>
  <c r="AN158" i="7"/>
  <c r="AE159" i="7"/>
  <c r="AI158" i="7"/>
  <c r="Q159" i="7"/>
  <c r="T158" i="7"/>
  <c r="AM159" i="7" l="1"/>
  <c r="AK159" i="7"/>
  <c r="AN159" i="7"/>
  <c r="AL159" i="7"/>
  <c r="AJ159" i="7"/>
  <c r="T159" i="7"/>
  <c r="Q160" i="7"/>
  <c r="AE160" i="7"/>
  <c r="AI159" i="7"/>
  <c r="AL160" i="7" l="1"/>
  <c r="AM160" i="7"/>
  <c r="AN160" i="7"/>
  <c r="AK160" i="7"/>
  <c r="AJ160" i="7"/>
  <c r="AI160" i="7"/>
  <c r="AE161" i="7"/>
  <c r="T160" i="7"/>
  <c r="Q161" i="7"/>
  <c r="AJ161" i="7" l="1"/>
  <c r="AL161" i="7"/>
  <c r="AM161" i="7"/>
  <c r="AN161" i="7"/>
  <c r="AK161" i="7"/>
  <c r="AI161" i="7"/>
  <c r="AE162" i="7"/>
  <c r="T161" i="7"/>
  <c r="Q162" i="7"/>
  <c r="AK162" i="7" l="1"/>
  <c r="AN162" i="7"/>
  <c r="AL162" i="7"/>
  <c r="AJ162" i="7"/>
  <c r="AM162" i="7"/>
  <c r="Q163" i="7"/>
  <c r="T162" i="7"/>
  <c r="AE163" i="7"/>
  <c r="AI162" i="7"/>
  <c r="AJ163" i="7" l="1"/>
  <c r="AN163" i="7"/>
  <c r="AK163" i="7"/>
  <c r="AM163" i="7"/>
  <c r="AL163" i="7"/>
  <c r="AE164" i="7"/>
  <c r="AI163" i="7"/>
  <c r="T163" i="7"/>
  <c r="Q164" i="7"/>
  <c r="AL164" i="7" l="1"/>
  <c r="AJ164" i="7"/>
  <c r="AM164" i="7"/>
  <c r="AK164" i="7"/>
  <c r="AN164" i="7"/>
  <c r="T164" i="7"/>
  <c r="Q165" i="7"/>
  <c r="AI164" i="7"/>
  <c r="AE165" i="7"/>
  <c r="AL165" i="7" l="1"/>
  <c r="AM165" i="7"/>
  <c r="AK165" i="7"/>
  <c r="AN165" i="7"/>
  <c r="AJ165" i="7"/>
  <c r="Q166" i="7"/>
  <c r="T165" i="7"/>
  <c r="AI165" i="7"/>
  <c r="AE166" i="7"/>
  <c r="AL166" i="7" l="1"/>
  <c r="AJ166" i="7"/>
  <c r="AK166" i="7"/>
  <c r="AM166" i="7"/>
  <c r="AN166" i="7"/>
  <c r="AE167" i="7"/>
  <c r="AI166" i="7"/>
  <c r="T166" i="7"/>
  <c r="Q167" i="7"/>
  <c r="AM167" i="7" l="1"/>
  <c r="AL167" i="7"/>
  <c r="AK167" i="7"/>
  <c r="AN167" i="7"/>
  <c r="AJ167" i="7"/>
  <c r="Q168" i="7"/>
  <c r="T167" i="7"/>
  <c r="AE168" i="7"/>
  <c r="AI167" i="7"/>
  <c r="AK168" i="7" l="1"/>
  <c r="AM168" i="7"/>
  <c r="AL168" i="7"/>
  <c r="AN168" i="7"/>
  <c r="AJ168" i="7"/>
  <c r="Q169" i="7"/>
  <c r="T168" i="7"/>
  <c r="AI168" i="7"/>
  <c r="AE169" i="7"/>
  <c r="AJ169" i="7" l="1"/>
  <c r="AN169" i="7"/>
  <c r="AM169" i="7"/>
  <c r="AL169" i="7"/>
  <c r="AK169" i="7"/>
  <c r="AE170" i="7"/>
  <c r="AI169" i="7"/>
  <c r="T169" i="7"/>
  <c r="Q170" i="7"/>
  <c r="AJ170" i="7" l="1"/>
  <c r="AM170" i="7"/>
  <c r="AN170" i="7"/>
  <c r="AL170" i="7"/>
  <c r="AK170" i="7"/>
  <c r="Q171" i="7"/>
  <c r="T170" i="7"/>
  <c r="AI170" i="7"/>
  <c r="AE171" i="7"/>
  <c r="AL171" i="7" l="1"/>
  <c r="AJ171" i="7"/>
  <c r="AN171" i="7"/>
  <c r="AM171" i="7"/>
  <c r="AK171" i="7"/>
  <c r="Q172" i="7"/>
  <c r="T171" i="7"/>
  <c r="AE172" i="7"/>
  <c r="AI171" i="7"/>
  <c r="AK172" i="7" l="1"/>
  <c r="AJ172" i="7"/>
  <c r="AL172" i="7"/>
  <c r="AM172" i="7"/>
  <c r="AN172" i="7"/>
  <c r="AE173" i="7"/>
  <c r="AI172" i="7"/>
  <c r="T172" i="7"/>
  <c r="Q173" i="7"/>
  <c r="AJ173" i="7" l="1"/>
  <c r="AM173" i="7"/>
  <c r="AN173" i="7"/>
  <c r="AK173" i="7"/>
  <c r="AL173" i="7"/>
  <c r="T173" i="7"/>
  <c r="Q174" i="7"/>
  <c r="AI173" i="7"/>
  <c r="AE174" i="7"/>
  <c r="AK174" i="7" l="1"/>
  <c r="AL174" i="7"/>
  <c r="AJ174" i="7"/>
  <c r="AN174" i="7"/>
  <c r="AM174" i="7"/>
  <c r="AE175" i="7"/>
  <c r="AI174" i="7"/>
  <c r="Q175" i="7"/>
  <c r="T174" i="7"/>
  <c r="AN175" i="7" l="1"/>
  <c r="AL175" i="7"/>
  <c r="AJ175" i="7"/>
  <c r="AK175" i="7"/>
  <c r="AM175" i="7"/>
  <c r="Q176" i="7"/>
  <c r="T175" i="7"/>
  <c r="AE176" i="7"/>
  <c r="AI175" i="7"/>
  <c r="AM176" i="7" l="1"/>
  <c r="AN176" i="7"/>
  <c r="AJ176" i="7"/>
  <c r="AK176" i="7"/>
  <c r="AL176" i="7"/>
  <c r="AI176" i="7"/>
  <c r="AE177" i="7"/>
  <c r="T176" i="7"/>
  <c r="Q177" i="7"/>
  <c r="AJ177" i="7" l="1"/>
  <c r="AK177" i="7"/>
  <c r="AL177" i="7"/>
  <c r="AN177" i="7"/>
  <c r="AM177" i="7"/>
  <c r="AI177" i="7"/>
  <c r="AE178" i="7"/>
  <c r="T177" i="7"/>
  <c r="Q178" i="7"/>
  <c r="AL178" i="7" l="1"/>
  <c r="AK178" i="7"/>
  <c r="AN178" i="7"/>
  <c r="AM178" i="7"/>
  <c r="AJ178" i="7"/>
  <c r="Q179" i="7"/>
  <c r="T178" i="7"/>
  <c r="AE179" i="7"/>
  <c r="AI178" i="7"/>
  <c r="AK179" i="7" l="1"/>
  <c r="AM179" i="7"/>
  <c r="AJ179" i="7"/>
  <c r="AN179" i="7"/>
  <c r="AL179" i="7"/>
  <c r="AE180" i="7"/>
  <c r="AI179" i="7"/>
  <c r="Q180" i="7"/>
  <c r="T179" i="7"/>
  <c r="AM180" i="7" l="1"/>
  <c r="AL180" i="7"/>
  <c r="AJ180" i="7"/>
  <c r="AK180" i="7"/>
  <c r="AN180" i="7"/>
  <c r="T180" i="7"/>
  <c r="Q181" i="7"/>
  <c r="AI180" i="7"/>
  <c r="AE181" i="7"/>
  <c r="AK181" i="7" l="1"/>
  <c r="AJ181" i="7"/>
  <c r="AM181" i="7"/>
  <c r="AL181" i="7"/>
  <c r="AN181" i="7"/>
  <c r="AI181" i="7"/>
  <c r="AE182" i="7"/>
  <c r="Q182" i="7"/>
  <c r="T181" i="7"/>
  <c r="AN182" i="7" l="1"/>
  <c r="AJ182" i="7"/>
  <c r="AM182" i="7"/>
  <c r="AK182" i="7"/>
  <c r="AL182" i="7"/>
  <c r="T182" i="7"/>
  <c r="Q183" i="7"/>
  <c r="AE183" i="7"/>
  <c r="AI182" i="7"/>
  <c r="AM183" i="7" l="1"/>
  <c r="AL183" i="7"/>
  <c r="AJ183" i="7"/>
  <c r="AN183" i="7"/>
  <c r="AK183" i="7"/>
  <c r="AE184" i="7"/>
  <c r="AI183" i="7"/>
  <c r="Q184" i="7"/>
  <c r="T183" i="7"/>
  <c r="AL184" i="7" l="1"/>
  <c r="AM184" i="7"/>
  <c r="AN184" i="7"/>
  <c r="AK184" i="7"/>
  <c r="AJ184" i="7"/>
  <c r="Q185" i="7"/>
  <c r="T184" i="7"/>
  <c r="AI184" i="7"/>
  <c r="AE185" i="7"/>
  <c r="AL185" i="7" l="1"/>
  <c r="AK185" i="7"/>
  <c r="AJ185" i="7"/>
  <c r="AN185" i="7"/>
  <c r="AM185" i="7"/>
  <c r="AE186" i="7"/>
  <c r="AI185" i="7"/>
  <c r="T185" i="7"/>
  <c r="Q186" i="7"/>
  <c r="AK186" i="7" l="1"/>
  <c r="AM186" i="7"/>
  <c r="AN186" i="7"/>
  <c r="AJ186" i="7"/>
  <c r="AL186" i="7"/>
  <c r="Q187" i="7"/>
  <c r="T186" i="7"/>
  <c r="AE187" i="7"/>
  <c r="AI186" i="7"/>
  <c r="AK187" i="7" l="1"/>
  <c r="AL187" i="7"/>
  <c r="AN187" i="7"/>
  <c r="AM187" i="7"/>
  <c r="AJ187" i="7"/>
  <c r="AE188" i="7"/>
  <c r="AI187" i="7"/>
  <c r="Q188" i="7"/>
  <c r="T187" i="7"/>
  <c r="AN188" i="7" l="1"/>
  <c r="AJ188" i="7"/>
  <c r="AK188" i="7"/>
  <c r="AM188" i="7"/>
  <c r="AL188" i="7"/>
  <c r="AE189" i="7"/>
  <c r="AI188" i="7"/>
  <c r="T188" i="7"/>
  <c r="Q189" i="7"/>
  <c r="AL189" i="7" l="1"/>
  <c r="AJ189" i="7"/>
  <c r="AK189" i="7"/>
  <c r="AM189" i="7"/>
  <c r="AN189" i="7"/>
  <c r="T189" i="7"/>
  <c r="Q190" i="7"/>
  <c r="AI189" i="7"/>
  <c r="AE190" i="7"/>
  <c r="AK190" i="7" l="1"/>
  <c r="AL190" i="7"/>
  <c r="AM190" i="7"/>
  <c r="AJ190" i="7"/>
  <c r="AN190" i="7"/>
  <c r="AE191" i="7"/>
  <c r="AI190" i="7"/>
  <c r="Q191" i="7"/>
  <c r="T190" i="7"/>
  <c r="AK191" i="7" l="1"/>
  <c r="AL191" i="7"/>
  <c r="AJ191" i="7"/>
  <c r="AN191" i="7"/>
  <c r="AM191" i="7"/>
  <c r="Q192" i="7"/>
  <c r="T191" i="7"/>
  <c r="AE192" i="7"/>
  <c r="AI191" i="7"/>
  <c r="AM192" i="7" l="1"/>
  <c r="AN192" i="7"/>
  <c r="AL192" i="7"/>
  <c r="AJ192" i="7"/>
  <c r="AK192" i="7"/>
  <c r="AI192" i="7"/>
  <c r="AE193" i="7"/>
  <c r="T192" i="7"/>
  <c r="Q193" i="7"/>
  <c r="AN193" i="7" l="1"/>
  <c r="AL193" i="7"/>
  <c r="AK193" i="7"/>
  <c r="AJ193" i="7"/>
  <c r="AM193" i="7"/>
  <c r="Q194" i="7"/>
  <c r="T193" i="7"/>
  <c r="AI193" i="7"/>
  <c r="AE194" i="7"/>
  <c r="AM194" i="7" l="1"/>
  <c r="AJ194" i="7"/>
  <c r="AL194" i="7"/>
  <c r="AN194" i="7"/>
  <c r="AK194" i="7"/>
  <c r="AE195" i="7"/>
  <c r="AI194" i="7"/>
  <c r="Q195" i="7"/>
  <c r="T194" i="7"/>
  <c r="AL195" i="7" l="1"/>
  <c r="AN195" i="7"/>
  <c r="AK195" i="7"/>
  <c r="AM195" i="7"/>
  <c r="AJ195" i="7"/>
  <c r="Q196" i="7"/>
  <c r="T195" i="7"/>
  <c r="AE196" i="7"/>
  <c r="AI195" i="7"/>
  <c r="AM196" i="7" l="1"/>
  <c r="AL196" i="7"/>
  <c r="AK196" i="7"/>
  <c r="AN196" i="7"/>
  <c r="AJ196" i="7"/>
  <c r="AI196" i="7"/>
  <c r="AE197" i="7"/>
  <c r="T196" i="7"/>
  <c r="Q197" i="7"/>
  <c r="AL197" i="7" l="1"/>
  <c r="AN197" i="7"/>
  <c r="AJ197" i="7"/>
  <c r="AK197" i="7"/>
  <c r="AM197" i="7"/>
  <c r="Q198" i="7"/>
  <c r="T197" i="7"/>
  <c r="AE198" i="7"/>
  <c r="AI197" i="7"/>
  <c r="AL198" i="7" l="1"/>
  <c r="AJ198" i="7"/>
  <c r="AN198" i="7"/>
  <c r="AM198" i="7"/>
  <c r="AK198" i="7"/>
  <c r="AE199" i="7"/>
  <c r="AI198" i="7"/>
  <c r="T198" i="7"/>
  <c r="Q199" i="7"/>
  <c r="AK199" i="7" l="1"/>
  <c r="AJ199" i="7"/>
  <c r="AM199" i="7"/>
  <c r="AN199" i="7"/>
  <c r="AL199" i="7"/>
  <c r="AE200" i="7"/>
  <c r="AI199" i="7"/>
  <c r="Q200" i="7"/>
  <c r="T199" i="7"/>
  <c r="AN200" i="7" l="1"/>
  <c r="AK200" i="7"/>
  <c r="AL200" i="7"/>
  <c r="AM200" i="7"/>
  <c r="AJ200" i="7"/>
  <c r="Q201" i="7"/>
  <c r="T200" i="7"/>
  <c r="AI200" i="7"/>
  <c r="AE201" i="7"/>
  <c r="AL201" i="7" l="1"/>
  <c r="AJ201" i="7"/>
  <c r="AK201" i="7"/>
  <c r="AM201" i="7"/>
  <c r="AN201" i="7"/>
  <c r="AE202" i="7"/>
  <c r="AI201" i="7"/>
  <c r="T201" i="7"/>
  <c r="Q202" i="7"/>
  <c r="AK202" i="7" l="1"/>
  <c r="AN202" i="7"/>
  <c r="AL202" i="7"/>
  <c r="AJ202" i="7"/>
  <c r="AM202" i="7"/>
  <c r="Q203" i="7"/>
  <c r="T202" i="7"/>
  <c r="AI202" i="7"/>
  <c r="AE203" i="7"/>
  <c r="AJ203" i="7" l="1"/>
  <c r="AN203" i="7"/>
  <c r="AL203" i="7"/>
  <c r="AM203" i="7"/>
  <c r="AK203" i="7"/>
  <c r="AE204" i="7"/>
  <c r="AI203" i="7"/>
  <c r="Q204" i="7"/>
  <c r="T203" i="7"/>
  <c r="AK204" i="7" l="1"/>
  <c r="AN204" i="7"/>
  <c r="AL204" i="7"/>
  <c r="AJ204" i="7"/>
  <c r="AM204" i="7"/>
  <c r="Q205" i="7"/>
  <c r="T204" i="7"/>
  <c r="AE205" i="7"/>
  <c r="AI204" i="7"/>
  <c r="AK205" i="7" l="1"/>
  <c r="AJ205" i="7"/>
  <c r="AM205" i="7"/>
  <c r="AL205" i="7"/>
  <c r="AN205" i="7"/>
  <c r="AE206" i="7"/>
  <c r="AI205" i="7"/>
  <c r="T205" i="7"/>
  <c r="Q206" i="7"/>
  <c r="AM206" i="7" l="1"/>
  <c r="AK206" i="7"/>
  <c r="AL206" i="7"/>
  <c r="AN206" i="7"/>
  <c r="AJ206" i="7"/>
  <c r="Q207" i="7"/>
  <c r="T206" i="7"/>
  <c r="AE207" i="7"/>
  <c r="AI206" i="7"/>
  <c r="AM207" i="7" l="1"/>
  <c r="AL207" i="7"/>
  <c r="AK207" i="7"/>
  <c r="AJ207" i="7"/>
  <c r="AN207" i="7"/>
  <c r="AE208" i="7"/>
  <c r="AI207" i="7"/>
  <c r="Q208" i="7"/>
  <c r="T207" i="7"/>
  <c r="AM208" i="7" l="1"/>
  <c r="AJ208" i="7"/>
  <c r="AN208" i="7"/>
  <c r="AK208" i="7"/>
  <c r="AL208" i="7"/>
  <c r="T208" i="7"/>
  <c r="Q209" i="7"/>
  <c r="AE209" i="7"/>
  <c r="AI208" i="7"/>
  <c r="AL209" i="7" l="1"/>
  <c r="AM209" i="7"/>
  <c r="AJ209" i="7"/>
  <c r="AK209" i="7"/>
  <c r="AN209" i="7"/>
  <c r="AE210" i="7"/>
  <c r="AI209" i="7"/>
  <c r="T209" i="7"/>
  <c r="Q210" i="7"/>
  <c r="AL210" i="7" l="1"/>
  <c r="AJ210" i="7"/>
  <c r="AK210" i="7"/>
  <c r="AM210" i="7"/>
  <c r="AN210" i="7"/>
  <c r="Q211" i="7"/>
  <c r="T210" i="7"/>
  <c r="AE211" i="7"/>
  <c r="AI210" i="7"/>
  <c r="AK211" i="7" l="1"/>
  <c r="AL211" i="7"/>
  <c r="AN211" i="7"/>
  <c r="AM211" i="7"/>
  <c r="AJ211" i="7"/>
  <c r="AE212" i="7"/>
  <c r="AI211" i="7"/>
  <c r="Q212" i="7"/>
  <c r="T211" i="7"/>
  <c r="AK212" i="7" l="1"/>
  <c r="AM212" i="7"/>
  <c r="AJ212" i="7"/>
  <c r="AL212" i="7"/>
  <c r="AN212" i="7"/>
  <c r="T212" i="7"/>
  <c r="Q213" i="7"/>
  <c r="AE213" i="7"/>
  <c r="AI212" i="7"/>
  <c r="AJ213" i="7" l="1"/>
  <c r="AM213" i="7"/>
  <c r="AK213" i="7"/>
  <c r="AL213" i="7"/>
  <c r="AN213" i="7"/>
  <c r="AI213" i="7"/>
  <c r="AE214" i="7"/>
  <c r="Q214" i="7"/>
  <c r="T213" i="7"/>
  <c r="AL214" i="7" l="1"/>
  <c r="AN214" i="7"/>
  <c r="AM214" i="7"/>
  <c r="AK214" i="7"/>
  <c r="AJ214" i="7"/>
  <c r="T214" i="7"/>
  <c r="Q215" i="7"/>
  <c r="AE215" i="7"/>
  <c r="AI214" i="7"/>
  <c r="AN215" i="7" l="1"/>
  <c r="AL215" i="7"/>
  <c r="AM215" i="7"/>
  <c r="AJ215" i="7"/>
  <c r="AK215" i="7"/>
  <c r="AE216" i="7"/>
  <c r="AI215" i="7"/>
  <c r="Q216" i="7"/>
  <c r="T215" i="7"/>
  <c r="AK216" i="7" l="1"/>
  <c r="AL216" i="7"/>
  <c r="AM216" i="7"/>
  <c r="AJ216" i="7"/>
  <c r="AN216" i="7"/>
  <c r="Q217" i="7"/>
  <c r="T216" i="7"/>
  <c r="AE217" i="7"/>
  <c r="AI216" i="7"/>
  <c r="AJ217" i="7" l="1"/>
  <c r="AL217" i="7"/>
  <c r="AK217" i="7"/>
  <c r="AN217" i="7"/>
  <c r="AM217" i="7"/>
  <c r="AE218" i="7"/>
  <c r="AI217" i="7"/>
  <c r="T217" i="7"/>
  <c r="Q218" i="7"/>
  <c r="AJ218" i="7" l="1"/>
  <c r="AM218" i="7"/>
  <c r="AN218" i="7"/>
  <c r="AL218" i="7"/>
  <c r="AK218" i="7"/>
  <c r="Q219" i="7"/>
  <c r="T218" i="7"/>
  <c r="AI218" i="7"/>
  <c r="AE219" i="7"/>
  <c r="AN219" i="7" l="1"/>
  <c r="AM219" i="7"/>
  <c r="AJ219" i="7"/>
  <c r="AL219" i="7"/>
  <c r="AK219" i="7"/>
  <c r="AE220" i="7"/>
  <c r="AI219" i="7"/>
  <c r="Q220" i="7"/>
  <c r="T219" i="7"/>
  <c r="AN220" i="7" l="1"/>
  <c r="AK220" i="7"/>
  <c r="AJ220" i="7"/>
  <c r="AM220" i="7"/>
  <c r="AL220" i="7"/>
  <c r="T220" i="7"/>
  <c r="Q221" i="7"/>
  <c r="AE221" i="7"/>
  <c r="AI220" i="7"/>
  <c r="AJ221" i="7" l="1"/>
  <c r="AL221" i="7"/>
  <c r="AN221" i="7"/>
  <c r="AM221" i="7"/>
  <c r="AK221" i="7"/>
  <c r="T221" i="7"/>
  <c r="Q222" i="7"/>
  <c r="AI221" i="7"/>
  <c r="AE222" i="7"/>
  <c r="AM222" i="7" l="1"/>
  <c r="AJ222" i="7"/>
  <c r="AN222" i="7"/>
  <c r="AK222" i="7"/>
  <c r="AL222" i="7"/>
  <c r="AE223" i="7"/>
  <c r="AI222" i="7"/>
  <c r="Q223" i="7"/>
  <c r="T222" i="7"/>
  <c r="AM223" i="7" l="1"/>
  <c r="AN223" i="7"/>
  <c r="AK223" i="7"/>
  <c r="AJ223" i="7"/>
  <c r="AL223" i="7"/>
  <c r="Q224" i="7"/>
  <c r="T223" i="7"/>
  <c r="AE224" i="7"/>
  <c r="AI223" i="7"/>
  <c r="AM224" i="7" l="1"/>
  <c r="AJ224" i="7"/>
  <c r="AL224" i="7"/>
  <c r="AN224" i="7"/>
  <c r="AK224" i="7"/>
  <c r="AI224" i="7"/>
  <c r="AE225" i="7"/>
  <c r="T224" i="7"/>
  <c r="Q225" i="7"/>
  <c r="AM225" i="7" l="1"/>
  <c r="AL225" i="7"/>
  <c r="AJ225" i="7"/>
  <c r="AK225" i="7"/>
  <c r="AN225" i="7"/>
  <c r="T225" i="7"/>
  <c r="Q226" i="7"/>
  <c r="AI225" i="7"/>
  <c r="AE226" i="7"/>
  <c r="AL226" i="7" l="1"/>
  <c r="AK226" i="7"/>
  <c r="AJ226" i="7"/>
  <c r="AM226" i="7"/>
  <c r="AN226" i="7"/>
  <c r="Q227" i="7"/>
  <c r="T226" i="7"/>
  <c r="AE227" i="7"/>
  <c r="AI226" i="7"/>
  <c r="AJ227" i="7" l="1"/>
  <c r="AL227" i="7"/>
  <c r="AM227" i="7"/>
  <c r="AK227" i="7"/>
  <c r="AN227" i="7"/>
  <c r="AE228" i="7"/>
  <c r="AI227" i="7"/>
  <c r="Q228" i="7"/>
  <c r="T227" i="7"/>
  <c r="AJ228" i="7" l="1"/>
  <c r="AM228" i="7"/>
  <c r="AL228" i="7"/>
  <c r="AK228" i="7"/>
  <c r="AN228" i="7"/>
  <c r="T228" i="7"/>
  <c r="Q229" i="7"/>
  <c r="AI228" i="7"/>
  <c r="AE229" i="7"/>
  <c r="AJ229" i="7" l="1"/>
  <c r="AL229" i="7"/>
  <c r="AK229" i="7"/>
  <c r="AM229" i="7"/>
  <c r="AN229" i="7"/>
  <c r="Q230" i="7"/>
  <c r="T229" i="7"/>
  <c r="AE230" i="7"/>
  <c r="AI229" i="7"/>
  <c r="AL230" i="7" l="1"/>
  <c r="AM230" i="7"/>
  <c r="AJ230" i="7"/>
  <c r="AK230" i="7"/>
  <c r="AN230" i="7"/>
  <c r="AE231" i="7"/>
  <c r="AI230" i="7"/>
  <c r="Q231" i="7"/>
  <c r="T230" i="7"/>
  <c r="AK231" i="7" l="1"/>
  <c r="AJ231" i="7"/>
  <c r="AM231" i="7"/>
  <c r="AN231" i="7"/>
  <c r="AL231" i="7"/>
  <c r="Q232" i="7"/>
  <c r="T231" i="7"/>
  <c r="AE232" i="7"/>
  <c r="AI231" i="7"/>
  <c r="AJ232" i="7" l="1"/>
  <c r="AM232" i="7"/>
  <c r="AK232" i="7"/>
  <c r="AN232" i="7"/>
  <c r="AL232" i="7"/>
  <c r="Q233" i="7"/>
  <c r="T232" i="7"/>
  <c r="AE233" i="7"/>
  <c r="AI232" i="7"/>
  <c r="AL233" i="7" l="1"/>
  <c r="AN233" i="7"/>
  <c r="AM233" i="7"/>
  <c r="AJ233" i="7"/>
  <c r="AK233" i="7"/>
  <c r="AE234" i="7"/>
  <c r="AI233" i="7"/>
  <c r="T233" i="7"/>
  <c r="Q234" i="7"/>
  <c r="AJ234" i="7" l="1"/>
  <c r="AN234" i="7"/>
  <c r="AK234" i="7"/>
  <c r="AL234" i="7"/>
  <c r="AM234" i="7"/>
  <c r="AE235" i="7"/>
  <c r="AI234" i="7"/>
  <c r="Q235" i="7"/>
  <c r="T234" i="7"/>
  <c r="AK235" i="7" l="1"/>
  <c r="AM235" i="7"/>
  <c r="AN235" i="7"/>
  <c r="AJ235" i="7"/>
  <c r="AL235" i="7"/>
  <c r="Q236" i="7"/>
  <c r="T235" i="7"/>
  <c r="AE236" i="7"/>
  <c r="AI235" i="7"/>
  <c r="AK236" i="7" l="1"/>
  <c r="AM236" i="7"/>
  <c r="AL236" i="7"/>
  <c r="AN236" i="7"/>
  <c r="AJ236" i="7"/>
  <c r="AE237" i="7"/>
  <c r="AI236" i="7"/>
  <c r="Q237" i="7"/>
  <c r="T236" i="7"/>
  <c r="AJ237" i="7" l="1"/>
  <c r="AL237" i="7"/>
  <c r="AK237" i="7"/>
  <c r="AM237" i="7"/>
  <c r="AN237" i="7"/>
  <c r="T237" i="7"/>
  <c r="Q238" i="7"/>
  <c r="AE238" i="7"/>
  <c r="AI237" i="7"/>
  <c r="AM238" i="7" l="1"/>
  <c r="AN238" i="7"/>
  <c r="AL238" i="7"/>
  <c r="AK238" i="7"/>
  <c r="AJ238" i="7"/>
  <c r="AE239" i="7"/>
  <c r="AI238" i="7"/>
  <c r="Q239" i="7"/>
  <c r="T238" i="7"/>
  <c r="AM239" i="7" l="1"/>
  <c r="AK239" i="7"/>
  <c r="AN239" i="7"/>
  <c r="AL239" i="7"/>
  <c r="AJ239" i="7"/>
  <c r="Q240" i="7"/>
  <c r="T239" i="7"/>
  <c r="AE240" i="7"/>
  <c r="AI239" i="7"/>
  <c r="AK240" i="7" l="1"/>
  <c r="AJ240" i="7"/>
  <c r="AM240" i="7"/>
  <c r="AN240" i="7"/>
  <c r="AL240" i="7"/>
  <c r="AE241" i="7"/>
  <c r="AI240" i="7"/>
  <c r="T240" i="7"/>
  <c r="Q241" i="7"/>
  <c r="AM241" i="7" l="1"/>
  <c r="AK241" i="7"/>
  <c r="AJ241" i="7"/>
  <c r="AN241" i="7"/>
  <c r="AL241" i="7"/>
  <c r="T241" i="7"/>
  <c r="Q242" i="7"/>
  <c r="AI241" i="7"/>
  <c r="AE242" i="7"/>
  <c r="AJ242" i="7" l="1"/>
  <c r="AK242" i="7"/>
  <c r="AM242" i="7"/>
  <c r="AL242" i="7"/>
  <c r="AN242" i="7"/>
  <c r="AE243" i="7"/>
  <c r="AI242" i="7"/>
  <c r="Q243" i="7"/>
  <c r="T242" i="7"/>
  <c r="AM243" i="7" l="1"/>
  <c r="AL243" i="7"/>
  <c r="AJ243" i="7"/>
  <c r="AN243" i="7"/>
  <c r="AK243" i="7"/>
  <c r="AE244" i="7"/>
  <c r="AI243" i="7"/>
  <c r="Q244" i="7"/>
  <c r="T243" i="7"/>
  <c r="AL244" i="7" l="1"/>
  <c r="AM244" i="7"/>
  <c r="AN244" i="7"/>
  <c r="AK244" i="7"/>
  <c r="AJ244" i="7"/>
  <c r="T244" i="7"/>
  <c r="Q245" i="7"/>
  <c r="AI244" i="7"/>
  <c r="AE245" i="7"/>
  <c r="AJ245" i="7" l="1"/>
  <c r="AN245" i="7"/>
  <c r="AL245" i="7"/>
  <c r="AM245" i="7"/>
  <c r="AK245" i="7"/>
  <c r="AE246" i="7"/>
  <c r="AI245" i="7"/>
  <c r="Q246" i="7"/>
  <c r="T245" i="7"/>
  <c r="AJ246" i="7" l="1"/>
  <c r="AM246" i="7"/>
  <c r="AK246" i="7"/>
  <c r="AN246" i="7"/>
  <c r="AL246" i="7"/>
  <c r="Q247" i="7"/>
  <c r="T246" i="7"/>
  <c r="AE247" i="7"/>
  <c r="AI246" i="7"/>
  <c r="AL247" i="7" l="1"/>
  <c r="AM247" i="7"/>
  <c r="AJ247" i="7"/>
  <c r="AN247" i="7"/>
  <c r="AK247" i="7"/>
  <c r="Q248" i="7"/>
  <c r="T247" i="7"/>
  <c r="AE248" i="7"/>
  <c r="AI247" i="7"/>
  <c r="AL248" i="7" l="1"/>
  <c r="AJ248" i="7"/>
  <c r="AN248" i="7"/>
  <c r="AK248" i="7"/>
  <c r="AM248" i="7"/>
  <c r="AE249" i="7"/>
  <c r="AI248" i="7"/>
  <c r="Q249" i="7"/>
  <c r="T248" i="7"/>
  <c r="AN249" i="7" l="1"/>
  <c r="AM249" i="7"/>
  <c r="AL249" i="7"/>
  <c r="AJ249" i="7"/>
  <c r="AK249" i="7"/>
  <c r="T249" i="7"/>
  <c r="Q250" i="7"/>
  <c r="AE250" i="7"/>
  <c r="AI249" i="7"/>
  <c r="AJ250" i="7" l="1"/>
  <c r="AM250" i="7"/>
  <c r="AN250" i="7"/>
  <c r="AL250" i="7"/>
  <c r="AK250" i="7"/>
  <c r="AE251" i="7"/>
  <c r="AI250" i="7"/>
  <c r="Q251" i="7"/>
  <c r="T250" i="7"/>
  <c r="AM251" i="7" l="1"/>
  <c r="AK251" i="7"/>
  <c r="AJ251" i="7"/>
  <c r="AL251" i="7"/>
  <c r="AN251" i="7"/>
  <c r="Q252" i="7"/>
  <c r="T251" i="7"/>
  <c r="AE252" i="7"/>
  <c r="AI251" i="7"/>
  <c r="AM252" i="7" l="1"/>
  <c r="AK252" i="7"/>
  <c r="AJ252" i="7"/>
  <c r="AN252" i="7"/>
  <c r="AL252" i="7"/>
  <c r="AE253" i="7"/>
  <c r="AI252" i="7"/>
  <c r="Q253" i="7"/>
  <c r="T252" i="7"/>
  <c r="AK253" i="7" l="1"/>
  <c r="AN253" i="7"/>
  <c r="AM253" i="7"/>
  <c r="AJ253" i="7"/>
  <c r="AL253" i="7"/>
  <c r="T253" i="7"/>
  <c r="Q254" i="7"/>
  <c r="AI253" i="7"/>
  <c r="AE254" i="7"/>
  <c r="AN254" i="7" l="1"/>
  <c r="AK254" i="7"/>
  <c r="AJ254" i="7"/>
  <c r="AM254" i="7"/>
  <c r="AL254" i="7"/>
  <c r="AE255" i="7"/>
  <c r="AI254" i="7"/>
  <c r="Q255" i="7"/>
  <c r="T254" i="7"/>
  <c r="AJ255" i="7" l="1"/>
  <c r="AL255" i="7"/>
  <c r="AK255" i="7"/>
  <c r="AM255" i="7"/>
  <c r="AN255" i="7"/>
  <c r="Q256" i="7"/>
  <c r="T255" i="7"/>
  <c r="AE256" i="7"/>
  <c r="AI255" i="7"/>
  <c r="AK256" i="7" l="1"/>
  <c r="AM256" i="7"/>
  <c r="AN256" i="7"/>
  <c r="AL256" i="7"/>
  <c r="AJ256" i="7"/>
  <c r="AI256" i="7"/>
  <c r="AE257" i="7"/>
  <c r="T256" i="7"/>
  <c r="Q257" i="7"/>
  <c r="AK257" i="7" l="1"/>
  <c r="AJ257" i="7"/>
  <c r="AL257" i="7"/>
  <c r="AN257" i="7"/>
  <c r="AM257" i="7"/>
  <c r="AI257" i="7"/>
  <c r="AE258" i="7"/>
  <c r="T257" i="7"/>
  <c r="Q258" i="7"/>
  <c r="AL258" i="7" l="1"/>
  <c r="AK258" i="7"/>
  <c r="AN258" i="7"/>
  <c r="AJ258" i="7"/>
  <c r="AM258" i="7"/>
  <c r="AI258" i="7"/>
  <c r="AE259" i="7"/>
  <c r="Q259" i="7"/>
  <c r="T258" i="7"/>
  <c r="AJ259" i="7" l="1"/>
  <c r="AN259" i="7"/>
  <c r="AL259" i="7"/>
  <c r="AK259" i="7"/>
  <c r="AM259" i="7"/>
  <c r="AE260" i="7"/>
  <c r="AI259" i="7"/>
  <c r="T259" i="7"/>
  <c r="Q260" i="7"/>
  <c r="AM260" i="7" l="1"/>
  <c r="AN260" i="7"/>
  <c r="AK260" i="7"/>
  <c r="AJ260" i="7"/>
  <c r="AL260" i="7"/>
  <c r="Q261" i="7"/>
  <c r="T260" i="7"/>
  <c r="AE261" i="7"/>
  <c r="AI260" i="7"/>
  <c r="AL261" i="7" l="1"/>
  <c r="AJ261" i="7"/>
  <c r="AK261" i="7"/>
  <c r="AN261" i="7"/>
  <c r="AM261" i="7"/>
  <c r="Q262" i="7"/>
  <c r="T261" i="7"/>
  <c r="AI261" i="7"/>
  <c r="AE262" i="7"/>
  <c r="AK262" i="7" l="1"/>
  <c r="AM262" i="7"/>
  <c r="AL262" i="7"/>
  <c r="AJ262" i="7"/>
  <c r="AN262" i="7"/>
  <c r="AE263" i="7"/>
  <c r="AI262" i="7"/>
  <c r="T262" i="7"/>
  <c r="Q263" i="7"/>
  <c r="AM263" i="7" l="1"/>
  <c r="AK263" i="7"/>
  <c r="AL263" i="7"/>
  <c r="AN263" i="7"/>
  <c r="AJ263" i="7"/>
  <c r="T263" i="7"/>
  <c r="Q264" i="7"/>
  <c r="AI263" i="7"/>
  <c r="AE264" i="7"/>
  <c r="AM264" i="7" l="1"/>
  <c r="AK264" i="7"/>
  <c r="AN264" i="7"/>
  <c r="AL264" i="7"/>
  <c r="AJ264" i="7"/>
  <c r="AE265" i="7"/>
  <c r="AI264" i="7"/>
  <c r="Q265" i="7"/>
  <c r="T264" i="7"/>
  <c r="AM265" i="7" l="1"/>
  <c r="AL265" i="7"/>
  <c r="AJ265" i="7"/>
  <c r="AK265" i="7"/>
  <c r="AN265" i="7"/>
  <c r="Q266" i="7"/>
  <c r="T265" i="7"/>
  <c r="AE266" i="7"/>
  <c r="AI265" i="7"/>
  <c r="AK266" i="7" l="1"/>
  <c r="AM266" i="7"/>
  <c r="AJ266" i="7"/>
  <c r="AL266" i="7"/>
  <c r="AN266" i="7"/>
  <c r="AI266" i="7"/>
  <c r="AE267" i="7"/>
  <c r="T266" i="7"/>
  <c r="Q267" i="7"/>
  <c r="AK267" i="7" l="1"/>
  <c r="AM267" i="7"/>
  <c r="AN267" i="7"/>
  <c r="AL267" i="7"/>
  <c r="AJ267" i="7"/>
  <c r="AI267" i="7"/>
  <c r="AE268" i="7"/>
  <c r="T267" i="7"/>
  <c r="Q268" i="7"/>
  <c r="AL268" i="7" l="1"/>
  <c r="AJ268" i="7"/>
  <c r="AM268" i="7"/>
  <c r="AK268" i="7"/>
  <c r="AN268" i="7"/>
  <c r="Q269" i="7"/>
  <c r="T268" i="7"/>
  <c r="AE269" i="7"/>
  <c r="AI268" i="7"/>
  <c r="AM269" i="7" l="1"/>
  <c r="AK269" i="7"/>
  <c r="AJ269" i="7"/>
  <c r="AL269" i="7"/>
  <c r="AN269" i="7"/>
  <c r="AE270" i="7"/>
  <c r="AI269" i="7"/>
  <c r="T269" i="7"/>
  <c r="Q270" i="7"/>
  <c r="AL270" i="7" l="1"/>
  <c r="AJ270" i="7"/>
  <c r="AN270" i="7"/>
  <c r="AK270" i="7"/>
  <c r="AM270" i="7"/>
  <c r="AI270" i="7"/>
  <c r="AE271" i="7"/>
  <c r="T270" i="7"/>
  <c r="Q271" i="7"/>
  <c r="AM271" i="7" l="1"/>
  <c r="AK271" i="7"/>
  <c r="AL271" i="7"/>
  <c r="AN271" i="7"/>
  <c r="AJ271" i="7"/>
  <c r="Q272" i="7"/>
  <c r="T271" i="7"/>
  <c r="AI271" i="7"/>
  <c r="AE272" i="7"/>
  <c r="AJ272" i="7" l="1"/>
  <c r="AL272" i="7"/>
  <c r="AM272" i="7"/>
  <c r="AN272" i="7"/>
  <c r="AK272" i="7"/>
  <c r="AI272" i="7"/>
  <c r="AE273" i="7"/>
  <c r="T272" i="7"/>
  <c r="Q273" i="7"/>
  <c r="AJ273" i="7" l="1"/>
  <c r="AK273" i="7"/>
  <c r="AL273" i="7"/>
  <c r="AM273" i="7"/>
  <c r="AN273" i="7"/>
  <c r="T273" i="7"/>
  <c r="Q274" i="7"/>
  <c r="AI273" i="7"/>
  <c r="AE274" i="7"/>
  <c r="AK274" i="7" l="1"/>
  <c r="AJ274" i="7"/>
  <c r="AN274" i="7"/>
  <c r="AL274" i="7"/>
  <c r="AM274" i="7"/>
  <c r="AE275" i="7"/>
  <c r="AI274" i="7"/>
  <c r="Q275" i="7"/>
  <c r="T274" i="7"/>
  <c r="AK275" i="7" l="1"/>
  <c r="AJ275" i="7"/>
  <c r="AL275" i="7"/>
  <c r="AN275" i="7"/>
  <c r="AM275" i="7"/>
  <c r="T275" i="7"/>
  <c r="Q276" i="7"/>
  <c r="AE276" i="7"/>
  <c r="AI275" i="7"/>
  <c r="AJ276" i="7" l="1"/>
  <c r="AL276" i="7"/>
  <c r="AK276" i="7"/>
  <c r="AM276" i="7"/>
  <c r="AN276" i="7"/>
  <c r="AE277" i="7"/>
  <c r="AI276" i="7"/>
  <c r="Q277" i="7"/>
  <c r="T276" i="7"/>
  <c r="AN277" i="7" l="1"/>
  <c r="AL277" i="7"/>
  <c r="AM277" i="7"/>
  <c r="AK277" i="7"/>
  <c r="AJ277" i="7"/>
  <c r="AI277" i="7"/>
  <c r="AE278" i="7"/>
  <c r="Q278" i="7"/>
  <c r="T277" i="7"/>
  <c r="AJ278" i="7" l="1"/>
  <c r="AN278" i="7"/>
  <c r="AK278" i="7"/>
  <c r="AL278" i="7"/>
  <c r="AM278" i="7"/>
  <c r="Q279" i="7"/>
  <c r="T278" i="7"/>
  <c r="AE279" i="7"/>
  <c r="AI278" i="7"/>
  <c r="AN279" i="7" l="1"/>
  <c r="AK279" i="7"/>
  <c r="AM279" i="7"/>
  <c r="AJ279" i="7"/>
  <c r="AL279" i="7"/>
  <c r="AI279" i="7"/>
  <c r="AE280" i="7"/>
  <c r="T279" i="7"/>
  <c r="Q280" i="7"/>
  <c r="AL280" i="7" l="1"/>
  <c r="AN280" i="7"/>
  <c r="AJ280" i="7"/>
  <c r="AK280" i="7"/>
  <c r="AM280" i="7"/>
  <c r="Q281" i="7"/>
  <c r="T280" i="7"/>
  <c r="AE281" i="7"/>
  <c r="AI280" i="7"/>
  <c r="AK281" i="7" l="1"/>
  <c r="AL281" i="7"/>
  <c r="AM281" i="7"/>
  <c r="AJ281" i="7"/>
  <c r="AN281" i="7"/>
  <c r="AE282" i="7"/>
  <c r="AI281" i="7"/>
  <c r="Q282" i="7"/>
  <c r="T281" i="7"/>
  <c r="AL282" i="7" l="1"/>
  <c r="AJ282" i="7"/>
  <c r="AN282" i="7"/>
  <c r="AM282" i="7"/>
  <c r="AK282" i="7"/>
  <c r="Q283" i="7"/>
  <c r="T282" i="7"/>
  <c r="AE283" i="7"/>
  <c r="AI282" i="7"/>
  <c r="AJ283" i="7" l="1"/>
  <c r="AM283" i="7"/>
  <c r="AN283" i="7"/>
  <c r="AK283" i="7"/>
  <c r="AL283" i="7"/>
  <c r="AE284" i="7"/>
  <c r="AI283" i="7"/>
  <c r="T283" i="7"/>
  <c r="Q284" i="7"/>
  <c r="AN284" i="7" l="1"/>
  <c r="AJ284" i="7"/>
  <c r="AL284" i="7"/>
  <c r="AM284" i="7"/>
  <c r="AK284" i="7"/>
  <c r="Q285" i="7"/>
  <c r="T284" i="7"/>
  <c r="AE285" i="7"/>
  <c r="AI284" i="7"/>
  <c r="AM285" i="7" l="1"/>
  <c r="AJ285" i="7"/>
  <c r="AN285" i="7"/>
  <c r="AL285" i="7"/>
  <c r="AK285" i="7"/>
  <c r="AE286" i="7"/>
  <c r="AI285" i="7"/>
  <c r="T285" i="7"/>
  <c r="Q286" i="7"/>
  <c r="AJ286" i="7" l="1"/>
  <c r="AN286" i="7"/>
  <c r="AL286" i="7"/>
  <c r="AM286" i="7"/>
  <c r="AK286" i="7"/>
  <c r="T286" i="7"/>
  <c r="Q287" i="7"/>
  <c r="AE287" i="7"/>
  <c r="AI286" i="7"/>
  <c r="AN287" i="7" l="1"/>
  <c r="AJ287" i="7"/>
  <c r="AK287" i="7"/>
  <c r="AM287" i="7"/>
  <c r="AL287" i="7"/>
  <c r="AE288" i="7"/>
  <c r="AI287" i="7"/>
  <c r="Q288" i="7"/>
  <c r="T287" i="7"/>
  <c r="AJ288" i="7" l="1"/>
  <c r="AN288" i="7"/>
  <c r="AL288" i="7"/>
  <c r="AK288" i="7"/>
  <c r="AM288" i="7"/>
  <c r="Q289" i="7"/>
  <c r="T288" i="7"/>
  <c r="AE289" i="7"/>
  <c r="AI288" i="7"/>
  <c r="AL289" i="7" l="1"/>
  <c r="AJ289" i="7"/>
  <c r="AK289" i="7"/>
  <c r="AM289" i="7"/>
  <c r="AN289" i="7"/>
  <c r="AI289" i="7"/>
  <c r="AE290" i="7"/>
  <c r="T289" i="7"/>
  <c r="Q290" i="7"/>
  <c r="AK290" i="7" l="1"/>
  <c r="AM290" i="7"/>
  <c r="AJ290" i="7"/>
  <c r="AL290" i="7"/>
  <c r="AN290" i="7"/>
  <c r="Q291" i="7"/>
  <c r="T290" i="7"/>
  <c r="AI290" i="7"/>
  <c r="AE291" i="7"/>
  <c r="AM291" i="7" l="1"/>
  <c r="AK291" i="7"/>
  <c r="AJ291" i="7"/>
  <c r="AL291" i="7"/>
  <c r="AN291" i="7"/>
  <c r="AE292" i="7"/>
  <c r="AI291" i="7"/>
  <c r="T291" i="7"/>
  <c r="Q292" i="7"/>
  <c r="AM292" i="7" l="1"/>
  <c r="AJ292" i="7"/>
  <c r="AN292" i="7"/>
  <c r="AL292" i="7"/>
  <c r="AK292" i="7"/>
  <c r="Q293" i="7"/>
  <c r="T292" i="7"/>
  <c r="AE293" i="7"/>
  <c r="AI292" i="7"/>
  <c r="AL293" i="7" l="1"/>
  <c r="AM293" i="7"/>
  <c r="AK293" i="7"/>
  <c r="AN293" i="7"/>
  <c r="AJ293" i="7"/>
  <c r="AI293" i="7"/>
  <c r="AE294" i="7"/>
  <c r="Q294" i="7"/>
  <c r="T293" i="7"/>
  <c r="AK294" i="7" l="1"/>
  <c r="AN294" i="7"/>
  <c r="AM294" i="7"/>
  <c r="AL294" i="7"/>
  <c r="AJ294" i="7"/>
  <c r="Q295" i="7"/>
  <c r="T294" i="7"/>
  <c r="AE295" i="7"/>
  <c r="AI294" i="7"/>
  <c r="AN295" i="7" l="1"/>
  <c r="AK295" i="7"/>
  <c r="AM295" i="7"/>
  <c r="AJ295" i="7"/>
  <c r="AL295" i="7"/>
  <c r="AE296" i="7"/>
  <c r="AI295" i="7"/>
  <c r="Q296" i="7"/>
  <c r="T295" i="7"/>
  <c r="AL296" i="7" l="1"/>
  <c r="AJ296" i="7"/>
  <c r="AN296" i="7"/>
  <c r="AM296" i="7"/>
  <c r="AK296" i="7"/>
  <c r="Q297" i="7"/>
  <c r="T296" i="7"/>
  <c r="AE297" i="7"/>
  <c r="AI296" i="7"/>
  <c r="AN297" i="7" l="1"/>
  <c r="AL297" i="7"/>
  <c r="AM297" i="7"/>
  <c r="AJ297" i="7"/>
  <c r="AK297" i="7"/>
  <c r="AE298" i="7"/>
  <c r="AI297" i="7"/>
  <c r="Q298" i="7"/>
  <c r="T297" i="7"/>
  <c r="AK298" i="7" l="1"/>
  <c r="AJ298" i="7"/>
  <c r="AN298" i="7"/>
  <c r="AM298" i="7"/>
  <c r="AL298" i="7"/>
  <c r="Q299" i="7"/>
  <c r="T298" i="7"/>
  <c r="AE299" i="7"/>
  <c r="AI298" i="7"/>
  <c r="AL299" i="7" l="1"/>
  <c r="AM299" i="7"/>
  <c r="AJ299" i="7"/>
  <c r="AK299" i="7"/>
  <c r="AN299" i="7"/>
  <c r="T299" i="7"/>
  <c r="Q300" i="7"/>
  <c r="AE300" i="7"/>
  <c r="AI299" i="7"/>
  <c r="AL300" i="7" l="1"/>
  <c r="AK300" i="7"/>
  <c r="AJ300" i="7"/>
  <c r="AM300" i="7"/>
  <c r="AN300" i="7"/>
  <c r="T300" i="7"/>
  <c r="Q301" i="7"/>
  <c r="AE301" i="7"/>
  <c r="AI300" i="7"/>
  <c r="AK301" i="7" l="1"/>
  <c r="AJ301" i="7"/>
  <c r="AN301" i="7"/>
  <c r="AL301" i="7"/>
  <c r="AM301" i="7"/>
  <c r="AE302" i="7"/>
  <c r="AI301" i="7"/>
  <c r="T301" i="7"/>
  <c r="Q302" i="7"/>
  <c r="AN302" i="7" l="1"/>
  <c r="AL302" i="7"/>
  <c r="AM302" i="7"/>
  <c r="AJ302" i="7"/>
  <c r="AK302" i="7"/>
  <c r="T302" i="7"/>
  <c r="Q303" i="7"/>
  <c r="AE303" i="7"/>
  <c r="AI302" i="7"/>
  <c r="AJ303" i="7" l="1"/>
  <c r="AM303" i="7"/>
  <c r="AK303" i="7"/>
  <c r="AL303" i="7"/>
  <c r="AN303" i="7"/>
  <c r="Q304" i="7"/>
  <c r="T303" i="7"/>
  <c r="AI303" i="7"/>
  <c r="AE304" i="7"/>
  <c r="AM304" i="7" l="1"/>
  <c r="AL304" i="7"/>
  <c r="AK304" i="7"/>
  <c r="AN304" i="7"/>
  <c r="AJ304" i="7"/>
  <c r="AI304" i="7"/>
  <c r="AE305" i="7"/>
  <c r="Q305" i="7"/>
  <c r="T304" i="7"/>
  <c r="AN305" i="7" l="1"/>
  <c r="AJ305" i="7"/>
  <c r="AK305" i="7"/>
  <c r="AM305" i="7"/>
  <c r="AL305" i="7"/>
  <c r="T305" i="7"/>
  <c r="Q306" i="7"/>
  <c r="AE306" i="7"/>
  <c r="AI305" i="7"/>
  <c r="AJ306" i="7" l="1"/>
  <c r="AK306" i="7"/>
  <c r="AM306" i="7"/>
  <c r="AL306" i="7"/>
  <c r="AN306" i="7"/>
  <c r="AI306" i="7"/>
  <c r="AE307" i="7"/>
  <c r="Q307" i="7"/>
  <c r="T306" i="7"/>
  <c r="AM307" i="7" l="1"/>
  <c r="AL307" i="7"/>
  <c r="AN307" i="7"/>
  <c r="AJ307" i="7"/>
  <c r="AK307" i="7"/>
  <c r="T307" i="7"/>
  <c r="Q308" i="7"/>
  <c r="AE308" i="7"/>
  <c r="AI307" i="7"/>
  <c r="AL308" i="7" l="1"/>
  <c r="AN308" i="7"/>
  <c r="AM308" i="7"/>
  <c r="AK308" i="7"/>
  <c r="AJ308" i="7"/>
  <c r="AE309" i="7"/>
  <c r="AI308" i="7"/>
  <c r="Q309" i="7"/>
  <c r="T308" i="7"/>
  <c r="AK309" i="7" l="1"/>
  <c r="AN309" i="7"/>
  <c r="AJ309" i="7"/>
  <c r="AL309" i="7"/>
  <c r="AM309" i="7"/>
  <c r="Q310" i="7"/>
  <c r="T309" i="7"/>
  <c r="AI309" i="7"/>
  <c r="AE310" i="7"/>
  <c r="AL310" i="7" l="1"/>
  <c r="AN310" i="7"/>
  <c r="AK310" i="7"/>
  <c r="AM310" i="7"/>
  <c r="AJ310" i="7"/>
  <c r="AE311" i="7"/>
  <c r="AI310" i="7"/>
  <c r="Q311" i="7"/>
  <c r="T310" i="7"/>
  <c r="AN311" i="7" l="1"/>
  <c r="AJ311" i="7"/>
  <c r="AK311" i="7"/>
  <c r="AM311" i="7"/>
  <c r="AL311" i="7"/>
  <c r="Q312" i="7"/>
  <c r="T311" i="7"/>
  <c r="AE312" i="7"/>
  <c r="AI311" i="7"/>
  <c r="AM312" i="7" l="1"/>
  <c r="AN312" i="7"/>
  <c r="AK312" i="7"/>
  <c r="AJ312" i="7"/>
  <c r="AL312" i="7"/>
  <c r="Q313" i="7"/>
  <c r="T312" i="7"/>
  <c r="AE313" i="7"/>
  <c r="AI312" i="7"/>
  <c r="AJ313" i="7" l="1"/>
  <c r="AM313" i="7"/>
  <c r="AN313" i="7"/>
  <c r="AL313" i="7"/>
  <c r="AK313" i="7"/>
  <c r="AE314" i="7"/>
  <c r="AI313" i="7"/>
  <c r="Q314" i="7"/>
  <c r="T313" i="7"/>
  <c r="AK314" i="7" l="1"/>
  <c r="AN314" i="7"/>
  <c r="AJ314" i="7"/>
  <c r="AL314" i="7"/>
  <c r="AM314" i="7"/>
  <c r="AE315" i="7"/>
  <c r="AI314" i="7"/>
  <c r="Q315" i="7"/>
  <c r="T314" i="7"/>
  <c r="AJ315" i="7" l="1"/>
  <c r="AM315" i="7"/>
  <c r="AK315" i="7"/>
  <c r="AN315" i="7"/>
  <c r="AL315" i="7"/>
  <c r="AE316" i="7"/>
  <c r="AI315" i="7"/>
  <c r="T315" i="7"/>
  <c r="Q316" i="7"/>
  <c r="AK316" i="7" l="1"/>
  <c r="AJ316" i="7"/>
  <c r="AM316" i="7"/>
  <c r="AN316" i="7"/>
  <c r="AL316" i="7"/>
  <c r="T316" i="7"/>
  <c r="Q317" i="7"/>
  <c r="AE317" i="7"/>
  <c r="AI316" i="7"/>
  <c r="AJ317" i="7" l="1"/>
  <c r="AK317" i="7"/>
  <c r="AL317" i="7"/>
  <c r="AN317" i="7"/>
  <c r="AM317" i="7"/>
  <c r="T317" i="7"/>
  <c r="Q318" i="7"/>
  <c r="AE318" i="7"/>
  <c r="AI317" i="7"/>
  <c r="AM318" i="7" l="1"/>
  <c r="AL318" i="7"/>
  <c r="AN318" i="7"/>
  <c r="AK318" i="7"/>
  <c r="AJ318" i="7"/>
  <c r="AE319" i="7"/>
  <c r="AI318" i="7"/>
  <c r="T318" i="7"/>
  <c r="Q319" i="7"/>
  <c r="AM319" i="7" l="1"/>
  <c r="AK319" i="7"/>
  <c r="AL319" i="7"/>
  <c r="AN319" i="7"/>
  <c r="AJ319" i="7"/>
  <c r="AI319" i="7"/>
  <c r="AE320" i="7"/>
  <c r="Q320" i="7"/>
  <c r="T319" i="7"/>
  <c r="AM320" i="7" l="1"/>
  <c r="AL320" i="7"/>
  <c r="AK320" i="7"/>
  <c r="AN320" i="7"/>
  <c r="AJ320" i="7"/>
  <c r="Q321" i="7"/>
  <c r="T320" i="7"/>
  <c r="AE321" i="7"/>
  <c r="AI320" i="7"/>
  <c r="AM321" i="7" l="1"/>
  <c r="AN321" i="7"/>
  <c r="AK321" i="7"/>
  <c r="AL321" i="7"/>
  <c r="AJ321" i="7"/>
  <c r="AE322" i="7"/>
  <c r="AI321" i="7"/>
  <c r="T321" i="7"/>
  <c r="Q322" i="7"/>
  <c r="AM322" i="7" l="1"/>
  <c r="AK322" i="7"/>
  <c r="AL322" i="7"/>
  <c r="AJ322" i="7"/>
  <c r="AN322" i="7"/>
  <c r="Q323" i="7"/>
  <c r="T322" i="7"/>
  <c r="AI322" i="7"/>
  <c r="AE323" i="7"/>
  <c r="AN323" i="7" l="1"/>
  <c r="AJ323" i="7"/>
  <c r="AK323" i="7"/>
  <c r="AL323" i="7"/>
  <c r="AM323" i="7"/>
  <c r="AE324" i="7"/>
  <c r="AI323" i="7"/>
  <c r="T323" i="7"/>
  <c r="Q324" i="7"/>
  <c r="AK324" i="7" l="1"/>
  <c r="AJ324" i="7"/>
  <c r="AM324" i="7"/>
  <c r="AL324" i="7"/>
  <c r="AN324" i="7"/>
  <c r="Q325" i="7"/>
  <c r="T324" i="7"/>
  <c r="AE325" i="7"/>
  <c r="AI324" i="7"/>
  <c r="AL325" i="7" l="1"/>
  <c r="AK325" i="7"/>
  <c r="AJ325" i="7"/>
  <c r="AM325" i="7"/>
  <c r="AN325" i="7"/>
  <c r="AI325" i="7"/>
  <c r="AE326" i="7"/>
  <c r="Q326" i="7"/>
  <c r="T325" i="7"/>
  <c r="AM326" i="7" l="1"/>
  <c r="AJ326" i="7"/>
  <c r="AK326" i="7"/>
  <c r="AN326" i="7"/>
  <c r="AL326" i="7"/>
  <c r="Q327" i="7"/>
  <c r="T326" i="7"/>
  <c r="AE327" i="7"/>
  <c r="AI326" i="7"/>
  <c r="AM327" i="7" l="1"/>
  <c r="AK327" i="7"/>
  <c r="AL327" i="7"/>
  <c r="AJ327" i="7"/>
  <c r="AN327" i="7"/>
  <c r="AE328" i="7"/>
  <c r="AI327" i="7"/>
  <c r="Q328" i="7"/>
  <c r="T327" i="7"/>
  <c r="AN328" i="7" l="1"/>
  <c r="AL328" i="7"/>
  <c r="AM328" i="7"/>
  <c r="AJ328" i="7"/>
  <c r="AK328" i="7"/>
  <c r="Q329" i="7"/>
  <c r="T328" i="7"/>
  <c r="AE329" i="7"/>
  <c r="AI328" i="7"/>
  <c r="AM329" i="7" l="1"/>
  <c r="AJ329" i="7"/>
  <c r="AN329" i="7"/>
  <c r="AL329" i="7"/>
  <c r="AK329" i="7"/>
  <c r="AE330" i="7"/>
  <c r="AI329" i="7"/>
  <c r="Q330" i="7"/>
  <c r="T329" i="7"/>
  <c r="AN330" i="7" l="1"/>
  <c r="AJ330" i="7"/>
  <c r="AK330" i="7"/>
  <c r="AM330" i="7"/>
  <c r="AL330" i="7"/>
  <c r="AE331" i="7"/>
  <c r="AI330" i="7"/>
  <c r="Q331" i="7"/>
  <c r="T330" i="7"/>
  <c r="AL331" i="7" l="1"/>
  <c r="AN331" i="7"/>
  <c r="AJ331" i="7"/>
  <c r="AK331" i="7"/>
  <c r="AM331" i="7"/>
  <c r="T331" i="7"/>
  <c r="Q332" i="7"/>
  <c r="AE332" i="7"/>
  <c r="AI331" i="7"/>
  <c r="AM332" i="7" l="1"/>
  <c r="AL332" i="7"/>
  <c r="AK332" i="7"/>
  <c r="AN332" i="7"/>
  <c r="AJ332" i="7"/>
  <c r="AE333" i="7"/>
  <c r="AI332" i="7"/>
  <c r="T332" i="7"/>
  <c r="Q333" i="7"/>
  <c r="AK333" i="7" l="1"/>
  <c r="AJ333" i="7"/>
  <c r="AL333" i="7"/>
  <c r="AN333" i="7"/>
  <c r="AM333" i="7"/>
  <c r="T333" i="7"/>
  <c r="Q334" i="7"/>
  <c r="AE334" i="7"/>
  <c r="AI333" i="7"/>
  <c r="AM334" i="7" l="1"/>
  <c r="AK334" i="7"/>
  <c r="AN334" i="7"/>
  <c r="AL334" i="7"/>
  <c r="AJ334" i="7"/>
  <c r="AE335" i="7"/>
  <c r="AI334" i="7"/>
  <c r="T334" i="7"/>
  <c r="Q335" i="7"/>
  <c r="AK335" i="7" l="1"/>
  <c r="AJ335" i="7"/>
  <c r="AL335" i="7"/>
  <c r="AN335" i="7"/>
  <c r="AM335" i="7"/>
  <c r="Q336" i="7"/>
  <c r="T335" i="7"/>
  <c r="AI335" i="7"/>
  <c r="AE336" i="7"/>
  <c r="AJ336" i="7" l="1"/>
  <c r="AN336" i="7"/>
  <c r="AK336" i="7"/>
  <c r="AM336" i="7"/>
  <c r="AL336" i="7"/>
  <c r="AE337" i="7"/>
  <c r="AI336" i="7"/>
  <c r="Q337" i="7"/>
  <c r="T336" i="7"/>
  <c r="AJ337" i="7" l="1"/>
  <c r="AL337" i="7"/>
  <c r="AK337" i="7"/>
  <c r="AM337" i="7"/>
  <c r="AN337" i="7"/>
  <c r="T337" i="7"/>
  <c r="Q338" i="7"/>
  <c r="AE338" i="7"/>
  <c r="AI337" i="7"/>
  <c r="AN338" i="7" l="1"/>
  <c r="AJ338" i="7"/>
  <c r="AK338" i="7"/>
  <c r="AM338" i="7"/>
  <c r="AL338" i="7"/>
  <c r="AI338" i="7"/>
  <c r="AE339" i="7"/>
  <c r="Q339" i="7"/>
  <c r="T338" i="7"/>
  <c r="AK339" i="7" l="1"/>
  <c r="AM339" i="7"/>
  <c r="AN339" i="7"/>
  <c r="AL339" i="7"/>
  <c r="AJ339" i="7"/>
  <c r="AE340" i="7"/>
  <c r="AI339" i="7"/>
  <c r="T339" i="7"/>
  <c r="Q340" i="7"/>
  <c r="AN340" i="7" l="1"/>
  <c r="AJ340" i="7"/>
  <c r="AL340" i="7"/>
  <c r="AM340" i="7"/>
  <c r="AK340" i="7"/>
  <c r="Q341" i="7"/>
  <c r="T340" i="7"/>
  <c r="AE341" i="7"/>
  <c r="AI340" i="7"/>
  <c r="AJ341" i="7" l="1"/>
  <c r="AN341" i="7"/>
  <c r="AK341" i="7"/>
  <c r="AL341" i="7"/>
  <c r="AM341" i="7"/>
  <c r="AI341" i="7"/>
  <c r="AE342" i="7"/>
  <c r="Q342" i="7"/>
  <c r="T341" i="7"/>
  <c r="AN342" i="7" l="1"/>
  <c r="AK342" i="7"/>
  <c r="AL342" i="7"/>
  <c r="AM342" i="7"/>
  <c r="AJ342" i="7"/>
  <c r="AE343" i="7"/>
  <c r="AI342" i="7"/>
  <c r="Q343" i="7"/>
  <c r="T342" i="7"/>
  <c r="AN343" i="7" l="1"/>
  <c r="AL343" i="7"/>
  <c r="AJ343" i="7"/>
  <c r="AK343" i="7"/>
  <c r="AM343" i="7"/>
  <c r="Q344" i="7"/>
  <c r="T343" i="7"/>
  <c r="AE344" i="7"/>
  <c r="AI343" i="7"/>
  <c r="AL344" i="7" l="1"/>
  <c r="AM344" i="7"/>
  <c r="AJ344" i="7"/>
  <c r="AN344" i="7"/>
  <c r="AK344" i="7"/>
  <c r="AE345" i="7"/>
  <c r="AI344" i="7"/>
  <c r="Q345" i="7"/>
  <c r="T344" i="7"/>
  <c r="AK345" i="7" l="1"/>
  <c r="AL345" i="7"/>
  <c r="AN345" i="7"/>
  <c r="AM345" i="7"/>
  <c r="AJ345" i="7"/>
  <c r="Q346" i="7"/>
  <c r="T345" i="7"/>
  <c r="AE346" i="7"/>
  <c r="AI345" i="7"/>
  <c r="AK346" i="7" l="1"/>
  <c r="AL346" i="7"/>
  <c r="AM346" i="7"/>
  <c r="AN346" i="7"/>
  <c r="AJ346" i="7"/>
  <c r="AE347" i="7"/>
  <c r="AI346" i="7"/>
  <c r="Q347" i="7"/>
  <c r="T346" i="7"/>
  <c r="AN347" i="7" l="1"/>
  <c r="AJ347" i="7"/>
  <c r="AL347" i="7"/>
  <c r="AK347" i="7"/>
  <c r="AM347" i="7"/>
  <c r="T347" i="7"/>
  <c r="Q348" i="7"/>
  <c r="AE348" i="7"/>
  <c r="AI347" i="7"/>
  <c r="AK348" i="7" l="1"/>
  <c r="AM348" i="7"/>
  <c r="AL348" i="7"/>
  <c r="AN348" i="7"/>
  <c r="AJ348" i="7"/>
  <c r="AE349" i="7"/>
  <c r="AI348" i="7"/>
  <c r="T348" i="7"/>
  <c r="Q349" i="7"/>
  <c r="AJ349" i="7" l="1"/>
  <c r="AK349" i="7"/>
  <c r="AL349" i="7"/>
  <c r="AM349" i="7"/>
  <c r="AN349" i="7"/>
  <c r="Q350" i="7"/>
  <c r="T349" i="7"/>
  <c r="AE350" i="7"/>
  <c r="AI349" i="7"/>
  <c r="AM350" i="7" l="1"/>
  <c r="AN350" i="7"/>
  <c r="AJ350" i="7"/>
  <c r="AL350" i="7"/>
  <c r="AK350" i="7"/>
  <c r="AE351" i="7"/>
  <c r="AI350" i="7"/>
  <c r="Q351" i="7"/>
  <c r="T350" i="7"/>
  <c r="AK351" i="7" l="1"/>
  <c r="AJ351" i="7"/>
  <c r="AL351" i="7"/>
  <c r="AN351" i="7"/>
  <c r="AM351" i="7"/>
  <c r="Q352" i="7"/>
  <c r="T351" i="7"/>
  <c r="AI351" i="7"/>
  <c r="AE352" i="7"/>
  <c r="AL352" i="7" l="1"/>
  <c r="AK352" i="7"/>
  <c r="AN352" i="7"/>
  <c r="AM352" i="7"/>
  <c r="AJ352" i="7"/>
  <c r="AE353" i="7"/>
  <c r="AI352" i="7"/>
  <c r="Q353" i="7"/>
  <c r="T352" i="7"/>
  <c r="AK353" i="7" l="1"/>
  <c r="AL353" i="7"/>
  <c r="AM353" i="7"/>
  <c r="AN353" i="7"/>
  <c r="AJ353" i="7"/>
  <c r="T353" i="7"/>
  <c r="Q354" i="7"/>
  <c r="AE354" i="7"/>
  <c r="AI353" i="7"/>
  <c r="AJ354" i="7" l="1"/>
  <c r="AM354" i="7"/>
  <c r="AL354" i="7"/>
  <c r="AK354" i="7"/>
  <c r="AN354" i="7"/>
  <c r="AE355" i="7"/>
  <c r="AI354" i="7"/>
  <c r="Q355" i="7"/>
  <c r="T354" i="7"/>
  <c r="AK355" i="7" l="1"/>
  <c r="AN355" i="7"/>
  <c r="AL355" i="7"/>
  <c r="AJ355" i="7"/>
  <c r="AM355" i="7"/>
  <c r="AE356" i="7"/>
  <c r="AI355" i="7"/>
  <c r="T355" i="7"/>
  <c r="Q356" i="7"/>
  <c r="AM356" i="7" l="1"/>
  <c r="AJ356" i="7"/>
  <c r="AN356" i="7"/>
  <c r="AK356" i="7"/>
  <c r="AL356" i="7"/>
  <c r="Q357" i="7"/>
  <c r="T356" i="7"/>
  <c r="AE357" i="7"/>
  <c r="AI356" i="7"/>
  <c r="AM357" i="7" l="1"/>
  <c r="AN357" i="7"/>
  <c r="AJ357" i="7"/>
  <c r="AK357" i="7"/>
  <c r="AL357" i="7"/>
  <c r="AE358" i="7"/>
  <c r="AI357" i="7"/>
  <c r="Q358" i="7"/>
  <c r="T357" i="7"/>
  <c r="AL358" i="7" l="1"/>
  <c r="AJ358" i="7"/>
  <c r="AK358" i="7"/>
  <c r="AN358" i="7"/>
  <c r="AM358" i="7"/>
  <c r="Q359" i="7"/>
  <c r="T358" i="7"/>
  <c r="AE359" i="7"/>
  <c r="AI358" i="7"/>
  <c r="AL359" i="7" l="1"/>
  <c r="AM359" i="7"/>
  <c r="AJ359" i="7"/>
  <c r="AK359" i="7"/>
  <c r="AN359" i="7"/>
  <c r="AI359" i="7"/>
  <c r="AE360" i="7"/>
  <c r="Q360" i="7"/>
  <c r="T359" i="7"/>
  <c r="AM360" i="7" l="1"/>
  <c r="AK360" i="7"/>
  <c r="AL360" i="7"/>
  <c r="AN360" i="7"/>
  <c r="AJ360" i="7"/>
  <c r="AE361" i="7"/>
  <c r="AI360" i="7"/>
  <c r="Q361" i="7"/>
  <c r="T360" i="7"/>
  <c r="AN361" i="7" l="1"/>
  <c r="AJ361" i="7"/>
  <c r="AL361" i="7"/>
  <c r="AM361" i="7"/>
  <c r="AK361" i="7"/>
  <c r="AE362" i="7"/>
  <c r="AI361" i="7"/>
  <c r="Q362" i="7"/>
  <c r="T361" i="7"/>
  <c r="AN362" i="7" l="1"/>
  <c r="AM362" i="7"/>
  <c r="AJ362" i="7"/>
  <c r="AL362" i="7"/>
  <c r="AK362" i="7"/>
  <c r="Q363" i="7"/>
  <c r="T362" i="7"/>
  <c r="AE363" i="7"/>
  <c r="AI362" i="7"/>
  <c r="AL363" i="7" l="1"/>
  <c r="AM363" i="7"/>
  <c r="AN363" i="7"/>
  <c r="AK363" i="7"/>
  <c r="AJ363" i="7"/>
  <c r="T363" i="7"/>
  <c r="Q364" i="7"/>
  <c r="AE364" i="7"/>
  <c r="AI363" i="7"/>
  <c r="AJ364" i="7" l="1"/>
  <c r="AK364" i="7"/>
  <c r="AN364" i="7"/>
  <c r="AM364" i="7"/>
  <c r="AL364" i="7"/>
  <c r="AE365" i="7"/>
  <c r="AI364" i="7"/>
  <c r="Q365" i="7"/>
  <c r="T364" i="7"/>
  <c r="AN365" i="7" l="1"/>
  <c r="AJ365" i="7"/>
  <c r="AM365" i="7"/>
  <c r="AK365" i="7"/>
  <c r="AL365" i="7"/>
  <c r="Q366" i="7"/>
  <c r="T365" i="7"/>
  <c r="AE366" i="7"/>
  <c r="AI365" i="7"/>
  <c r="AJ366" i="7" l="1"/>
  <c r="AL366" i="7"/>
  <c r="AM366" i="7"/>
  <c r="AK366" i="7"/>
  <c r="AN366" i="7"/>
  <c r="Q367" i="7"/>
  <c r="T366" i="7"/>
  <c r="AE367" i="7"/>
  <c r="AI366" i="7"/>
  <c r="AJ367" i="7" l="1"/>
  <c r="AK367" i="7"/>
  <c r="AL367" i="7"/>
  <c r="AN367" i="7"/>
  <c r="AM367" i="7"/>
  <c r="AE368" i="7"/>
  <c r="AI367" i="7"/>
  <c r="Q368" i="7"/>
  <c r="T367" i="7"/>
  <c r="AM368" i="7" l="1"/>
  <c r="AL368" i="7"/>
  <c r="AN368" i="7"/>
  <c r="AK368" i="7"/>
  <c r="AJ368" i="7"/>
  <c r="Q369" i="7"/>
  <c r="T368" i="7"/>
  <c r="AE369" i="7"/>
  <c r="AI368" i="7"/>
  <c r="AN369" i="7" l="1"/>
  <c r="AL369" i="7"/>
  <c r="AJ369" i="7"/>
  <c r="AK369" i="7"/>
  <c r="AM369" i="7"/>
  <c r="AE370" i="7"/>
  <c r="AI369" i="7"/>
  <c r="T369" i="7"/>
  <c r="Q370" i="7"/>
  <c r="AN370" i="7" l="1"/>
  <c r="AK370" i="7"/>
  <c r="AM370" i="7"/>
  <c r="AL370" i="7"/>
  <c r="AJ370" i="7"/>
  <c r="Q371" i="7"/>
  <c r="T370" i="7"/>
  <c r="AE371" i="7"/>
  <c r="AI370" i="7"/>
  <c r="AM371" i="7" l="1"/>
  <c r="AL371" i="7"/>
  <c r="AN371" i="7"/>
  <c r="AJ371" i="7"/>
  <c r="AK371" i="7"/>
  <c r="AE372" i="7"/>
  <c r="AI371" i="7"/>
  <c r="T371" i="7"/>
  <c r="Q372" i="7"/>
  <c r="AJ372" i="7" l="1"/>
  <c r="AM372" i="7"/>
  <c r="AL372" i="7"/>
  <c r="AN372" i="7"/>
  <c r="AK372" i="7"/>
  <c r="Q373" i="7"/>
  <c r="T372" i="7"/>
  <c r="AE373" i="7"/>
  <c r="AI372" i="7"/>
  <c r="AL373" i="7" l="1"/>
  <c r="AK373" i="7"/>
  <c r="AM373" i="7"/>
  <c r="AN373" i="7"/>
  <c r="AJ373" i="7"/>
  <c r="AE374" i="7"/>
  <c r="AI373" i="7"/>
  <c r="Q374" i="7"/>
  <c r="T373" i="7"/>
  <c r="AL374" i="7" l="1"/>
  <c r="AK374" i="7"/>
  <c r="AN374" i="7"/>
  <c r="AM374" i="7"/>
  <c r="AJ374" i="7"/>
  <c r="Q375" i="7"/>
  <c r="T374" i="7"/>
  <c r="AE375" i="7"/>
  <c r="AI374" i="7"/>
  <c r="AN375" i="7" l="1"/>
  <c r="AL375" i="7"/>
  <c r="AJ375" i="7"/>
  <c r="AK375" i="7"/>
  <c r="AM375" i="7"/>
  <c r="AE376" i="7"/>
  <c r="AI375" i="7"/>
  <c r="Q376" i="7"/>
  <c r="T375" i="7"/>
  <c r="AN376" i="7" l="1"/>
  <c r="AK376" i="7"/>
  <c r="AJ376" i="7"/>
  <c r="AL376" i="7"/>
  <c r="AM376" i="7"/>
  <c r="Q377" i="7"/>
  <c r="T376" i="7"/>
  <c r="AE377" i="7"/>
  <c r="AI376" i="7"/>
  <c r="AM377" i="7" l="1"/>
  <c r="AJ377" i="7"/>
  <c r="AK377" i="7"/>
  <c r="AL377" i="7"/>
  <c r="AN377" i="7"/>
  <c r="AE378" i="7"/>
  <c r="AI377" i="7"/>
  <c r="Q378" i="7"/>
  <c r="T377" i="7"/>
  <c r="AM378" i="7" l="1"/>
  <c r="AK378" i="7"/>
  <c r="AJ378" i="7"/>
  <c r="AL378" i="7"/>
  <c r="AN378" i="7"/>
  <c r="Q379" i="7"/>
  <c r="T378" i="7"/>
  <c r="AE379" i="7"/>
  <c r="AI378" i="7"/>
  <c r="AM379" i="7" l="1"/>
  <c r="AK379" i="7"/>
  <c r="AJ379" i="7"/>
  <c r="AN379" i="7"/>
  <c r="AL379" i="7"/>
  <c r="AE380" i="7"/>
  <c r="AI379" i="7"/>
  <c r="T379" i="7"/>
  <c r="Q380" i="7"/>
  <c r="AK380" i="7" l="1"/>
  <c r="AM380" i="7"/>
  <c r="AL380" i="7"/>
  <c r="AN380" i="7"/>
  <c r="AJ380" i="7"/>
  <c r="Q381" i="7"/>
  <c r="T380" i="7"/>
  <c r="AE381" i="7"/>
  <c r="AI380" i="7"/>
  <c r="AM381" i="7" l="1"/>
  <c r="AN381" i="7"/>
  <c r="AL381" i="7"/>
  <c r="AK381" i="7"/>
  <c r="AJ381" i="7"/>
  <c r="AE382" i="7"/>
  <c r="AI381" i="7"/>
  <c r="Q382" i="7"/>
  <c r="T381" i="7"/>
  <c r="AL382" i="7" l="1"/>
  <c r="AJ382" i="7"/>
  <c r="AK382" i="7"/>
  <c r="AM382" i="7"/>
  <c r="AN382" i="7"/>
  <c r="Q383" i="7"/>
  <c r="T382" i="7"/>
  <c r="AE383" i="7"/>
  <c r="AI382" i="7"/>
  <c r="AK383" i="7" l="1"/>
  <c r="AJ383" i="7"/>
  <c r="AL383" i="7"/>
  <c r="AM383" i="7"/>
  <c r="AN383" i="7"/>
  <c r="AI383" i="7"/>
  <c r="AE384" i="7"/>
  <c r="Q384" i="7"/>
  <c r="T383" i="7"/>
  <c r="AM384" i="7" l="1"/>
  <c r="AL384" i="7"/>
  <c r="AJ384" i="7"/>
  <c r="AK384" i="7"/>
  <c r="AN384" i="7"/>
  <c r="Q385" i="7"/>
  <c r="T384" i="7"/>
  <c r="AE385" i="7"/>
  <c r="AI384" i="7"/>
  <c r="AK385" i="7" l="1"/>
  <c r="AM385" i="7"/>
  <c r="AN385" i="7"/>
  <c r="AL385" i="7"/>
  <c r="AJ385" i="7"/>
  <c r="AE386" i="7"/>
  <c r="AI385" i="7"/>
  <c r="T385" i="7"/>
  <c r="Q386" i="7"/>
  <c r="AJ386" i="7" l="1"/>
  <c r="AM386" i="7"/>
  <c r="AN386" i="7"/>
  <c r="AK386" i="7"/>
  <c r="AL386" i="7"/>
  <c r="Q387" i="7"/>
  <c r="T386" i="7"/>
  <c r="AE387" i="7"/>
  <c r="AI386" i="7"/>
  <c r="AK387" i="7" l="1"/>
  <c r="AN387" i="7"/>
  <c r="AL387" i="7"/>
  <c r="AJ387" i="7"/>
  <c r="AM387" i="7"/>
  <c r="AE388" i="7"/>
  <c r="AI387" i="7"/>
  <c r="T387" i="7"/>
  <c r="Q388" i="7"/>
  <c r="AL388" i="7" l="1"/>
  <c r="AM388" i="7"/>
  <c r="AJ388" i="7"/>
  <c r="AK388" i="7"/>
  <c r="AN388" i="7"/>
  <c r="AE389" i="7"/>
  <c r="AI388" i="7"/>
  <c r="Q389" i="7"/>
  <c r="T388" i="7"/>
  <c r="AL389" i="7" l="1"/>
  <c r="AJ389" i="7"/>
  <c r="AK389" i="7"/>
  <c r="AN389" i="7"/>
  <c r="AM389" i="7"/>
  <c r="AI389" i="7"/>
  <c r="AE390" i="7"/>
  <c r="Q390" i="7"/>
  <c r="T389" i="7"/>
  <c r="AM390" i="7" l="1"/>
  <c r="AK390" i="7"/>
  <c r="AJ390" i="7"/>
  <c r="AN390" i="7"/>
  <c r="AL390" i="7"/>
  <c r="Q391" i="7"/>
  <c r="T390" i="7"/>
  <c r="AE391" i="7"/>
  <c r="AI390" i="7"/>
  <c r="AJ391" i="7" l="1"/>
  <c r="AK391" i="7"/>
  <c r="AN391" i="7"/>
  <c r="AL391" i="7"/>
  <c r="AM391" i="7"/>
  <c r="AE392" i="7"/>
  <c r="AI391" i="7"/>
  <c r="Q392" i="7"/>
  <c r="T391" i="7"/>
  <c r="AJ392" i="7" l="1"/>
  <c r="AK392" i="7"/>
  <c r="AN392" i="7"/>
  <c r="AM392" i="7"/>
  <c r="AL392" i="7"/>
  <c r="Q393" i="7"/>
  <c r="T392" i="7"/>
  <c r="AE393" i="7"/>
  <c r="AI392" i="7"/>
  <c r="AN393" i="7" l="1"/>
  <c r="AM393" i="7"/>
  <c r="AL393" i="7"/>
  <c r="AK393" i="7"/>
  <c r="AJ393" i="7"/>
  <c r="AE394" i="7"/>
  <c r="AI393" i="7"/>
  <c r="Q394" i="7"/>
  <c r="T393" i="7"/>
  <c r="AK394" i="7" l="1"/>
  <c r="AJ394" i="7"/>
  <c r="AN394" i="7"/>
  <c r="AM394" i="7"/>
  <c r="AL394" i="7"/>
  <c r="Q395" i="7"/>
  <c r="T394" i="7"/>
  <c r="AE395" i="7"/>
  <c r="AI394" i="7"/>
  <c r="AM395" i="7" l="1"/>
  <c r="AL395" i="7"/>
  <c r="AN395" i="7"/>
  <c r="AK395" i="7"/>
  <c r="AJ395" i="7"/>
  <c r="AE396" i="7"/>
  <c r="AI395" i="7"/>
  <c r="T395" i="7"/>
  <c r="Q396" i="7"/>
  <c r="AK396" i="7" l="1"/>
  <c r="AN396" i="7"/>
  <c r="AJ396" i="7"/>
  <c r="AL396" i="7"/>
  <c r="AM396" i="7"/>
  <c r="Q397" i="7"/>
  <c r="T396" i="7"/>
  <c r="AE397" i="7"/>
  <c r="AI396" i="7"/>
  <c r="AN397" i="7" l="1"/>
  <c r="AJ397" i="7"/>
  <c r="AK397" i="7"/>
  <c r="AL397" i="7"/>
  <c r="AM397" i="7"/>
  <c r="AE398" i="7"/>
  <c r="AI397" i="7"/>
  <c r="Q398" i="7"/>
  <c r="T397" i="7"/>
  <c r="AM398" i="7" l="1"/>
  <c r="AL398" i="7"/>
  <c r="AJ398" i="7"/>
  <c r="AK398" i="7"/>
  <c r="AN398" i="7"/>
  <c r="AE399" i="7"/>
  <c r="AI398" i="7"/>
  <c r="Q399" i="7"/>
  <c r="T398" i="7"/>
  <c r="AL399" i="7" l="1"/>
  <c r="AM399" i="7"/>
  <c r="AN399" i="7"/>
  <c r="AJ399" i="7"/>
  <c r="AK399" i="7"/>
  <c r="Q400" i="7"/>
  <c r="T399" i="7"/>
  <c r="AE400" i="7"/>
  <c r="AI399" i="7"/>
  <c r="AN400" i="7" l="1"/>
  <c r="AJ400" i="7"/>
  <c r="AM400" i="7"/>
  <c r="AK400" i="7"/>
  <c r="AL400" i="7"/>
  <c r="AE401" i="7"/>
  <c r="AI400" i="7"/>
  <c r="Q401" i="7"/>
  <c r="T400" i="7"/>
  <c r="AK401" i="7" l="1"/>
  <c r="AM401" i="7"/>
  <c r="AN401" i="7"/>
  <c r="AL401" i="7"/>
  <c r="AJ401" i="7"/>
  <c r="T401" i="7"/>
  <c r="Q402" i="7"/>
  <c r="AE402" i="7"/>
  <c r="AI401" i="7"/>
  <c r="AL402" i="7" l="1"/>
  <c r="AM402" i="7"/>
  <c r="AK402" i="7"/>
  <c r="AJ402" i="7"/>
  <c r="AN402" i="7"/>
  <c r="AE403" i="7"/>
  <c r="AI402" i="7"/>
  <c r="Q403" i="7"/>
  <c r="T402" i="7"/>
  <c r="AL403" i="7" l="1"/>
  <c r="AN403" i="7"/>
  <c r="AM403" i="7"/>
  <c r="AJ403" i="7"/>
  <c r="AK403" i="7"/>
  <c r="T403" i="7"/>
  <c r="Q404" i="7"/>
  <c r="AE404" i="7"/>
  <c r="AI403" i="7"/>
  <c r="AM404" i="7" l="1"/>
  <c r="AL404" i="7"/>
  <c r="AN404" i="7"/>
  <c r="AK404" i="7"/>
  <c r="AJ404" i="7"/>
  <c r="AE405" i="7"/>
  <c r="AI404" i="7"/>
  <c r="Q405" i="7"/>
  <c r="T404" i="7"/>
  <c r="AL405" i="7" l="1"/>
  <c r="AK405" i="7"/>
  <c r="AN405" i="7"/>
  <c r="AM405" i="7"/>
  <c r="AJ405" i="7"/>
  <c r="Q406" i="7"/>
  <c r="T405" i="7"/>
  <c r="AE406" i="7"/>
  <c r="AI405" i="7"/>
  <c r="AM406" i="7" l="1"/>
  <c r="AL406" i="7"/>
  <c r="AN406" i="7"/>
  <c r="AJ406" i="7"/>
  <c r="AK406" i="7"/>
  <c r="AE407" i="7"/>
  <c r="AI406" i="7"/>
  <c r="Q407" i="7"/>
  <c r="T406" i="7"/>
  <c r="AK407" i="7" l="1"/>
  <c r="AJ407" i="7"/>
  <c r="AL407" i="7"/>
  <c r="AN407" i="7"/>
  <c r="AM407" i="7"/>
  <c r="Q408" i="7"/>
  <c r="T407" i="7"/>
  <c r="AI407" i="7"/>
  <c r="AE408" i="7"/>
  <c r="AN408" i="7" l="1"/>
  <c r="AM408" i="7"/>
  <c r="AK408" i="7"/>
  <c r="AL408" i="7"/>
  <c r="AJ408" i="7"/>
  <c r="AI408" i="7"/>
  <c r="AE409" i="7"/>
  <c r="Q409" i="7"/>
  <c r="T408" i="7"/>
  <c r="AM409" i="7" l="1"/>
  <c r="AL409" i="7"/>
  <c r="AN409" i="7"/>
  <c r="AJ409" i="7"/>
  <c r="AK409" i="7"/>
  <c r="T409" i="7"/>
  <c r="Q410" i="7"/>
  <c r="AI409" i="7"/>
  <c r="AE410" i="7"/>
  <c r="AM410" i="7" l="1"/>
  <c r="AL410" i="7"/>
  <c r="AJ410" i="7"/>
  <c r="AN410" i="7"/>
  <c r="AK410" i="7"/>
  <c r="Q411" i="7"/>
  <c r="T410" i="7"/>
  <c r="AE411" i="7"/>
  <c r="AI410" i="7"/>
  <c r="AL411" i="7" l="1"/>
  <c r="AJ411" i="7"/>
  <c r="AN411" i="7"/>
  <c r="AK411" i="7"/>
  <c r="AM411" i="7"/>
  <c r="AI411" i="7"/>
  <c r="AE412" i="7"/>
  <c r="Q412" i="7"/>
  <c r="T411" i="7"/>
  <c r="AM412" i="7" l="1"/>
  <c r="AL412" i="7"/>
  <c r="AJ412" i="7"/>
  <c r="AN412" i="7"/>
  <c r="AK412" i="7"/>
  <c r="Q413" i="7"/>
  <c r="T412" i="7"/>
  <c r="AI412" i="7"/>
  <c r="AE413" i="7"/>
  <c r="AJ413" i="7" l="1"/>
  <c r="AN413" i="7"/>
  <c r="AM413" i="7"/>
  <c r="AL413" i="7"/>
  <c r="AK413" i="7"/>
  <c r="AE414" i="7"/>
  <c r="AI413" i="7"/>
  <c r="T413" i="7"/>
  <c r="Q414" i="7"/>
  <c r="AJ414" i="7" l="1"/>
  <c r="AL414" i="7"/>
  <c r="AM414" i="7"/>
  <c r="AN414" i="7"/>
  <c r="AK414" i="7"/>
  <c r="Q415" i="7"/>
  <c r="T414" i="7"/>
  <c r="AI414" i="7"/>
  <c r="AE415" i="7"/>
  <c r="AN415" i="7" l="1"/>
  <c r="AK415" i="7"/>
  <c r="AJ415" i="7"/>
  <c r="AM415" i="7"/>
  <c r="AL415" i="7"/>
  <c r="AE416" i="7"/>
  <c r="AI415" i="7"/>
  <c r="T415" i="7"/>
  <c r="Q416" i="7"/>
  <c r="AK416" i="7" l="1"/>
  <c r="AL416" i="7"/>
  <c r="AN416" i="7"/>
  <c r="AM416" i="7"/>
  <c r="AJ416" i="7"/>
  <c r="AI416" i="7"/>
  <c r="AE417" i="7"/>
  <c r="Q417" i="7"/>
  <c r="T416" i="7"/>
  <c r="AJ417" i="7" l="1"/>
  <c r="AL417" i="7"/>
  <c r="AK417" i="7"/>
  <c r="AN417" i="7"/>
  <c r="AM417" i="7"/>
  <c r="T417" i="7"/>
  <c r="Q418" i="7"/>
  <c r="AI417" i="7"/>
  <c r="AE418" i="7"/>
  <c r="AL418" i="7" l="1"/>
  <c r="AK418" i="7"/>
  <c r="AM418" i="7"/>
  <c r="AJ418" i="7"/>
  <c r="AN418" i="7"/>
  <c r="AE419" i="7"/>
  <c r="AI418" i="7"/>
  <c r="T418" i="7"/>
  <c r="Q419" i="7"/>
  <c r="AN419" i="7" l="1"/>
  <c r="AL419" i="7"/>
  <c r="AM419" i="7"/>
  <c r="AJ419" i="7"/>
  <c r="AK419" i="7"/>
  <c r="T419" i="7"/>
  <c r="Q420" i="7"/>
  <c r="AE420" i="7"/>
  <c r="AI419" i="7"/>
  <c r="AN420" i="7" l="1"/>
  <c r="AJ420" i="7"/>
  <c r="AL420" i="7"/>
  <c r="AK420" i="7"/>
  <c r="AM420" i="7"/>
  <c r="AE421" i="7"/>
  <c r="AI420" i="7"/>
  <c r="T420" i="7"/>
  <c r="Q421" i="7"/>
  <c r="AK421" i="7" l="1"/>
  <c r="AN421" i="7"/>
  <c r="AM421" i="7"/>
  <c r="AL421" i="7"/>
  <c r="AJ421" i="7"/>
  <c r="AI421" i="7"/>
  <c r="AE422" i="7"/>
  <c r="T421" i="7"/>
  <c r="Q422" i="7"/>
  <c r="AM422" i="7" l="1"/>
  <c r="AL422" i="7"/>
  <c r="AN422" i="7"/>
  <c r="AK422" i="7"/>
  <c r="AJ422" i="7"/>
  <c r="AI422" i="7"/>
  <c r="AE423" i="7"/>
  <c r="T422" i="7"/>
  <c r="Q423" i="7"/>
  <c r="AJ423" i="7" l="1"/>
  <c r="AN423" i="7"/>
  <c r="AL423" i="7"/>
  <c r="AK423" i="7"/>
  <c r="AM423" i="7"/>
  <c r="T423" i="7"/>
  <c r="Q424" i="7"/>
  <c r="AE424" i="7"/>
  <c r="AI423" i="7"/>
  <c r="AN424" i="7" l="1"/>
  <c r="AJ424" i="7"/>
  <c r="AK424" i="7"/>
  <c r="AL424" i="7"/>
  <c r="AM424" i="7"/>
  <c r="AI424" i="7"/>
  <c r="AE425" i="7"/>
  <c r="Q425" i="7"/>
  <c r="T424" i="7"/>
  <c r="AK425" i="7" l="1"/>
  <c r="AJ425" i="7"/>
  <c r="AN425" i="7"/>
  <c r="AL425" i="7"/>
  <c r="AM425" i="7"/>
  <c r="Q426" i="7"/>
  <c r="T425" i="7"/>
  <c r="AI425" i="7"/>
  <c r="AE426" i="7"/>
  <c r="AK426" i="7" l="1"/>
  <c r="AJ426" i="7"/>
  <c r="AM426" i="7"/>
  <c r="AL426" i="7"/>
  <c r="AN426" i="7"/>
  <c r="AI426" i="7"/>
  <c r="AE427" i="7"/>
  <c r="Q427" i="7"/>
  <c r="T426" i="7"/>
  <c r="AN427" i="7" l="1"/>
  <c r="AM427" i="7"/>
  <c r="AL427" i="7"/>
  <c r="AK427" i="7"/>
  <c r="AJ427" i="7"/>
  <c r="AI427" i="7"/>
  <c r="AE428" i="7"/>
  <c r="T427" i="7"/>
  <c r="Q428" i="7"/>
  <c r="AN428" i="7" l="1"/>
  <c r="AJ428" i="7"/>
  <c r="AM428" i="7"/>
  <c r="AK428" i="7"/>
  <c r="AL428" i="7"/>
  <c r="Q429" i="7"/>
  <c r="T428" i="7"/>
  <c r="AE429" i="7"/>
  <c r="AI428" i="7"/>
  <c r="AJ429" i="7" l="1"/>
  <c r="AL429" i="7"/>
  <c r="AK429" i="7"/>
  <c r="AM429" i="7"/>
  <c r="AN429" i="7"/>
  <c r="AE430" i="7"/>
  <c r="AI429" i="7"/>
  <c r="T429" i="7"/>
  <c r="Q430" i="7"/>
  <c r="AK430" i="7" l="1"/>
  <c r="AM430" i="7"/>
  <c r="AL430" i="7"/>
  <c r="AN430" i="7"/>
  <c r="AJ430" i="7"/>
  <c r="Q431" i="7"/>
  <c r="T430" i="7"/>
  <c r="AE431" i="7"/>
  <c r="AI430" i="7"/>
  <c r="AJ431" i="7" l="1"/>
  <c r="AL431" i="7"/>
  <c r="AK431" i="7"/>
  <c r="AM431" i="7"/>
  <c r="AN431" i="7"/>
  <c r="AI431" i="7"/>
  <c r="AE432" i="7"/>
  <c r="Q432" i="7"/>
  <c r="T431" i="7"/>
  <c r="AM432" i="7" l="1"/>
  <c r="AJ432" i="7"/>
  <c r="AK432" i="7"/>
  <c r="AN432" i="7"/>
  <c r="AL432" i="7"/>
  <c r="T432" i="7"/>
  <c r="Q433" i="7"/>
  <c r="AE433" i="7"/>
  <c r="AI432" i="7"/>
  <c r="AL433" i="7" l="1"/>
  <c r="AM433" i="7"/>
  <c r="AJ433" i="7"/>
  <c r="AN433" i="7"/>
  <c r="AK433" i="7"/>
  <c r="Q434" i="7"/>
  <c r="T433" i="7"/>
  <c r="AI433" i="7"/>
  <c r="AE434" i="7"/>
  <c r="AN434" i="7" l="1"/>
  <c r="AK434" i="7"/>
  <c r="AM434" i="7"/>
  <c r="AJ434" i="7"/>
  <c r="AL434" i="7"/>
  <c r="AE435" i="7"/>
  <c r="AI434" i="7"/>
  <c r="Q435" i="7"/>
  <c r="T434" i="7"/>
  <c r="AL435" i="7" l="1"/>
  <c r="AJ435" i="7"/>
  <c r="AN435" i="7"/>
  <c r="AM435" i="7"/>
  <c r="AK435" i="7"/>
  <c r="Q436" i="7"/>
  <c r="T435" i="7"/>
  <c r="AE436" i="7"/>
  <c r="AI435" i="7"/>
  <c r="AL436" i="7" l="1"/>
  <c r="AK436" i="7"/>
  <c r="AN436" i="7"/>
  <c r="AM436" i="7"/>
  <c r="AJ436" i="7"/>
  <c r="Q437" i="7"/>
  <c r="T436" i="7"/>
  <c r="AI436" i="7"/>
  <c r="AE437" i="7"/>
  <c r="AK437" i="7" l="1"/>
  <c r="AJ437" i="7"/>
  <c r="AL437" i="7"/>
  <c r="AN437" i="7"/>
  <c r="AM437" i="7"/>
  <c r="Q438" i="7"/>
  <c r="T437" i="7"/>
  <c r="AI437" i="7"/>
  <c r="AE438" i="7"/>
  <c r="AN438" i="7" l="1"/>
  <c r="AM438" i="7"/>
  <c r="AJ438" i="7"/>
  <c r="AK438" i="7"/>
  <c r="AL438" i="7"/>
  <c r="AE439" i="7"/>
  <c r="AI438" i="7"/>
  <c r="T438" i="7"/>
  <c r="Q439" i="7"/>
  <c r="AN439" i="7" l="1"/>
  <c r="AJ439" i="7"/>
  <c r="AM439" i="7"/>
  <c r="AL439" i="7"/>
  <c r="AK439" i="7"/>
  <c r="T439" i="7"/>
  <c r="Q440" i="7"/>
  <c r="AE440" i="7"/>
  <c r="AI439" i="7"/>
  <c r="AL440" i="7" l="1"/>
  <c r="AK440" i="7"/>
  <c r="AN440" i="7"/>
  <c r="AM440" i="7"/>
  <c r="AJ440" i="7"/>
  <c r="AE441" i="7"/>
  <c r="AI440" i="7"/>
  <c r="Q441" i="7"/>
  <c r="T440" i="7"/>
  <c r="AL441" i="7" l="1"/>
  <c r="AK441" i="7"/>
  <c r="AN441" i="7"/>
  <c r="AM441" i="7"/>
  <c r="AJ441" i="7"/>
  <c r="Q442" i="7"/>
  <c r="T441" i="7"/>
  <c r="AE442" i="7"/>
  <c r="AI441" i="7"/>
  <c r="AL442" i="7" l="1"/>
  <c r="AN442" i="7"/>
  <c r="AJ442" i="7"/>
  <c r="AM442" i="7"/>
  <c r="AK442" i="7"/>
  <c r="AI442" i="7"/>
  <c r="AE443" i="7"/>
  <c r="Q443" i="7"/>
  <c r="T442" i="7"/>
  <c r="AJ443" i="7" l="1"/>
  <c r="AN443" i="7"/>
  <c r="AL443" i="7"/>
  <c r="AM443" i="7"/>
  <c r="AK443" i="7"/>
  <c r="T443" i="7"/>
  <c r="Q444" i="7"/>
  <c r="AI443" i="7"/>
  <c r="AE444" i="7"/>
  <c r="AM444" i="7" l="1"/>
  <c r="AN444" i="7"/>
  <c r="AK444" i="7"/>
  <c r="AJ444" i="7"/>
  <c r="AL444" i="7"/>
  <c r="AE445" i="7"/>
  <c r="AI444" i="7"/>
  <c r="Q445" i="7"/>
  <c r="T444" i="7"/>
  <c r="AK445" i="7" l="1"/>
  <c r="AL445" i="7"/>
  <c r="AM445" i="7"/>
  <c r="AN445" i="7"/>
  <c r="AJ445" i="7"/>
  <c r="Q446" i="7"/>
  <c r="T445" i="7"/>
  <c r="AE446" i="7"/>
  <c r="AI445" i="7"/>
  <c r="AJ446" i="7" l="1"/>
  <c r="AN446" i="7"/>
  <c r="AL446" i="7"/>
  <c r="AM446" i="7"/>
  <c r="AK446" i="7"/>
  <c r="AE447" i="7"/>
  <c r="AI446" i="7"/>
  <c r="Q447" i="7"/>
  <c r="T446" i="7"/>
  <c r="AJ447" i="7" l="1"/>
  <c r="AN447" i="7"/>
  <c r="AM447" i="7"/>
  <c r="AK447" i="7"/>
  <c r="AL447" i="7"/>
  <c r="Q448" i="7"/>
  <c r="T447" i="7"/>
  <c r="AE448" i="7"/>
  <c r="AI447" i="7"/>
  <c r="AJ448" i="7" l="1"/>
  <c r="AN448" i="7"/>
  <c r="AL448" i="7"/>
  <c r="AK448" i="7"/>
  <c r="AM448" i="7"/>
  <c r="AE449" i="7"/>
  <c r="AI448" i="7"/>
  <c r="T448" i="7"/>
  <c r="Q449" i="7"/>
  <c r="AL449" i="7" l="1"/>
  <c r="AN449" i="7"/>
  <c r="AJ449" i="7"/>
  <c r="AM449" i="7"/>
  <c r="AK449" i="7"/>
  <c r="Q450" i="7"/>
  <c r="T449" i="7"/>
  <c r="AE450" i="7"/>
  <c r="AI449" i="7"/>
  <c r="AN450" i="7" l="1"/>
  <c r="AJ450" i="7"/>
  <c r="AK450" i="7"/>
  <c r="AL450" i="7"/>
  <c r="AM450" i="7"/>
  <c r="AE451" i="7"/>
  <c r="AI450" i="7"/>
  <c r="T450" i="7"/>
  <c r="Q451" i="7"/>
  <c r="AL451" i="7" l="1"/>
  <c r="AK451" i="7"/>
  <c r="AJ451" i="7"/>
  <c r="AN451" i="7"/>
  <c r="AM451" i="7"/>
  <c r="AE452" i="7"/>
  <c r="AI451" i="7"/>
  <c r="Q452" i="7"/>
  <c r="T451" i="7"/>
  <c r="AL452" i="7" l="1"/>
  <c r="AM452" i="7"/>
  <c r="AJ452" i="7"/>
  <c r="AN452" i="7"/>
  <c r="AK452" i="7"/>
  <c r="Q453" i="7"/>
  <c r="T452" i="7"/>
  <c r="AE453" i="7"/>
  <c r="AI452" i="7"/>
  <c r="AL453" i="7" l="1"/>
  <c r="AM453" i="7"/>
  <c r="AJ453" i="7"/>
  <c r="AN453" i="7"/>
  <c r="AK453" i="7"/>
  <c r="AI453" i="7"/>
  <c r="AE454" i="7"/>
  <c r="Q454" i="7"/>
  <c r="T453" i="7"/>
  <c r="AN454" i="7" l="1"/>
  <c r="AM454" i="7"/>
  <c r="AK454" i="7"/>
  <c r="AL454" i="7"/>
  <c r="AJ454" i="7"/>
  <c r="AI454" i="7"/>
  <c r="AE455" i="7"/>
  <c r="T454" i="7"/>
  <c r="Q455" i="7"/>
  <c r="AK455" i="7" l="1"/>
  <c r="AJ455" i="7"/>
  <c r="AN455" i="7"/>
  <c r="AL455" i="7"/>
  <c r="AM455" i="7"/>
  <c r="AE456" i="7"/>
  <c r="AI455" i="7"/>
  <c r="T455" i="7"/>
  <c r="Q456" i="7"/>
  <c r="AN456" i="7" l="1"/>
  <c r="AK456" i="7"/>
  <c r="AJ456" i="7"/>
  <c r="AL456" i="7"/>
  <c r="AM456" i="7"/>
  <c r="Q457" i="7"/>
  <c r="T456" i="7"/>
  <c r="AE457" i="7"/>
  <c r="AI456" i="7"/>
  <c r="AN457" i="7" l="1"/>
  <c r="AL457" i="7"/>
  <c r="AM457" i="7"/>
  <c r="AJ457" i="7"/>
  <c r="AK457" i="7"/>
  <c r="Q458" i="7"/>
  <c r="T457" i="7"/>
  <c r="AE458" i="7"/>
  <c r="AI457" i="7"/>
  <c r="AJ458" i="7" l="1"/>
  <c r="AN458" i="7"/>
  <c r="AM458" i="7"/>
  <c r="AL458" i="7"/>
  <c r="AK458" i="7"/>
  <c r="AI458" i="7"/>
  <c r="AE459" i="7"/>
  <c r="Q459" i="7"/>
  <c r="T458" i="7"/>
  <c r="AJ459" i="7" l="1"/>
  <c r="AK459" i="7"/>
  <c r="AM459" i="7"/>
  <c r="AL459" i="7"/>
  <c r="AN459" i="7"/>
  <c r="AI459" i="7"/>
  <c r="AE460" i="7"/>
  <c r="T459" i="7"/>
  <c r="Q460" i="7"/>
  <c r="AN460" i="7" l="1"/>
  <c r="AJ460" i="7"/>
  <c r="AL460" i="7"/>
  <c r="AK460" i="7"/>
  <c r="AM460" i="7"/>
  <c r="Q461" i="7"/>
  <c r="T460" i="7"/>
  <c r="AE461" i="7"/>
  <c r="AI460" i="7"/>
  <c r="AM461" i="7" l="1"/>
  <c r="AN461" i="7"/>
  <c r="AK461" i="7"/>
  <c r="AL461" i="7"/>
  <c r="AJ461" i="7"/>
  <c r="AE462" i="7"/>
  <c r="AI461" i="7"/>
  <c r="T461" i="7"/>
  <c r="Q462" i="7"/>
  <c r="AN462" i="7" l="1"/>
  <c r="AK462" i="7"/>
  <c r="AL462" i="7"/>
  <c r="AJ462" i="7"/>
  <c r="AM462" i="7"/>
  <c r="Q463" i="7"/>
  <c r="T462" i="7"/>
  <c r="AE463" i="7"/>
  <c r="AI462" i="7"/>
  <c r="AJ463" i="7" l="1"/>
  <c r="AL463" i="7"/>
  <c r="AK463" i="7"/>
  <c r="AN463" i="7"/>
  <c r="AM463" i="7"/>
  <c r="AI463" i="7"/>
  <c r="AE464" i="7"/>
  <c r="Q464" i="7"/>
  <c r="T463" i="7"/>
  <c r="AL464" i="7" l="1"/>
  <c r="AN464" i="7"/>
  <c r="AJ464" i="7"/>
  <c r="AM464" i="7"/>
  <c r="AK464" i="7"/>
  <c r="T464" i="7"/>
  <c r="Q465" i="7"/>
  <c r="AE465" i="7"/>
  <c r="AI464" i="7"/>
  <c r="AL465" i="7" l="1"/>
  <c r="AM465" i="7"/>
  <c r="AN465" i="7"/>
  <c r="AJ465" i="7"/>
  <c r="AK465" i="7"/>
  <c r="AE466" i="7"/>
  <c r="AI465" i="7"/>
  <c r="T465" i="7"/>
  <c r="Q466" i="7"/>
  <c r="AL466" i="7" l="1"/>
  <c r="AK466" i="7"/>
  <c r="AM466" i="7"/>
  <c r="AN466" i="7"/>
  <c r="AJ466" i="7"/>
  <c r="T466" i="7"/>
  <c r="Q467" i="7"/>
  <c r="AE467" i="7"/>
  <c r="AI466" i="7"/>
  <c r="AN467" i="7" l="1"/>
  <c r="AK467" i="7"/>
  <c r="AJ467" i="7"/>
  <c r="AL467" i="7"/>
  <c r="AM467" i="7"/>
  <c r="AE468" i="7"/>
  <c r="AI467" i="7"/>
  <c r="Q468" i="7"/>
  <c r="T467" i="7"/>
  <c r="AK468" i="7" l="1"/>
  <c r="AN468" i="7"/>
  <c r="AJ468" i="7"/>
  <c r="AL468" i="7"/>
  <c r="AM468" i="7"/>
  <c r="Q469" i="7"/>
  <c r="T468" i="7"/>
  <c r="AI468" i="7"/>
  <c r="AE469" i="7"/>
  <c r="AL469" i="7" l="1"/>
  <c r="AK469" i="7"/>
  <c r="AM469" i="7"/>
  <c r="AN469" i="7"/>
  <c r="AJ469" i="7"/>
  <c r="AE470" i="7"/>
  <c r="AI469" i="7"/>
  <c r="Q470" i="7"/>
  <c r="T469" i="7"/>
  <c r="AJ470" i="7" l="1"/>
  <c r="AN470" i="7"/>
  <c r="AK470" i="7"/>
  <c r="AM470" i="7"/>
  <c r="AL470" i="7"/>
  <c r="T470" i="7"/>
  <c r="Q471" i="7"/>
  <c r="AE471" i="7"/>
  <c r="AI470" i="7"/>
  <c r="AJ471" i="7" l="1"/>
  <c r="AM471" i="7"/>
  <c r="AN471" i="7"/>
  <c r="AK471" i="7"/>
  <c r="AL471" i="7"/>
  <c r="AE472" i="7"/>
  <c r="AI471" i="7"/>
  <c r="T471" i="7"/>
  <c r="Q472" i="7"/>
  <c r="AL472" i="7" l="1"/>
  <c r="AN472" i="7"/>
  <c r="AJ472" i="7"/>
  <c r="AM472" i="7"/>
  <c r="AK472" i="7"/>
  <c r="Q473" i="7"/>
  <c r="T472" i="7"/>
  <c r="AE473" i="7"/>
  <c r="AI472" i="7"/>
  <c r="AL473" i="7" l="1"/>
  <c r="AN473" i="7"/>
  <c r="AJ473" i="7"/>
  <c r="AK473" i="7"/>
  <c r="AM473" i="7"/>
  <c r="AE474" i="7"/>
  <c r="AI473" i="7"/>
  <c r="Q474" i="7"/>
  <c r="T473" i="7"/>
  <c r="AN474" i="7" l="1"/>
  <c r="AJ474" i="7"/>
  <c r="AK474" i="7"/>
  <c r="AL474" i="7"/>
  <c r="AM474" i="7"/>
  <c r="T474" i="7"/>
  <c r="Q475" i="7"/>
  <c r="AE475" i="7"/>
  <c r="AI474" i="7"/>
  <c r="AN475" i="7" l="1"/>
  <c r="AM475" i="7"/>
  <c r="AJ475" i="7"/>
  <c r="AL475" i="7"/>
  <c r="AK475" i="7"/>
  <c r="T475" i="7"/>
  <c r="Q476" i="7"/>
  <c r="AI475" i="7"/>
  <c r="AE476" i="7"/>
  <c r="AN476" i="7" l="1"/>
  <c r="AJ476" i="7"/>
  <c r="AM476" i="7"/>
  <c r="AL476" i="7"/>
  <c r="AK476" i="7"/>
  <c r="AE477" i="7"/>
  <c r="AI476" i="7"/>
  <c r="Q477" i="7"/>
  <c r="T476" i="7"/>
  <c r="AJ477" i="7" l="1"/>
  <c r="AM477" i="7"/>
  <c r="AL477" i="7"/>
  <c r="AN477" i="7"/>
  <c r="AK477" i="7"/>
  <c r="T477" i="7"/>
  <c r="Q478" i="7"/>
  <c r="AE478" i="7"/>
  <c r="AI477" i="7"/>
  <c r="AL478" i="7" l="1"/>
  <c r="AK478" i="7"/>
  <c r="AJ478" i="7"/>
  <c r="AM478" i="7"/>
  <c r="AN478" i="7"/>
  <c r="AI478" i="7"/>
  <c r="AE479" i="7"/>
  <c r="T478" i="7"/>
  <c r="Q479" i="7"/>
  <c r="AJ479" i="7" l="1"/>
  <c r="AK479" i="7"/>
  <c r="AL479" i="7"/>
  <c r="AN479" i="7"/>
  <c r="AM479" i="7"/>
  <c r="AI479" i="7"/>
  <c r="AE480" i="7"/>
  <c r="T479" i="7"/>
  <c r="Q480" i="7"/>
  <c r="AM480" i="7" l="1"/>
  <c r="AJ480" i="7"/>
  <c r="AL480" i="7"/>
  <c r="AK480" i="7"/>
  <c r="AN480" i="7"/>
  <c r="Q481" i="7"/>
  <c r="T480" i="7"/>
  <c r="AE481" i="7"/>
  <c r="AI480" i="7"/>
  <c r="AJ481" i="7" l="1"/>
  <c r="AL481" i="7"/>
  <c r="AN481" i="7"/>
  <c r="AM481" i="7"/>
  <c r="AK481" i="7"/>
  <c r="AI481" i="7"/>
  <c r="AE482" i="7"/>
  <c r="Q482" i="7"/>
  <c r="T481" i="7"/>
  <c r="AM482" i="7" l="1"/>
  <c r="AJ482" i="7"/>
  <c r="AK482" i="7"/>
  <c r="AL482" i="7"/>
  <c r="AN482" i="7"/>
  <c r="Q483" i="7"/>
  <c r="T482" i="7"/>
  <c r="AI482" i="7"/>
  <c r="AE483" i="7"/>
  <c r="AJ483" i="7" l="1"/>
  <c r="AK483" i="7"/>
  <c r="AM483" i="7"/>
  <c r="AL483" i="7"/>
  <c r="AN483" i="7"/>
  <c r="AE484" i="7"/>
  <c r="AI483" i="7"/>
  <c r="Q484" i="7"/>
  <c r="T483" i="7"/>
  <c r="AN484" i="7" l="1"/>
  <c r="AJ484" i="7"/>
  <c r="AK484" i="7"/>
  <c r="AM484" i="7"/>
  <c r="AL484" i="7"/>
  <c r="T484" i="7"/>
  <c r="Q485" i="7"/>
  <c r="AI484" i="7"/>
  <c r="AE485" i="7"/>
  <c r="AJ485" i="7" l="1"/>
  <c r="AN485" i="7"/>
  <c r="AL485" i="7"/>
  <c r="AK485" i="7"/>
  <c r="AM485" i="7"/>
  <c r="AI485" i="7"/>
  <c r="AE486" i="7"/>
  <c r="T485" i="7"/>
  <c r="Q486" i="7"/>
  <c r="AK486" i="7" l="1"/>
  <c r="AL486" i="7"/>
  <c r="AJ486" i="7"/>
  <c r="AM486" i="7"/>
  <c r="AN486" i="7"/>
  <c r="Q487" i="7"/>
  <c r="T486" i="7"/>
  <c r="AE487" i="7"/>
  <c r="AI486" i="7"/>
  <c r="AM487" i="7" l="1"/>
  <c r="AK487" i="7"/>
  <c r="AN487" i="7"/>
  <c r="AJ487" i="7"/>
  <c r="AL487" i="7"/>
  <c r="AE488" i="7"/>
  <c r="AI487" i="7"/>
  <c r="T487" i="7"/>
  <c r="Q488" i="7"/>
  <c r="AN488" i="7" l="1"/>
  <c r="AK488" i="7"/>
  <c r="AL488" i="7"/>
  <c r="AM488" i="7"/>
  <c r="AJ488" i="7"/>
  <c r="Q489" i="7"/>
  <c r="T488" i="7"/>
  <c r="AI488" i="7"/>
  <c r="AE489" i="7"/>
  <c r="AL489" i="7" l="1"/>
  <c r="AM489" i="7"/>
  <c r="AJ489" i="7"/>
  <c r="AK489" i="7"/>
  <c r="AN489" i="7"/>
  <c r="Q490" i="7"/>
  <c r="T489" i="7"/>
  <c r="AI489" i="7"/>
  <c r="AE490" i="7"/>
  <c r="AK490" i="7" l="1"/>
  <c r="AL490" i="7"/>
  <c r="AJ490" i="7"/>
  <c r="AM490" i="7"/>
  <c r="AN490" i="7"/>
  <c r="AI490" i="7"/>
  <c r="AE491" i="7"/>
  <c r="T490" i="7"/>
  <c r="Q491" i="7"/>
  <c r="AL491" i="7" l="1"/>
  <c r="AK491" i="7"/>
  <c r="AJ491" i="7"/>
  <c r="AN491" i="7"/>
  <c r="AM491" i="7"/>
  <c r="T491" i="7"/>
  <c r="Q492" i="7"/>
  <c r="AI491" i="7"/>
  <c r="AE492" i="7"/>
  <c r="AJ492" i="7" l="1"/>
  <c r="AL492" i="7"/>
  <c r="AK492" i="7"/>
  <c r="AM492" i="7"/>
  <c r="AN492" i="7"/>
  <c r="AI492" i="7"/>
  <c r="AE493" i="7"/>
  <c r="Q493" i="7"/>
  <c r="T492" i="7"/>
  <c r="AM493" i="7" l="1"/>
  <c r="AK493" i="7"/>
  <c r="AN493" i="7"/>
  <c r="AJ493" i="7"/>
  <c r="AL493" i="7"/>
  <c r="AI493" i="7"/>
  <c r="AE494" i="7"/>
  <c r="T493" i="7"/>
  <c r="Q494" i="7"/>
  <c r="AK494" i="7" l="1"/>
  <c r="AL494" i="7"/>
  <c r="AN494" i="7"/>
  <c r="AJ494" i="7"/>
  <c r="AM494" i="7"/>
  <c r="T494" i="7"/>
  <c r="Q495" i="7"/>
  <c r="AI494" i="7"/>
  <c r="AE495" i="7"/>
  <c r="AK495" i="7" l="1"/>
  <c r="AJ495" i="7"/>
  <c r="AM495" i="7"/>
  <c r="AN495" i="7"/>
  <c r="AL495" i="7"/>
  <c r="T495" i="7"/>
  <c r="Q496" i="7"/>
  <c r="AI495" i="7"/>
  <c r="AE496" i="7"/>
  <c r="AJ496" i="7" l="1"/>
  <c r="AK496" i="7"/>
  <c r="AL496" i="7"/>
  <c r="AM496" i="7"/>
  <c r="AN496" i="7"/>
  <c r="AE497" i="7"/>
  <c r="AI496" i="7"/>
  <c r="T496" i="7"/>
  <c r="Q497" i="7"/>
  <c r="AN497" i="7" l="1"/>
  <c r="AJ497" i="7"/>
  <c r="AM497" i="7"/>
  <c r="AL497" i="7"/>
  <c r="AK497" i="7"/>
  <c r="T497" i="7"/>
  <c r="Q498" i="7"/>
  <c r="AI497" i="7"/>
  <c r="AE498" i="7"/>
  <c r="AJ498" i="7" l="1"/>
  <c r="AK498" i="7"/>
  <c r="AM498" i="7"/>
  <c r="AN498" i="7"/>
  <c r="AL498" i="7"/>
  <c r="AI498" i="7"/>
  <c r="AE499" i="7"/>
  <c r="Q499" i="7"/>
  <c r="T498" i="7"/>
  <c r="AK499" i="7" l="1"/>
  <c r="AL499" i="7"/>
  <c r="AN499" i="7"/>
  <c r="AJ499" i="7"/>
  <c r="AM499" i="7"/>
  <c r="Q500" i="7"/>
  <c r="T499" i="7"/>
  <c r="AI499" i="7"/>
  <c r="AE500" i="7"/>
  <c r="AK500" i="7" l="1"/>
  <c r="AN500" i="7"/>
  <c r="AL500" i="7"/>
  <c r="AJ500" i="7"/>
  <c r="AM500" i="7"/>
  <c r="AE501" i="7"/>
  <c r="AI500" i="7"/>
  <c r="Q501" i="7"/>
  <c r="T500" i="7"/>
  <c r="AL501" i="7" l="1"/>
  <c r="AK501" i="7"/>
  <c r="AN501" i="7"/>
  <c r="AM501" i="7"/>
  <c r="AJ501" i="7"/>
  <c r="T501" i="7"/>
  <c r="Q502" i="7"/>
  <c r="AI501" i="7"/>
  <c r="AE502" i="7"/>
  <c r="AK502" i="7" l="1"/>
  <c r="AN502" i="7"/>
  <c r="AM502" i="7"/>
  <c r="AL502" i="7"/>
  <c r="AJ502" i="7"/>
  <c r="T502" i="7"/>
  <c r="Q503" i="7"/>
  <c r="AE503" i="7"/>
  <c r="AI502" i="7"/>
  <c r="AK503" i="7" l="1"/>
  <c r="AL503" i="7"/>
  <c r="AJ503" i="7"/>
  <c r="AN503" i="7"/>
  <c r="AM503" i="7"/>
  <c r="AE504" i="7"/>
  <c r="AI503" i="7"/>
  <c r="T503" i="7"/>
  <c r="Q504" i="7"/>
  <c r="AN504" i="7" l="1"/>
  <c r="AL504" i="7"/>
  <c r="AM504" i="7"/>
  <c r="AK504" i="7"/>
  <c r="AJ504" i="7"/>
  <c r="Q505" i="7"/>
  <c r="T504" i="7"/>
  <c r="AE505" i="7"/>
  <c r="AI504" i="7"/>
  <c r="AN505" i="7" l="1"/>
  <c r="AK505" i="7"/>
  <c r="AJ505" i="7"/>
  <c r="AL505" i="7"/>
  <c r="AM505" i="7"/>
  <c r="AE506" i="7"/>
  <c r="AI505" i="7"/>
  <c r="Q506" i="7"/>
  <c r="T505" i="7"/>
  <c r="AN506" i="7" l="1"/>
  <c r="AK506" i="7"/>
  <c r="AJ506" i="7"/>
  <c r="AM506" i="7"/>
  <c r="AL506" i="7"/>
  <c r="AI506" i="7"/>
  <c r="AE507" i="7"/>
  <c r="T506" i="7"/>
  <c r="Q507" i="7"/>
  <c r="AM507" i="7" l="1"/>
  <c r="AL507" i="7"/>
  <c r="AJ507" i="7"/>
  <c r="AN507" i="7"/>
  <c r="AK507" i="7"/>
  <c r="Q508" i="7"/>
  <c r="T507" i="7"/>
  <c r="AI507" i="7"/>
  <c r="AE508" i="7"/>
  <c r="AK508" i="7" l="1"/>
  <c r="AN508" i="7"/>
  <c r="AL508" i="7"/>
  <c r="AM508" i="7"/>
  <c r="AJ508" i="7"/>
  <c r="AI508" i="7"/>
  <c r="AE509" i="7"/>
  <c r="Q509" i="7"/>
  <c r="T508" i="7"/>
  <c r="AJ509" i="7" l="1"/>
  <c r="AK509" i="7"/>
  <c r="AL509" i="7"/>
  <c r="AM509" i="7"/>
  <c r="AN509" i="7"/>
  <c r="T509" i="7"/>
  <c r="Q510" i="7"/>
  <c r="AI509" i="7"/>
  <c r="AE510" i="7"/>
  <c r="AL510" i="7" l="1"/>
  <c r="AJ510" i="7"/>
  <c r="AN510" i="7"/>
  <c r="AM510" i="7"/>
  <c r="AK510" i="7"/>
  <c r="AI510" i="7"/>
  <c r="AE511" i="7"/>
  <c r="T510" i="7"/>
  <c r="Q511" i="7"/>
  <c r="AK511" i="7" l="1"/>
  <c r="AL511" i="7"/>
  <c r="AN511" i="7"/>
  <c r="AJ511" i="7"/>
  <c r="AM511" i="7"/>
  <c r="Q512" i="7"/>
  <c r="T511" i="7"/>
  <c r="AI511" i="7"/>
  <c r="AE512" i="7"/>
  <c r="AM512" i="7" l="1"/>
  <c r="AL512" i="7"/>
  <c r="AJ512" i="7"/>
  <c r="AK512" i="7"/>
  <c r="AN512" i="7"/>
  <c r="AE513" i="7"/>
  <c r="AI512" i="7"/>
  <c r="Q513" i="7"/>
  <c r="T512" i="7"/>
  <c r="AL513" i="7" l="1"/>
  <c r="AM513" i="7"/>
  <c r="AJ513" i="7"/>
  <c r="AN513" i="7"/>
  <c r="AK513" i="7"/>
  <c r="AI513" i="7"/>
  <c r="AE514" i="7"/>
  <c r="T513" i="7"/>
  <c r="Q514" i="7"/>
  <c r="AL514" i="7" l="1"/>
  <c r="AN514" i="7"/>
  <c r="AM514" i="7"/>
  <c r="AK514" i="7"/>
  <c r="AJ514" i="7"/>
  <c r="Q515" i="7"/>
  <c r="T514" i="7"/>
  <c r="AI514" i="7"/>
  <c r="AE515" i="7"/>
  <c r="AK515" i="7" l="1"/>
  <c r="AJ515" i="7"/>
  <c r="AM515" i="7"/>
  <c r="AL515" i="7"/>
  <c r="AN515" i="7"/>
  <c r="AI515" i="7"/>
  <c r="AE516" i="7"/>
  <c r="Q516" i="7"/>
  <c r="T515" i="7"/>
  <c r="AL516" i="7" l="1"/>
  <c r="AN516" i="7"/>
  <c r="AK516" i="7"/>
  <c r="AM516" i="7"/>
  <c r="AJ516" i="7"/>
  <c r="Q517" i="7"/>
  <c r="T516" i="7"/>
  <c r="AI516" i="7"/>
  <c r="AE517" i="7"/>
  <c r="AM517" i="7" l="1"/>
  <c r="AL517" i="7"/>
  <c r="AN517" i="7"/>
  <c r="AK517" i="7"/>
  <c r="AJ517" i="7"/>
  <c r="AI517" i="7"/>
  <c r="AE518" i="7"/>
  <c r="T517" i="7"/>
  <c r="Q518" i="7"/>
  <c r="AL518" i="7" l="1"/>
  <c r="AM518" i="7"/>
  <c r="AJ518" i="7"/>
  <c r="AK518" i="7"/>
  <c r="AN518" i="7"/>
  <c r="T518" i="7"/>
  <c r="Q519" i="7"/>
  <c r="AE519" i="7"/>
  <c r="AI518" i="7"/>
  <c r="AK519" i="7" l="1"/>
  <c r="AJ519" i="7"/>
  <c r="AM519" i="7"/>
  <c r="AN519" i="7"/>
  <c r="AL519" i="7"/>
  <c r="AE520" i="7"/>
  <c r="AI519" i="7"/>
  <c r="T519" i="7"/>
  <c r="Q520" i="7"/>
  <c r="AK520" i="7" l="1"/>
  <c r="AM520" i="7"/>
  <c r="AJ520" i="7"/>
  <c r="AN520" i="7"/>
  <c r="AL520" i="7"/>
  <c r="Q521" i="7"/>
  <c r="T520" i="7"/>
  <c r="AI520" i="7"/>
  <c r="AE521" i="7"/>
  <c r="AL521" i="7" l="1"/>
  <c r="AJ521" i="7"/>
  <c r="AK521" i="7"/>
  <c r="AN521" i="7"/>
  <c r="AM521" i="7"/>
  <c r="AI521" i="7"/>
  <c r="AE522" i="7"/>
  <c r="Q522" i="7"/>
  <c r="T521" i="7"/>
  <c r="AL522" i="7" l="1"/>
  <c r="AK522" i="7"/>
  <c r="AM522" i="7"/>
  <c r="AN522" i="7"/>
  <c r="AJ522" i="7"/>
  <c r="AI522" i="7"/>
  <c r="AE523" i="7"/>
  <c r="T522" i="7"/>
  <c r="Q523" i="7"/>
  <c r="AN523" i="7" l="1"/>
  <c r="AL523" i="7"/>
  <c r="AK523" i="7"/>
  <c r="AJ523" i="7"/>
  <c r="AM523" i="7"/>
  <c r="T523" i="7"/>
  <c r="Q524" i="7"/>
  <c r="AI523" i="7"/>
  <c r="AE524" i="7"/>
  <c r="AL524" i="7" l="1"/>
  <c r="AN524" i="7"/>
  <c r="AJ524" i="7"/>
  <c r="AM524" i="7"/>
  <c r="AK524" i="7"/>
  <c r="AI524" i="7"/>
  <c r="AE525" i="7"/>
  <c r="Q525" i="7"/>
  <c r="T524" i="7"/>
  <c r="AJ525" i="7" l="1"/>
  <c r="AM525" i="7"/>
  <c r="AN525" i="7"/>
  <c r="AL525" i="7"/>
  <c r="AK525" i="7"/>
  <c r="T525" i="7"/>
  <c r="Q526" i="7"/>
  <c r="AI525" i="7"/>
  <c r="AE526" i="7"/>
  <c r="AN526" i="7" l="1"/>
  <c r="AK526" i="7"/>
  <c r="AM526" i="7"/>
  <c r="AL526" i="7"/>
  <c r="AJ526" i="7"/>
  <c r="AI526" i="7"/>
  <c r="AE527" i="7"/>
  <c r="T526" i="7"/>
  <c r="Q527" i="7"/>
  <c r="AJ527" i="7" l="1"/>
  <c r="AL527" i="7"/>
  <c r="AK527" i="7"/>
  <c r="AN527" i="7"/>
  <c r="AM527" i="7"/>
  <c r="T527" i="7"/>
  <c r="Q528" i="7"/>
  <c r="AI527" i="7"/>
  <c r="AE528" i="7"/>
  <c r="AN528" i="7" l="1"/>
  <c r="AM528" i="7"/>
  <c r="AL528" i="7"/>
  <c r="AJ528" i="7"/>
  <c r="AK528" i="7"/>
  <c r="AE529" i="7"/>
  <c r="AI528" i="7"/>
  <c r="T528" i="7"/>
  <c r="Q529" i="7"/>
  <c r="AJ529" i="7" l="1"/>
  <c r="AK529" i="7"/>
  <c r="AM529" i="7"/>
  <c r="AL529" i="7"/>
  <c r="AN529" i="7"/>
  <c r="T529" i="7"/>
  <c r="Q530" i="7"/>
  <c r="AI529" i="7"/>
  <c r="AE530" i="7"/>
  <c r="AJ530" i="7" l="1"/>
  <c r="AL530" i="7"/>
  <c r="AN530" i="7"/>
  <c r="AM530" i="7"/>
  <c r="AK530" i="7"/>
  <c r="AI530" i="7"/>
  <c r="AE531" i="7"/>
  <c r="Q531" i="7"/>
  <c r="T530" i="7"/>
  <c r="AJ531" i="7" l="1"/>
  <c r="AM531" i="7"/>
  <c r="AK531" i="7"/>
  <c r="AN531" i="7"/>
  <c r="AL531" i="7"/>
  <c r="Q532" i="7"/>
  <c r="T531" i="7"/>
  <c r="AE532" i="7"/>
  <c r="AI531" i="7"/>
  <c r="AL532" i="7" l="1"/>
  <c r="AJ532" i="7"/>
  <c r="AN532" i="7"/>
  <c r="AM532" i="7"/>
  <c r="AK532" i="7"/>
  <c r="AE533" i="7"/>
  <c r="AI532" i="7"/>
  <c r="Q533" i="7"/>
  <c r="T532" i="7"/>
  <c r="AJ533" i="7" l="1"/>
  <c r="AM533" i="7"/>
  <c r="AL533" i="7"/>
  <c r="AN533" i="7"/>
  <c r="AK533" i="7"/>
  <c r="AI533" i="7"/>
  <c r="AE534" i="7"/>
  <c r="T533" i="7"/>
  <c r="Q534" i="7"/>
  <c r="AM534" i="7" l="1"/>
  <c r="AL534" i="7"/>
  <c r="AN534" i="7"/>
  <c r="AJ534" i="7"/>
  <c r="AK534" i="7"/>
  <c r="T534" i="7"/>
  <c r="Q535" i="7"/>
  <c r="AE535" i="7"/>
  <c r="AI534" i="7"/>
  <c r="AJ535" i="7" l="1"/>
  <c r="AK535" i="7"/>
  <c r="AM535" i="7"/>
  <c r="AL535" i="7"/>
  <c r="AN535" i="7"/>
  <c r="T535" i="7"/>
  <c r="Q536" i="7"/>
  <c r="AE536" i="7"/>
  <c r="AI535" i="7"/>
  <c r="AJ536" i="7" l="1"/>
  <c r="AL536" i="7"/>
  <c r="AK536" i="7"/>
  <c r="AN536" i="7"/>
  <c r="AM536" i="7"/>
  <c r="AE537" i="7"/>
  <c r="AI536" i="7"/>
  <c r="T536" i="7"/>
  <c r="Q537" i="7"/>
  <c r="AJ537" i="7" l="1"/>
  <c r="AL537" i="7"/>
  <c r="AK537" i="7"/>
  <c r="AN537" i="7"/>
  <c r="AM537" i="7"/>
  <c r="T537" i="7"/>
  <c r="Q538" i="7"/>
  <c r="AI537" i="7"/>
  <c r="AE538" i="7"/>
  <c r="AJ538" i="7" l="1"/>
  <c r="AK538" i="7"/>
  <c r="AL538" i="7"/>
  <c r="AN538" i="7"/>
  <c r="AM538" i="7"/>
  <c r="AE539" i="7"/>
  <c r="AI538" i="7"/>
  <c r="T538" i="7"/>
  <c r="Q539" i="7"/>
  <c r="AN539" i="7" l="1"/>
  <c r="AK539" i="7"/>
  <c r="AM539" i="7"/>
  <c r="AL539" i="7"/>
  <c r="AJ539" i="7"/>
  <c r="T539" i="7"/>
  <c r="Q540" i="7"/>
  <c r="AE540" i="7"/>
  <c r="AI539" i="7"/>
  <c r="AN540" i="7" l="1"/>
  <c r="AJ540" i="7"/>
  <c r="AM540" i="7"/>
  <c r="AK540" i="7"/>
  <c r="AL540" i="7"/>
  <c r="Q541" i="7"/>
  <c r="T540" i="7"/>
  <c r="AE541" i="7"/>
  <c r="AI540" i="7"/>
  <c r="AM541" i="7" l="1"/>
  <c r="AJ541" i="7"/>
  <c r="AL541" i="7"/>
  <c r="AK541" i="7"/>
  <c r="AN541" i="7"/>
  <c r="T541" i="7"/>
  <c r="Q542" i="7"/>
  <c r="AI541" i="7"/>
  <c r="AE542" i="7"/>
  <c r="AL542" i="7" l="1"/>
  <c r="AM542" i="7"/>
  <c r="AK542" i="7"/>
  <c r="AN542" i="7"/>
  <c r="AJ542" i="7"/>
  <c r="AI542" i="7"/>
  <c r="AE543" i="7"/>
  <c r="T542" i="7"/>
  <c r="Q543" i="7"/>
  <c r="AK543" i="7" l="1"/>
  <c r="AJ543" i="7"/>
  <c r="AN543" i="7"/>
  <c r="AM543" i="7"/>
  <c r="AL543" i="7"/>
  <c r="AI543" i="7"/>
  <c r="AE544" i="7"/>
  <c r="T543" i="7"/>
  <c r="Q544" i="7"/>
  <c r="AL544" i="7" l="1"/>
  <c r="AM544" i="7"/>
  <c r="AK544" i="7"/>
  <c r="AN544" i="7"/>
  <c r="AJ544" i="7"/>
  <c r="T544" i="7"/>
  <c r="Q545" i="7"/>
  <c r="AE545" i="7"/>
  <c r="AI544" i="7"/>
  <c r="AM545" i="7" l="1"/>
  <c r="AL545" i="7"/>
  <c r="AN545" i="7"/>
  <c r="AJ545" i="7"/>
  <c r="AK545" i="7"/>
  <c r="AI545" i="7"/>
  <c r="AE546" i="7"/>
  <c r="T545" i="7"/>
  <c r="Q546" i="7"/>
  <c r="AJ546" i="7" l="1"/>
  <c r="AM546" i="7"/>
  <c r="AL546" i="7"/>
  <c r="AK546" i="7"/>
  <c r="AN546" i="7"/>
  <c r="Q547" i="7"/>
  <c r="T546" i="7"/>
  <c r="AI546" i="7"/>
  <c r="AE547" i="7"/>
  <c r="AK547" i="7" l="1"/>
  <c r="AL547" i="7"/>
  <c r="AJ547" i="7"/>
  <c r="AM547" i="7"/>
  <c r="AN547" i="7"/>
  <c r="AI547" i="7"/>
  <c r="AE548" i="7"/>
  <c r="Q548" i="7"/>
  <c r="T547" i="7"/>
  <c r="AL548" i="7" l="1"/>
  <c r="AN548" i="7"/>
  <c r="AJ548" i="7"/>
  <c r="AK548" i="7"/>
  <c r="AM548" i="7"/>
  <c r="AI548" i="7"/>
  <c r="AE549" i="7"/>
  <c r="Q549" i="7"/>
  <c r="T548" i="7"/>
  <c r="AM549" i="7" l="1"/>
  <c r="AN549" i="7"/>
  <c r="AJ549" i="7"/>
  <c r="AK549" i="7"/>
  <c r="AL549" i="7"/>
  <c r="AI549" i="7"/>
  <c r="AE550" i="7"/>
  <c r="T549" i="7"/>
  <c r="Q550" i="7"/>
  <c r="AN550" i="7" l="1"/>
  <c r="AJ550" i="7"/>
  <c r="AK550" i="7"/>
  <c r="AL550" i="7"/>
  <c r="AM550" i="7"/>
  <c r="T550" i="7"/>
  <c r="Q551" i="7"/>
  <c r="AE551" i="7"/>
  <c r="AI550" i="7"/>
  <c r="AK551" i="7" l="1"/>
  <c r="AN551" i="7"/>
  <c r="AJ551" i="7"/>
  <c r="AM551" i="7"/>
  <c r="AL551" i="7"/>
  <c r="AE552" i="7"/>
  <c r="AI551" i="7"/>
  <c r="T551" i="7"/>
  <c r="Q552" i="7"/>
  <c r="AL552" i="7" l="1"/>
  <c r="AJ552" i="7"/>
  <c r="AK552" i="7"/>
  <c r="AN552" i="7"/>
  <c r="AM552" i="7"/>
  <c r="T552" i="7"/>
  <c r="Q553" i="7"/>
  <c r="AE553" i="7"/>
  <c r="AI552" i="7"/>
  <c r="AM553" i="7" l="1"/>
  <c r="AK553" i="7"/>
  <c r="AJ553" i="7"/>
  <c r="AL553" i="7"/>
  <c r="AN553" i="7"/>
  <c r="T553" i="7"/>
  <c r="Q554" i="7"/>
  <c r="AI553" i="7"/>
  <c r="AE554" i="7"/>
  <c r="AK554" i="7" l="1"/>
  <c r="AJ554" i="7"/>
  <c r="AN554" i="7"/>
  <c r="AM554" i="7"/>
  <c r="AL554" i="7"/>
  <c r="AI554" i="7"/>
  <c r="AE555" i="7"/>
  <c r="T554" i="7"/>
  <c r="Q555" i="7"/>
  <c r="AM555" i="7" l="1"/>
  <c r="AK555" i="7"/>
  <c r="AJ555" i="7"/>
  <c r="AL555" i="7"/>
  <c r="AN555" i="7"/>
  <c r="T555" i="7"/>
  <c r="Q556" i="7"/>
  <c r="AI555" i="7"/>
  <c r="AE556" i="7"/>
  <c r="AK556" i="7" l="1"/>
  <c r="AJ556" i="7"/>
  <c r="AM556" i="7"/>
  <c r="AN556" i="7"/>
  <c r="AL556" i="7"/>
  <c r="AI556" i="7"/>
  <c r="AE557" i="7"/>
  <c r="Q557" i="7"/>
  <c r="T556" i="7"/>
  <c r="AJ557" i="7" l="1"/>
  <c r="AK557" i="7"/>
  <c r="AL557" i="7"/>
  <c r="AN557" i="7"/>
  <c r="AM557" i="7"/>
  <c r="T557" i="7"/>
  <c r="Q558" i="7"/>
  <c r="AI557" i="7"/>
  <c r="AE558" i="7"/>
  <c r="AN558" i="7" l="1"/>
  <c r="AK558" i="7"/>
  <c r="AL558" i="7"/>
  <c r="AM558" i="7"/>
  <c r="AJ558" i="7"/>
  <c r="T558" i="7"/>
  <c r="Q559" i="7"/>
  <c r="AI558" i="7"/>
  <c r="AE559" i="7"/>
  <c r="AJ559" i="7" l="1"/>
  <c r="AN559" i="7"/>
  <c r="AL559" i="7"/>
  <c r="AK559" i="7"/>
  <c r="AM559" i="7"/>
  <c r="AI559" i="7"/>
  <c r="AE560" i="7"/>
  <c r="T559" i="7"/>
  <c r="Q560" i="7"/>
  <c r="AK560" i="7" l="1"/>
  <c r="AJ560" i="7"/>
  <c r="AM560" i="7"/>
  <c r="AL560" i="7"/>
  <c r="AN560" i="7"/>
  <c r="T560" i="7"/>
  <c r="Q561" i="7"/>
  <c r="AE561" i="7"/>
  <c r="AI560" i="7"/>
  <c r="AL561" i="7" l="1"/>
  <c r="AM561" i="7"/>
  <c r="AN561" i="7"/>
  <c r="AK561" i="7"/>
  <c r="AJ561" i="7"/>
  <c r="T561" i="7"/>
  <c r="Q562" i="7"/>
  <c r="AI561" i="7"/>
  <c r="AE562" i="7"/>
  <c r="AJ562" i="7" l="1"/>
  <c r="AM562" i="7"/>
  <c r="AN562" i="7"/>
  <c r="AL562" i="7"/>
  <c r="AK562" i="7"/>
  <c r="Q563" i="7"/>
  <c r="T562" i="7"/>
  <c r="AI562" i="7"/>
  <c r="AE563" i="7"/>
  <c r="AN563" i="7" l="1"/>
  <c r="AJ563" i="7"/>
  <c r="AL563" i="7"/>
  <c r="AM563" i="7"/>
  <c r="AK563" i="7"/>
  <c r="AI563" i="7"/>
  <c r="AE564" i="7"/>
  <c r="Q564" i="7"/>
  <c r="T563" i="7"/>
  <c r="AL564" i="7" l="1"/>
  <c r="AK564" i="7"/>
  <c r="AJ564" i="7"/>
  <c r="AN564" i="7"/>
  <c r="AM564" i="7"/>
  <c r="Q565" i="7"/>
  <c r="T564" i="7"/>
  <c r="AI564" i="7"/>
  <c r="AE565" i="7"/>
  <c r="AM565" i="7" l="1"/>
  <c r="AK565" i="7"/>
  <c r="AJ565" i="7"/>
  <c r="AN565" i="7"/>
  <c r="AL565" i="7"/>
  <c r="AI565" i="7"/>
  <c r="AE566" i="7"/>
  <c r="Q566" i="7"/>
  <c r="T565" i="7"/>
  <c r="AJ566" i="7" l="1"/>
  <c r="AL566" i="7"/>
  <c r="AN566" i="7"/>
  <c r="AM566" i="7"/>
  <c r="AK566" i="7"/>
  <c r="AE567" i="7"/>
  <c r="AI566" i="7"/>
  <c r="Q567" i="7"/>
  <c r="T566" i="7"/>
  <c r="AJ567" i="7" l="1"/>
  <c r="AM567" i="7"/>
  <c r="AL567" i="7"/>
  <c r="AK567" i="7"/>
  <c r="AN567" i="7"/>
  <c r="T567" i="7"/>
  <c r="Q568" i="7"/>
  <c r="AE568" i="7"/>
  <c r="AI567" i="7"/>
  <c r="AJ568" i="7" l="1"/>
  <c r="AK568" i="7"/>
  <c r="AL568" i="7"/>
  <c r="AM568" i="7"/>
  <c r="AN568" i="7"/>
  <c r="AE569" i="7"/>
  <c r="AI568" i="7"/>
  <c r="T568" i="7"/>
  <c r="Q569" i="7"/>
  <c r="AL569" i="7" l="1"/>
  <c r="AK569" i="7"/>
  <c r="AJ569" i="7"/>
  <c r="AM569" i="7"/>
  <c r="AN569" i="7"/>
  <c r="Q570" i="7"/>
  <c r="T569" i="7"/>
  <c r="AI569" i="7"/>
  <c r="AE570" i="7"/>
  <c r="AN570" i="7" l="1"/>
  <c r="AM570" i="7"/>
  <c r="AJ570" i="7"/>
  <c r="AK570" i="7"/>
  <c r="AL570" i="7"/>
  <c r="AI570" i="7"/>
  <c r="AE571" i="7"/>
  <c r="T570" i="7"/>
  <c r="Q571" i="7"/>
  <c r="AN571" i="7" l="1"/>
  <c r="AK571" i="7"/>
  <c r="AL571" i="7"/>
  <c r="AM571" i="7"/>
  <c r="AJ571" i="7"/>
  <c r="T571" i="7"/>
  <c r="Q572" i="7"/>
  <c r="AE572" i="7"/>
  <c r="AI571" i="7"/>
  <c r="AJ572" i="7" l="1"/>
  <c r="AN572" i="7"/>
  <c r="AK572" i="7"/>
  <c r="AM572" i="7"/>
  <c r="AL572" i="7"/>
  <c r="AI572" i="7"/>
  <c r="AE573" i="7"/>
  <c r="Q573" i="7"/>
  <c r="T572" i="7"/>
  <c r="AK573" i="7" l="1"/>
  <c r="AL573" i="7"/>
  <c r="AN573" i="7"/>
  <c r="AJ573" i="7"/>
  <c r="AM573" i="7"/>
  <c r="AE574" i="7"/>
  <c r="AI573" i="7"/>
  <c r="T573" i="7"/>
  <c r="Q574" i="7"/>
  <c r="AM574" i="7" l="1"/>
  <c r="AK574" i="7"/>
  <c r="AN574" i="7"/>
  <c r="AJ574" i="7"/>
  <c r="AL574" i="7"/>
  <c r="T574" i="7"/>
  <c r="Q575" i="7"/>
  <c r="AI574" i="7"/>
  <c r="AE575" i="7"/>
  <c r="AN575" i="7" l="1"/>
  <c r="AL575" i="7"/>
  <c r="AK575" i="7"/>
  <c r="AM575" i="7"/>
  <c r="AJ575" i="7"/>
  <c r="AI575" i="7"/>
  <c r="AE576" i="7"/>
  <c r="T575" i="7"/>
  <c r="Q576" i="7"/>
  <c r="AJ576" i="7" l="1"/>
  <c r="AL576" i="7"/>
  <c r="AK576" i="7"/>
  <c r="AM576" i="7"/>
  <c r="AN576" i="7"/>
  <c r="T576" i="7"/>
  <c r="Q577" i="7"/>
  <c r="AE577" i="7"/>
  <c r="AI576" i="7"/>
  <c r="AM577" i="7" l="1"/>
  <c r="AK577" i="7"/>
  <c r="AN577" i="7"/>
  <c r="AL577" i="7"/>
  <c r="AJ577" i="7"/>
  <c r="AI577" i="7"/>
  <c r="AE578" i="7"/>
  <c r="T577" i="7"/>
  <c r="Q578" i="7"/>
  <c r="AM578" i="7" l="1"/>
  <c r="AJ578" i="7"/>
  <c r="AN578" i="7"/>
  <c r="AK578" i="7"/>
  <c r="AL578" i="7"/>
  <c r="Q579" i="7"/>
  <c r="T578" i="7"/>
  <c r="AI578" i="7"/>
  <c r="AE579" i="7"/>
  <c r="AL579" i="7" l="1"/>
  <c r="AJ579" i="7"/>
  <c r="AM579" i="7"/>
  <c r="AN579" i="7"/>
  <c r="AK579" i="7"/>
  <c r="AI579" i="7"/>
  <c r="AE580" i="7"/>
  <c r="Q580" i="7"/>
  <c r="T579" i="7"/>
  <c r="AM580" i="7" l="1"/>
  <c r="AL580" i="7"/>
  <c r="AJ580" i="7"/>
  <c r="AN580" i="7"/>
  <c r="AK580" i="7"/>
  <c r="Q581" i="7"/>
  <c r="T580" i="7"/>
  <c r="AI580" i="7"/>
  <c r="AE581" i="7"/>
  <c r="AL581" i="7" l="1"/>
  <c r="AJ581" i="7"/>
  <c r="AK581" i="7"/>
  <c r="AN581" i="7"/>
  <c r="AM581" i="7"/>
  <c r="AI581" i="7"/>
  <c r="AE582" i="7"/>
  <c r="T581" i="7"/>
  <c r="Q582" i="7"/>
  <c r="AN582" i="7" l="1"/>
  <c r="AM582" i="7"/>
  <c r="AK582" i="7"/>
  <c r="AJ582" i="7"/>
  <c r="AL582" i="7"/>
  <c r="AE583" i="7"/>
  <c r="AI582" i="7"/>
  <c r="Q583" i="7"/>
  <c r="T582" i="7"/>
  <c r="AN583" i="7" l="1"/>
  <c r="AM583" i="7"/>
  <c r="AJ583" i="7"/>
  <c r="AL583" i="7"/>
  <c r="AK583" i="7"/>
  <c r="T583" i="7"/>
  <c r="Q584" i="7"/>
  <c r="AE584" i="7"/>
  <c r="AI583" i="7"/>
  <c r="AM584" i="7" l="1"/>
  <c r="AK584" i="7"/>
  <c r="AL584" i="7"/>
  <c r="AN584" i="7"/>
  <c r="AJ584" i="7"/>
  <c r="AE585" i="7"/>
  <c r="AI584" i="7"/>
  <c r="T584" i="7"/>
  <c r="Q585" i="7"/>
  <c r="AN585" i="7" l="1"/>
  <c r="AL585" i="7"/>
  <c r="AJ585" i="7"/>
  <c r="AK585" i="7"/>
  <c r="AM585" i="7"/>
  <c r="Q586" i="7"/>
  <c r="T585" i="7"/>
  <c r="AI585" i="7"/>
  <c r="AE586" i="7"/>
  <c r="AN586" i="7" l="1"/>
  <c r="AJ586" i="7"/>
  <c r="AL586" i="7"/>
  <c r="AK586" i="7"/>
  <c r="AM586" i="7"/>
  <c r="AI586" i="7"/>
  <c r="AE587" i="7"/>
  <c r="T586" i="7"/>
  <c r="Q587" i="7"/>
  <c r="AL587" i="7" l="1"/>
  <c r="AM587" i="7"/>
  <c r="AJ587" i="7"/>
  <c r="AN587" i="7"/>
  <c r="AK587" i="7"/>
  <c r="AE588" i="7"/>
  <c r="AI587" i="7"/>
  <c r="T587" i="7"/>
  <c r="Q588" i="7"/>
  <c r="AN588" i="7" l="1"/>
  <c r="AL588" i="7"/>
  <c r="AK588" i="7"/>
  <c r="AJ588" i="7"/>
  <c r="AM588" i="7"/>
  <c r="AI588" i="7"/>
  <c r="AE589" i="7"/>
  <c r="Q589" i="7"/>
  <c r="T588" i="7"/>
  <c r="AJ589" i="7" l="1"/>
  <c r="AN589" i="7"/>
  <c r="AM589" i="7"/>
  <c r="AL589" i="7"/>
  <c r="AK589" i="7"/>
  <c r="T589" i="7"/>
  <c r="Q590" i="7"/>
  <c r="AE590" i="7"/>
  <c r="AI589" i="7"/>
  <c r="AJ590" i="7" l="1"/>
  <c r="AN590" i="7"/>
  <c r="AM590" i="7"/>
  <c r="AL590" i="7"/>
  <c r="AK590" i="7"/>
  <c r="AI590" i="7"/>
  <c r="AE591" i="7"/>
  <c r="T590" i="7"/>
  <c r="Q591" i="7"/>
  <c r="AM591" i="7" l="1"/>
  <c r="AJ591" i="7"/>
  <c r="AN591" i="7"/>
  <c r="AK591" i="7"/>
  <c r="AL591" i="7"/>
  <c r="AI591" i="7"/>
  <c r="AE592" i="7"/>
  <c r="T591" i="7"/>
  <c r="Q592" i="7"/>
  <c r="AK592" i="7" l="1"/>
  <c r="AL592" i="7"/>
  <c r="AJ592" i="7"/>
  <c r="AM592" i="7"/>
  <c r="AN592" i="7"/>
  <c r="T592" i="7"/>
  <c r="Q593" i="7"/>
  <c r="AE593" i="7"/>
  <c r="AI592" i="7"/>
  <c r="AM593" i="7" l="1"/>
  <c r="AL593" i="7"/>
  <c r="AK593" i="7"/>
  <c r="AN593" i="7"/>
  <c r="AJ593" i="7"/>
  <c r="AE594" i="7"/>
  <c r="AI593" i="7"/>
  <c r="T593" i="7"/>
  <c r="Q594" i="7"/>
  <c r="AK594" i="7" l="1"/>
  <c r="AM594" i="7"/>
  <c r="AN594" i="7"/>
  <c r="AJ594" i="7"/>
  <c r="AL594" i="7"/>
  <c r="Q595" i="7"/>
  <c r="T594" i="7"/>
  <c r="AI594" i="7"/>
  <c r="AE595" i="7"/>
  <c r="AL595" i="7" l="1"/>
  <c r="AJ595" i="7"/>
  <c r="AK595" i="7"/>
  <c r="AN595" i="7"/>
  <c r="AM595" i="7"/>
  <c r="AI595" i="7"/>
  <c r="AE596" i="7"/>
  <c r="Q596" i="7"/>
  <c r="T595" i="7"/>
  <c r="AJ596" i="7" l="1"/>
  <c r="AL596" i="7"/>
  <c r="AK596" i="7"/>
  <c r="AN596" i="7"/>
  <c r="AM596" i="7"/>
  <c r="Q597" i="7"/>
  <c r="T596" i="7"/>
  <c r="AI596" i="7"/>
  <c r="AE597" i="7"/>
  <c r="AM597" i="7" l="1"/>
  <c r="AK597" i="7"/>
  <c r="AN597" i="7"/>
  <c r="AJ597" i="7"/>
  <c r="AL597" i="7"/>
  <c r="AI597" i="7"/>
  <c r="AE598" i="7"/>
  <c r="T597" i="7"/>
  <c r="Q598" i="7"/>
  <c r="AL598" i="7" l="1"/>
  <c r="AJ598" i="7"/>
  <c r="AM598" i="7"/>
  <c r="AN598" i="7"/>
  <c r="AK598" i="7"/>
  <c r="AE599" i="7"/>
  <c r="AI598" i="7"/>
  <c r="T598" i="7"/>
  <c r="Q599" i="7"/>
  <c r="AM599" i="7" l="1"/>
  <c r="AK599" i="7"/>
  <c r="AN599" i="7"/>
  <c r="AJ599" i="7"/>
  <c r="AL599" i="7"/>
  <c r="Q600" i="7"/>
  <c r="T599" i="7"/>
  <c r="AE600" i="7"/>
  <c r="AI599" i="7"/>
  <c r="AL600" i="7" l="1"/>
  <c r="AN600" i="7"/>
  <c r="AK600" i="7"/>
  <c r="AM600" i="7"/>
  <c r="AJ600" i="7"/>
  <c r="AE601" i="7"/>
  <c r="AI600" i="7"/>
  <c r="T600" i="7"/>
  <c r="Q601" i="7"/>
  <c r="AN601" i="7" l="1"/>
  <c r="AK601" i="7"/>
  <c r="AM601" i="7"/>
  <c r="AL601" i="7"/>
  <c r="AJ601" i="7"/>
  <c r="Q602" i="7"/>
  <c r="T601" i="7"/>
  <c r="AE602" i="7"/>
  <c r="AI601" i="7"/>
  <c r="AM602" i="7" l="1"/>
  <c r="AJ602" i="7"/>
  <c r="AL602" i="7"/>
  <c r="AN602" i="7"/>
  <c r="AK602" i="7"/>
  <c r="AE603" i="7"/>
  <c r="AI602" i="7"/>
  <c r="T602" i="7"/>
  <c r="Q603" i="7"/>
  <c r="AM603" i="7" l="1"/>
  <c r="AL603" i="7"/>
  <c r="AN603" i="7"/>
  <c r="AK603" i="7"/>
  <c r="AJ603" i="7"/>
  <c r="T603" i="7"/>
  <c r="Q604" i="7"/>
  <c r="AE604" i="7"/>
  <c r="AI603" i="7"/>
  <c r="AN604" i="7" l="1"/>
  <c r="AL604" i="7"/>
  <c r="AK604" i="7"/>
  <c r="AM604" i="7"/>
  <c r="AJ604" i="7"/>
  <c r="AI604" i="7"/>
  <c r="AE605" i="7"/>
  <c r="Q605" i="7"/>
  <c r="T604" i="7"/>
  <c r="AL605" i="7" l="1"/>
  <c r="AK605" i="7"/>
  <c r="AN605" i="7"/>
  <c r="AM605" i="7"/>
  <c r="AJ605" i="7"/>
  <c r="T605" i="7"/>
  <c r="Q606" i="7"/>
  <c r="AE606" i="7"/>
  <c r="AI605" i="7"/>
  <c r="AJ606" i="7" l="1"/>
  <c r="AL606" i="7"/>
  <c r="AN606" i="7"/>
  <c r="AK606" i="7"/>
  <c r="AM606" i="7"/>
  <c r="AI606" i="7"/>
  <c r="AE607" i="7"/>
  <c r="T606" i="7"/>
  <c r="Q607" i="7"/>
  <c r="AN607" i="7" l="1"/>
  <c r="AK607" i="7"/>
  <c r="AM607" i="7"/>
  <c r="AL607" i="7"/>
  <c r="AJ607" i="7"/>
  <c r="T607" i="7"/>
  <c r="Q608" i="7"/>
  <c r="AI607" i="7"/>
  <c r="AE608" i="7"/>
  <c r="AK608" i="7" l="1"/>
  <c r="AL608" i="7"/>
  <c r="AJ608" i="7"/>
  <c r="AN608" i="7"/>
  <c r="AM608" i="7"/>
  <c r="AE609" i="7"/>
  <c r="AI608" i="7"/>
  <c r="Q609" i="7"/>
  <c r="T608" i="7"/>
  <c r="AN609" i="7" l="1"/>
  <c r="AJ609" i="7"/>
  <c r="AL609" i="7"/>
  <c r="AK609" i="7"/>
  <c r="AM609" i="7"/>
  <c r="T609" i="7"/>
  <c r="Q610" i="7"/>
  <c r="AE610" i="7"/>
  <c r="AI609" i="7"/>
  <c r="AJ610" i="7" l="1"/>
  <c r="AN610" i="7"/>
  <c r="AK610" i="7"/>
  <c r="AL610" i="7"/>
  <c r="AM610" i="7"/>
  <c r="AI610" i="7"/>
  <c r="AE611" i="7"/>
  <c r="Q611" i="7"/>
  <c r="T610" i="7"/>
  <c r="AL611" i="7" l="1"/>
  <c r="AJ611" i="7"/>
  <c r="AM611" i="7"/>
  <c r="AK611" i="7"/>
  <c r="AN611" i="7"/>
  <c r="Q612" i="7"/>
  <c r="T611" i="7"/>
  <c r="AI611" i="7"/>
  <c r="AE612" i="7"/>
  <c r="AL612" i="7" l="1"/>
  <c r="AM612" i="7"/>
  <c r="AN612" i="7"/>
  <c r="AJ612" i="7"/>
  <c r="AK612" i="7"/>
  <c r="AI612" i="7"/>
  <c r="AE613" i="7"/>
  <c r="Q613" i="7"/>
  <c r="T612" i="7"/>
  <c r="AL613" i="7" l="1"/>
  <c r="AJ613" i="7"/>
  <c r="AM613" i="7"/>
  <c r="AK613" i="7"/>
  <c r="AN613" i="7"/>
  <c r="AI613" i="7"/>
  <c r="AE614" i="7"/>
  <c r="T613" i="7"/>
  <c r="Q614" i="7"/>
  <c r="AL614" i="7" l="1"/>
  <c r="AN614" i="7"/>
  <c r="AK614" i="7"/>
  <c r="AM614" i="7"/>
  <c r="AJ614" i="7"/>
  <c r="T614" i="7"/>
  <c r="Q615" i="7"/>
  <c r="AI614" i="7"/>
  <c r="AE615" i="7"/>
  <c r="AL615" i="7" l="1"/>
  <c r="AJ615" i="7"/>
  <c r="AN615" i="7"/>
  <c r="AM615" i="7"/>
  <c r="AK615" i="7"/>
  <c r="AE616" i="7"/>
  <c r="AI615" i="7"/>
  <c r="Q616" i="7"/>
  <c r="T615" i="7"/>
  <c r="AN616" i="7" l="1"/>
  <c r="AM616" i="7"/>
  <c r="AL616" i="7"/>
  <c r="AK616" i="7"/>
  <c r="AJ616" i="7"/>
  <c r="Q617" i="7"/>
  <c r="T616" i="7"/>
  <c r="AE617" i="7"/>
  <c r="AI616" i="7"/>
  <c r="AM617" i="7" l="1"/>
  <c r="AN617" i="7"/>
  <c r="AJ617" i="7"/>
  <c r="AL617" i="7"/>
  <c r="AK617" i="7"/>
  <c r="AI617" i="7"/>
  <c r="AE618" i="7"/>
  <c r="Q618" i="7"/>
  <c r="T617" i="7"/>
  <c r="AK618" i="7" l="1"/>
  <c r="AL618" i="7"/>
  <c r="AJ618" i="7"/>
  <c r="AM618" i="7"/>
  <c r="AN618" i="7"/>
  <c r="T618" i="7"/>
  <c r="Q619" i="7"/>
  <c r="AI618" i="7"/>
  <c r="AE619" i="7"/>
  <c r="AJ619" i="7" l="1"/>
  <c r="AN619" i="7"/>
  <c r="AL619" i="7"/>
  <c r="AM619" i="7"/>
  <c r="AK619" i="7"/>
  <c r="Q620" i="7"/>
  <c r="T619" i="7"/>
  <c r="AE620" i="7"/>
  <c r="AI619" i="7"/>
  <c r="AK620" i="7" l="1"/>
  <c r="AL620" i="7"/>
  <c r="AN620" i="7"/>
  <c r="AM620" i="7"/>
  <c r="AJ620" i="7"/>
  <c r="AE621" i="7"/>
  <c r="AI620" i="7"/>
  <c r="Q621" i="7"/>
  <c r="T620" i="7"/>
  <c r="AJ621" i="7" l="1"/>
  <c r="AM621" i="7"/>
  <c r="AN621" i="7"/>
  <c r="AL621" i="7"/>
  <c r="AK621" i="7"/>
  <c r="T621" i="7"/>
  <c r="Q622" i="7"/>
  <c r="AE622" i="7"/>
  <c r="AI621" i="7"/>
  <c r="AM622" i="7" l="1"/>
  <c r="AN622" i="7"/>
  <c r="AL622" i="7"/>
  <c r="AK622" i="7"/>
  <c r="AJ622" i="7"/>
  <c r="AE623" i="7"/>
  <c r="AI622" i="7"/>
  <c r="T622" i="7"/>
  <c r="Q623" i="7"/>
  <c r="AL623" i="7" l="1"/>
  <c r="AN623" i="7"/>
  <c r="AM623" i="7"/>
  <c r="AJ623" i="7"/>
  <c r="AK623" i="7"/>
  <c r="Q624" i="7"/>
  <c r="T623" i="7"/>
  <c r="AI623" i="7"/>
  <c r="AE624" i="7"/>
  <c r="AL624" i="7" l="1"/>
  <c r="AN624" i="7"/>
  <c r="AK624" i="7"/>
  <c r="AJ624" i="7"/>
  <c r="AM624" i="7"/>
  <c r="AE625" i="7"/>
  <c r="AI624" i="7"/>
  <c r="T624" i="7"/>
  <c r="Q625" i="7"/>
  <c r="AK625" i="7" l="1"/>
  <c r="AJ625" i="7"/>
  <c r="AL625" i="7"/>
  <c r="AN625" i="7"/>
  <c r="AM625" i="7"/>
  <c r="Q626" i="7"/>
  <c r="T625" i="7"/>
  <c r="AE626" i="7"/>
  <c r="AI625" i="7"/>
  <c r="AL626" i="7" l="1"/>
  <c r="AJ626" i="7"/>
  <c r="AN626" i="7"/>
  <c r="AM626" i="7"/>
  <c r="AK626" i="7"/>
  <c r="AE627" i="7"/>
  <c r="AI626" i="7"/>
  <c r="T626" i="7"/>
  <c r="Q627" i="7"/>
  <c r="AJ627" i="7" l="1"/>
  <c r="AK627" i="7"/>
  <c r="AL627" i="7"/>
  <c r="AM627" i="7"/>
  <c r="AN627" i="7"/>
  <c r="Q628" i="7"/>
  <c r="T627" i="7"/>
  <c r="AE628" i="7"/>
  <c r="AI627" i="7"/>
  <c r="AN628" i="7" l="1"/>
  <c r="AL628" i="7"/>
  <c r="AJ628" i="7"/>
  <c r="AK628" i="7"/>
  <c r="AM628" i="7"/>
  <c r="AE629" i="7"/>
  <c r="AI628" i="7"/>
  <c r="Q629" i="7"/>
  <c r="T628" i="7"/>
  <c r="AK629" i="7" l="1"/>
  <c r="AL629" i="7"/>
  <c r="AN629" i="7"/>
  <c r="AJ629" i="7"/>
  <c r="AM629" i="7"/>
  <c r="AI629" i="7"/>
  <c r="AE630" i="7"/>
  <c r="T629" i="7"/>
  <c r="Q630" i="7"/>
  <c r="AN630" i="7" l="1"/>
  <c r="AK630" i="7"/>
  <c r="AM630" i="7"/>
  <c r="AJ630" i="7"/>
  <c r="AL630" i="7"/>
  <c r="AI630" i="7"/>
  <c r="AE631" i="7"/>
  <c r="T630" i="7"/>
  <c r="Q631" i="7"/>
  <c r="AN631" i="7" l="1"/>
  <c r="AJ631" i="7"/>
  <c r="AM631" i="7"/>
  <c r="AK631" i="7"/>
  <c r="AL631" i="7"/>
  <c r="Q632" i="7"/>
  <c r="T631" i="7"/>
  <c r="AE632" i="7"/>
  <c r="AI631" i="7"/>
  <c r="AK632" i="7" l="1"/>
  <c r="AL632" i="7"/>
  <c r="AJ632" i="7"/>
  <c r="AN632" i="7"/>
  <c r="AM632" i="7"/>
  <c r="AE633" i="7"/>
  <c r="AI632" i="7"/>
  <c r="Q633" i="7"/>
  <c r="T632" i="7"/>
  <c r="AM633" i="7" l="1"/>
  <c r="AN633" i="7"/>
  <c r="AJ633" i="7"/>
  <c r="AL633" i="7"/>
  <c r="AK633" i="7"/>
  <c r="Q634" i="7"/>
  <c r="T633" i="7"/>
  <c r="AE634" i="7"/>
  <c r="AI633" i="7"/>
  <c r="AL634" i="7" l="1"/>
  <c r="AN634" i="7"/>
  <c r="AM634" i="7"/>
  <c r="AK634" i="7"/>
  <c r="AJ634" i="7"/>
  <c r="AI634" i="7"/>
  <c r="AE635" i="7"/>
  <c r="Q635" i="7"/>
  <c r="T634" i="7"/>
  <c r="AM635" i="7" l="1"/>
  <c r="AL635" i="7"/>
  <c r="AK635" i="7"/>
  <c r="AN635" i="7"/>
  <c r="AJ635" i="7"/>
  <c r="T635" i="7"/>
  <c r="Q636" i="7"/>
  <c r="AE636" i="7"/>
  <c r="AI635" i="7"/>
  <c r="AK636" i="7" l="1"/>
  <c r="AJ636" i="7"/>
  <c r="AN636" i="7"/>
  <c r="AM636" i="7"/>
  <c r="AL636" i="7"/>
  <c r="AE637" i="7"/>
  <c r="AI636" i="7"/>
  <c r="Q637" i="7"/>
  <c r="T636" i="7"/>
  <c r="AM637" i="7" l="1"/>
  <c r="AJ637" i="7"/>
  <c r="AK637" i="7"/>
  <c r="AN637" i="7"/>
  <c r="AL637" i="7"/>
  <c r="T637" i="7"/>
  <c r="Q638" i="7"/>
  <c r="AE638" i="7"/>
  <c r="AI637" i="7"/>
  <c r="AN638" i="7" l="1"/>
  <c r="AK638" i="7"/>
  <c r="AL638" i="7"/>
  <c r="AM638" i="7"/>
  <c r="AJ638" i="7"/>
  <c r="AE639" i="7"/>
  <c r="AI638" i="7"/>
  <c r="T638" i="7"/>
  <c r="Q639" i="7"/>
  <c r="AL639" i="7" l="1"/>
  <c r="AM639" i="7"/>
  <c r="AN639" i="7"/>
  <c r="AK639" i="7"/>
  <c r="AJ639" i="7"/>
  <c r="Q640" i="7"/>
  <c r="T639" i="7"/>
  <c r="AE640" i="7"/>
  <c r="AI639" i="7"/>
  <c r="AJ640" i="7" l="1"/>
  <c r="AM640" i="7"/>
  <c r="AK640" i="7"/>
  <c r="AL640" i="7"/>
  <c r="AN640" i="7"/>
  <c r="AE641" i="7"/>
  <c r="AI640" i="7"/>
  <c r="Q641" i="7"/>
  <c r="T640" i="7"/>
  <c r="AN641" i="7" l="1"/>
  <c r="AJ641" i="7"/>
  <c r="AL641" i="7"/>
  <c r="AK641" i="7"/>
  <c r="AM641" i="7"/>
  <c r="Q642" i="7"/>
  <c r="T641" i="7"/>
  <c r="AE642" i="7"/>
  <c r="AI641" i="7"/>
  <c r="AN642" i="7" l="1"/>
  <c r="AK642" i="7"/>
  <c r="AL642" i="7"/>
  <c r="AJ642" i="7"/>
  <c r="AM642" i="7"/>
  <c r="AE643" i="7"/>
  <c r="AI642" i="7"/>
  <c r="T642" i="7"/>
  <c r="Q643" i="7"/>
  <c r="AK643" i="7" l="1"/>
  <c r="AN643" i="7"/>
  <c r="AM643" i="7"/>
  <c r="AL643" i="7"/>
  <c r="AJ643" i="7"/>
  <c r="AE644" i="7"/>
  <c r="AI643" i="7"/>
  <c r="Q644" i="7"/>
  <c r="T643" i="7"/>
  <c r="AL644" i="7" l="1"/>
  <c r="AJ644" i="7"/>
  <c r="AM644" i="7"/>
  <c r="AN644" i="7"/>
  <c r="AK644" i="7"/>
  <c r="Q645" i="7"/>
  <c r="T644" i="7"/>
  <c r="AE645" i="7"/>
  <c r="AI644" i="7"/>
  <c r="AJ645" i="7" l="1"/>
  <c r="AM645" i="7"/>
  <c r="AK645" i="7"/>
  <c r="AN645" i="7"/>
  <c r="AL645" i="7"/>
  <c r="AI645" i="7"/>
  <c r="AE646" i="7"/>
  <c r="T645" i="7"/>
  <c r="Q646" i="7"/>
  <c r="AK646" i="7" l="1"/>
  <c r="AJ646" i="7"/>
  <c r="AM646" i="7"/>
  <c r="AL646" i="7"/>
  <c r="AN646" i="7"/>
  <c r="Q647" i="7"/>
  <c r="T646" i="7"/>
  <c r="AI646" i="7"/>
  <c r="AE647" i="7"/>
  <c r="AJ647" i="7" l="1"/>
  <c r="AL647" i="7"/>
  <c r="AK647" i="7"/>
  <c r="AM647" i="7"/>
  <c r="AN647" i="7"/>
  <c r="AE648" i="7"/>
  <c r="AI647" i="7"/>
  <c r="Q648" i="7"/>
  <c r="T647" i="7"/>
  <c r="AN648" i="7" l="1"/>
  <c r="AK648" i="7"/>
  <c r="AJ648" i="7"/>
  <c r="AL648" i="7"/>
  <c r="AM648" i="7"/>
  <c r="AE649" i="7"/>
  <c r="AI648" i="7"/>
  <c r="Q649" i="7"/>
  <c r="T648" i="7"/>
  <c r="AN649" i="7" l="1"/>
  <c r="AJ649" i="7"/>
  <c r="AM649" i="7"/>
  <c r="AK649" i="7"/>
  <c r="AL649" i="7"/>
  <c r="Q650" i="7"/>
  <c r="T649" i="7"/>
  <c r="AI649" i="7"/>
  <c r="AE650" i="7"/>
  <c r="AN650" i="7" l="1"/>
  <c r="AM650" i="7"/>
  <c r="AJ650" i="7"/>
  <c r="AL650" i="7"/>
  <c r="AK650" i="7"/>
  <c r="AI650" i="7"/>
  <c r="AE651" i="7"/>
  <c r="Q651" i="7"/>
  <c r="T650" i="7"/>
  <c r="AL651" i="7" l="1"/>
  <c r="AJ651" i="7"/>
  <c r="AK651" i="7"/>
  <c r="AN651" i="7"/>
  <c r="AM651" i="7"/>
  <c r="T651" i="7"/>
  <c r="Q652" i="7"/>
  <c r="AE652" i="7"/>
  <c r="AI651" i="7"/>
  <c r="AM652" i="7" l="1"/>
  <c r="AN652" i="7"/>
  <c r="AK652" i="7"/>
  <c r="AJ652" i="7"/>
  <c r="AL652" i="7"/>
  <c r="AE653" i="7"/>
  <c r="AI652" i="7"/>
  <c r="Q653" i="7"/>
  <c r="T652" i="7"/>
  <c r="AM653" i="7" l="1"/>
  <c r="AN653" i="7"/>
  <c r="AL653" i="7"/>
  <c r="AK653" i="7"/>
  <c r="AJ653" i="7"/>
  <c r="T653" i="7"/>
  <c r="Q654" i="7"/>
  <c r="AE654" i="7"/>
  <c r="AI653" i="7"/>
  <c r="AK654" i="7" l="1"/>
  <c r="AL654" i="7"/>
  <c r="AN654" i="7"/>
  <c r="AM654" i="7"/>
  <c r="AJ654" i="7"/>
  <c r="AE655" i="7"/>
  <c r="AI654" i="7"/>
  <c r="T654" i="7"/>
  <c r="Q655" i="7"/>
  <c r="AJ655" i="7" l="1"/>
  <c r="AN655" i="7"/>
  <c r="AM655" i="7"/>
  <c r="AK655" i="7"/>
  <c r="AL655" i="7"/>
  <c r="Q656" i="7"/>
  <c r="T655" i="7"/>
  <c r="AI655" i="7"/>
  <c r="AE656" i="7"/>
  <c r="AK656" i="7" l="1"/>
  <c r="AJ656" i="7"/>
  <c r="AL656" i="7"/>
  <c r="AN656" i="7"/>
  <c r="AM656" i="7"/>
  <c r="AE657" i="7"/>
  <c r="AI656" i="7"/>
  <c r="Q657" i="7"/>
  <c r="T656" i="7"/>
  <c r="AN657" i="7" l="1"/>
  <c r="AJ657" i="7"/>
  <c r="AK657" i="7"/>
  <c r="AL657" i="7"/>
  <c r="AM657" i="7"/>
  <c r="T657" i="7"/>
  <c r="Q658" i="7"/>
  <c r="AE658" i="7"/>
  <c r="AI657" i="7"/>
  <c r="AM658" i="7" l="1"/>
  <c r="AL658" i="7"/>
  <c r="AJ658" i="7"/>
  <c r="AK658" i="7"/>
  <c r="AN658" i="7"/>
  <c r="AE659" i="7"/>
  <c r="AI658" i="7"/>
  <c r="T658" i="7"/>
  <c r="Q659" i="7"/>
  <c r="AK659" i="7" l="1"/>
  <c r="AL659" i="7"/>
  <c r="AJ659" i="7"/>
  <c r="AM659" i="7"/>
  <c r="AN659" i="7"/>
  <c r="Q660" i="7"/>
  <c r="T659" i="7"/>
  <c r="AE660" i="7"/>
  <c r="AI659" i="7"/>
  <c r="AK660" i="7" l="1"/>
  <c r="AL660" i="7"/>
  <c r="AJ660" i="7"/>
  <c r="AN660" i="7"/>
  <c r="AM660" i="7"/>
  <c r="AE661" i="7"/>
  <c r="AI660" i="7"/>
  <c r="Q661" i="7"/>
  <c r="T660" i="7"/>
  <c r="AJ661" i="7" l="1"/>
  <c r="AK661" i="7"/>
  <c r="AN661" i="7"/>
  <c r="AL661" i="7"/>
  <c r="AM661" i="7"/>
  <c r="T661" i="7"/>
  <c r="Q662" i="7"/>
  <c r="AE662" i="7"/>
  <c r="AI661" i="7"/>
  <c r="AM662" i="7" l="1"/>
  <c r="AK662" i="7"/>
  <c r="AJ662" i="7"/>
  <c r="AN662" i="7"/>
  <c r="AL662" i="7"/>
  <c r="AE663" i="7"/>
  <c r="AI662" i="7"/>
  <c r="Q663" i="7"/>
  <c r="T662" i="7"/>
  <c r="AM663" i="7" l="1"/>
  <c r="AN663" i="7"/>
  <c r="AK663" i="7"/>
  <c r="AL663" i="7"/>
  <c r="AJ663" i="7"/>
  <c r="Q664" i="7"/>
  <c r="T663" i="7"/>
  <c r="AE664" i="7"/>
  <c r="AI663" i="7"/>
  <c r="AL664" i="7" l="1"/>
  <c r="AK664" i="7"/>
  <c r="AM664" i="7"/>
  <c r="AJ664" i="7"/>
  <c r="AN664" i="7"/>
  <c r="Q665" i="7"/>
  <c r="T664" i="7"/>
  <c r="AE665" i="7"/>
  <c r="AI664" i="7"/>
  <c r="AN665" i="7" l="1"/>
  <c r="AJ665" i="7"/>
  <c r="AL665" i="7"/>
  <c r="AK665" i="7"/>
  <c r="AM665" i="7"/>
  <c r="AI665" i="7"/>
  <c r="AE666" i="7"/>
  <c r="Q666" i="7"/>
  <c r="T665" i="7"/>
  <c r="AJ666" i="7" l="1"/>
  <c r="AM666" i="7"/>
  <c r="AK666" i="7"/>
  <c r="AN666" i="7"/>
  <c r="AL666" i="7"/>
  <c r="Q667" i="7"/>
  <c r="T666" i="7"/>
  <c r="AE667" i="7"/>
  <c r="AI666" i="7"/>
  <c r="AN667" i="7" l="1"/>
  <c r="AK667" i="7"/>
  <c r="AL667" i="7"/>
  <c r="AM667" i="7"/>
  <c r="AJ667" i="7"/>
  <c r="AE668" i="7"/>
  <c r="AI667" i="7"/>
  <c r="T667" i="7"/>
  <c r="Q668" i="7"/>
  <c r="AJ668" i="7" l="1"/>
  <c r="AK668" i="7"/>
  <c r="AM668" i="7"/>
  <c r="AN668" i="7"/>
  <c r="AL668" i="7"/>
  <c r="Q669" i="7"/>
  <c r="T668" i="7"/>
  <c r="AE669" i="7"/>
  <c r="AI668" i="7"/>
  <c r="AJ669" i="7" l="1"/>
  <c r="AM669" i="7"/>
  <c r="AK669" i="7"/>
  <c r="AN669" i="7"/>
  <c r="AL669" i="7"/>
  <c r="T669" i="7"/>
  <c r="Q670" i="7"/>
  <c r="AE670" i="7"/>
  <c r="AI669" i="7"/>
  <c r="AM670" i="7" l="1"/>
  <c r="AL670" i="7"/>
  <c r="AK670" i="7"/>
  <c r="AJ670" i="7"/>
  <c r="AN670" i="7"/>
  <c r="AE671" i="7"/>
  <c r="AI670" i="7"/>
  <c r="T670" i="7"/>
  <c r="Q671" i="7"/>
  <c r="AL671" i="7" l="1"/>
  <c r="AJ671" i="7"/>
  <c r="AM671" i="7"/>
  <c r="AN671" i="7"/>
  <c r="AK671" i="7"/>
  <c r="Q672" i="7"/>
  <c r="T671" i="7"/>
  <c r="AI671" i="7"/>
  <c r="AE672" i="7"/>
  <c r="AJ672" i="7" l="1"/>
  <c r="AK672" i="7"/>
  <c r="AL672" i="7"/>
  <c r="AN672" i="7"/>
  <c r="AM672" i="7"/>
  <c r="AE673" i="7"/>
  <c r="AI672" i="7"/>
  <c r="Q673" i="7"/>
  <c r="T672" i="7"/>
  <c r="AN673" i="7" l="1"/>
  <c r="AK673" i="7"/>
  <c r="AL673" i="7"/>
  <c r="AJ673" i="7"/>
  <c r="AM673" i="7"/>
  <c r="Q674" i="7"/>
  <c r="T673" i="7"/>
  <c r="AI673" i="7"/>
  <c r="AE674" i="7"/>
  <c r="AL674" i="7" l="1"/>
  <c r="AJ674" i="7"/>
  <c r="AN674" i="7"/>
  <c r="AM674" i="7"/>
  <c r="AK674" i="7"/>
  <c r="AI674" i="7"/>
  <c r="AE675" i="7"/>
  <c r="T674" i="7"/>
  <c r="Q675" i="7"/>
  <c r="AM675" i="7" l="1"/>
  <c r="AJ675" i="7"/>
  <c r="AL675" i="7"/>
  <c r="AK675" i="7"/>
  <c r="AN675" i="7"/>
  <c r="Q676" i="7"/>
  <c r="T675" i="7"/>
  <c r="AE676" i="7"/>
  <c r="AI675" i="7"/>
  <c r="AK676" i="7" l="1"/>
  <c r="AJ676" i="7"/>
  <c r="AM676" i="7"/>
  <c r="AN676" i="7"/>
  <c r="AL676" i="7"/>
  <c r="AE677" i="7"/>
  <c r="AI676" i="7"/>
  <c r="Q677" i="7"/>
  <c r="T676" i="7"/>
  <c r="AK677" i="7" l="1"/>
  <c r="AJ677" i="7"/>
  <c r="AN677" i="7"/>
  <c r="AL677" i="7"/>
  <c r="AM677" i="7"/>
  <c r="T677" i="7"/>
  <c r="Q678" i="7"/>
  <c r="AE678" i="7"/>
  <c r="AI677" i="7"/>
  <c r="AL678" i="7" l="1"/>
  <c r="AK678" i="7"/>
  <c r="AJ678" i="7"/>
  <c r="AN678" i="7"/>
  <c r="AM678" i="7"/>
  <c r="T678" i="7"/>
  <c r="Q679" i="7"/>
  <c r="AI678" i="7"/>
  <c r="AE679" i="7"/>
  <c r="AN679" i="7" l="1"/>
  <c r="AK679" i="7"/>
  <c r="AM679" i="7"/>
  <c r="AL679" i="7"/>
  <c r="AJ679" i="7"/>
  <c r="AE680" i="7"/>
  <c r="AI679" i="7"/>
  <c r="Q680" i="7"/>
  <c r="T679" i="7"/>
  <c r="AL680" i="7" l="1"/>
  <c r="AK680" i="7"/>
  <c r="AN680" i="7"/>
  <c r="AJ680" i="7"/>
  <c r="AM680" i="7"/>
  <c r="Q681" i="7"/>
  <c r="T680" i="7"/>
  <c r="AE681" i="7"/>
  <c r="AI680" i="7"/>
  <c r="AJ681" i="7" l="1"/>
  <c r="AL681" i="7"/>
  <c r="AM681" i="7"/>
  <c r="AK681" i="7"/>
  <c r="AN681" i="7"/>
  <c r="AI681" i="7"/>
  <c r="AE682" i="7"/>
  <c r="Q682" i="7"/>
  <c r="T681" i="7"/>
  <c r="AM682" i="7" l="1"/>
  <c r="AJ682" i="7"/>
  <c r="AL682" i="7"/>
  <c r="AK682" i="7"/>
  <c r="AN682" i="7"/>
  <c r="Q683" i="7"/>
  <c r="T682" i="7"/>
  <c r="AI682" i="7"/>
  <c r="AE683" i="7"/>
  <c r="AL683" i="7" l="1"/>
  <c r="AM683" i="7"/>
  <c r="AJ683" i="7"/>
  <c r="AN683" i="7"/>
  <c r="AK683" i="7"/>
  <c r="AE684" i="7"/>
  <c r="AI683" i="7"/>
  <c r="Q684" i="7"/>
  <c r="T683" i="7"/>
  <c r="AK684" i="7" l="1"/>
  <c r="AL684" i="7"/>
  <c r="AN684" i="7"/>
  <c r="AJ684" i="7"/>
  <c r="AM684" i="7"/>
  <c r="AE685" i="7"/>
  <c r="AI684" i="7"/>
  <c r="Q685" i="7"/>
  <c r="T684" i="7"/>
  <c r="AL685" i="7" l="1"/>
  <c r="AM685" i="7"/>
  <c r="AK685" i="7"/>
  <c r="AN685" i="7"/>
  <c r="AJ685" i="7"/>
  <c r="Q686" i="7"/>
  <c r="T685" i="7"/>
  <c r="AE686" i="7"/>
  <c r="AI685" i="7"/>
  <c r="AL686" i="7" l="1"/>
  <c r="AJ686" i="7"/>
  <c r="AM686" i="7"/>
  <c r="AN686" i="7"/>
  <c r="AK686" i="7"/>
  <c r="AE687" i="7"/>
  <c r="AI686" i="7"/>
  <c r="Q687" i="7"/>
  <c r="T686" i="7"/>
  <c r="AJ687" i="7" l="1"/>
  <c r="AM687" i="7"/>
  <c r="AL687" i="7"/>
  <c r="AN687" i="7"/>
  <c r="AK687" i="7"/>
  <c r="Q688" i="7"/>
  <c r="T687" i="7"/>
  <c r="AE688" i="7"/>
  <c r="AI687" i="7"/>
  <c r="AL688" i="7" l="1"/>
  <c r="AN688" i="7"/>
  <c r="AK688" i="7"/>
  <c r="AM688" i="7"/>
  <c r="AJ688" i="7"/>
  <c r="AE689" i="7"/>
  <c r="AI688" i="7"/>
  <c r="Q689" i="7"/>
  <c r="T688" i="7"/>
  <c r="AL689" i="7" l="1"/>
  <c r="AK689" i="7"/>
  <c r="AJ689" i="7"/>
  <c r="AM689" i="7"/>
  <c r="AN689" i="7"/>
  <c r="T689" i="7"/>
  <c r="Q690" i="7"/>
  <c r="AE690" i="7"/>
  <c r="AI689" i="7"/>
  <c r="AL690" i="7" l="1"/>
  <c r="AN690" i="7"/>
  <c r="AJ690" i="7"/>
  <c r="AK690" i="7"/>
  <c r="AM690" i="7"/>
  <c r="T690" i="7"/>
  <c r="Q691" i="7"/>
  <c r="AE691" i="7"/>
  <c r="AI690" i="7"/>
  <c r="AK691" i="7" l="1"/>
  <c r="AM691" i="7"/>
  <c r="AN691" i="7"/>
  <c r="AL691" i="7"/>
  <c r="AJ691" i="7"/>
  <c r="AE692" i="7"/>
  <c r="AI691" i="7"/>
  <c r="Q692" i="7"/>
  <c r="T691" i="7"/>
  <c r="AL692" i="7" l="1"/>
  <c r="AJ692" i="7"/>
  <c r="AM692" i="7"/>
  <c r="AK692" i="7"/>
  <c r="AN692" i="7"/>
  <c r="Q693" i="7"/>
  <c r="T692" i="7"/>
  <c r="AE693" i="7"/>
  <c r="AI692" i="7"/>
  <c r="AJ693" i="7" l="1"/>
  <c r="AK693" i="7"/>
  <c r="AL693" i="7"/>
  <c r="AM693" i="7"/>
  <c r="AN693" i="7"/>
  <c r="AE694" i="7"/>
  <c r="AI693" i="7"/>
  <c r="T693" i="7"/>
  <c r="Q694" i="7"/>
  <c r="AL694" i="7" l="1"/>
  <c r="AN694" i="7"/>
  <c r="AJ694" i="7"/>
  <c r="AK694" i="7"/>
  <c r="AM694" i="7"/>
  <c r="AI694" i="7"/>
  <c r="AE695" i="7"/>
  <c r="T694" i="7"/>
  <c r="Q695" i="7"/>
  <c r="AN695" i="7" l="1"/>
  <c r="AK695" i="7"/>
  <c r="AM695" i="7"/>
  <c r="AJ695" i="7"/>
  <c r="AL695" i="7"/>
  <c r="AE696" i="7"/>
  <c r="AI695" i="7"/>
  <c r="Q696" i="7"/>
  <c r="T695" i="7"/>
  <c r="AM696" i="7" l="1"/>
  <c r="AK696" i="7"/>
  <c r="AN696" i="7"/>
  <c r="AJ696" i="7"/>
  <c r="AL696" i="7"/>
  <c r="Q697" i="7"/>
  <c r="T696" i="7"/>
  <c r="AE697" i="7"/>
  <c r="AI696" i="7"/>
  <c r="AL697" i="7" l="1"/>
  <c r="AN697" i="7"/>
  <c r="AJ697" i="7"/>
  <c r="AM697" i="7"/>
  <c r="AK697" i="7"/>
  <c r="AI697" i="7"/>
  <c r="AE698" i="7"/>
  <c r="Q698" i="7"/>
  <c r="T697" i="7"/>
  <c r="AJ698" i="7" l="1"/>
  <c r="AN698" i="7"/>
  <c r="AM698" i="7"/>
  <c r="AK698" i="7"/>
  <c r="AL698" i="7"/>
  <c r="Q699" i="7"/>
  <c r="T698" i="7"/>
  <c r="AE699" i="7"/>
  <c r="AI698" i="7"/>
  <c r="AJ699" i="7" l="1"/>
  <c r="AM699" i="7"/>
  <c r="AK699" i="7"/>
  <c r="AN699" i="7"/>
  <c r="AL699" i="7"/>
  <c r="Q700" i="7"/>
  <c r="T699" i="7"/>
  <c r="AE700" i="7"/>
  <c r="AI699" i="7"/>
  <c r="AN700" i="7" l="1"/>
  <c r="AL700" i="7"/>
  <c r="AM700" i="7"/>
  <c r="AK700" i="7"/>
  <c r="AJ700" i="7"/>
  <c r="AE701" i="7"/>
  <c r="AI700" i="7"/>
  <c r="Q701" i="7"/>
  <c r="T700" i="7"/>
  <c r="AN701" i="7" l="1"/>
  <c r="AM701" i="7"/>
  <c r="AL701" i="7"/>
  <c r="AJ701" i="7"/>
  <c r="AK701" i="7"/>
  <c r="Q702" i="7"/>
  <c r="T701" i="7"/>
  <c r="AE702" i="7"/>
  <c r="AI701" i="7"/>
  <c r="AM702" i="7" l="1"/>
  <c r="AN702" i="7"/>
  <c r="AL702" i="7"/>
  <c r="AK702" i="7"/>
  <c r="AJ702" i="7"/>
  <c r="AE703" i="7"/>
  <c r="AI702" i="7"/>
  <c r="Q703" i="7"/>
  <c r="T702" i="7"/>
  <c r="AL703" i="7" l="1"/>
  <c r="AN703" i="7"/>
  <c r="AJ703" i="7"/>
  <c r="AM703" i="7"/>
  <c r="AK703" i="7"/>
  <c r="Q704" i="7"/>
  <c r="T703" i="7"/>
  <c r="AE704" i="7"/>
  <c r="AI703" i="7"/>
  <c r="AM704" i="7" l="1"/>
  <c r="AN704" i="7"/>
  <c r="AL704" i="7"/>
  <c r="AK704" i="7"/>
  <c r="AJ704" i="7"/>
  <c r="AE705" i="7"/>
  <c r="AI704" i="7"/>
  <c r="Q705" i="7"/>
  <c r="T704" i="7"/>
  <c r="AK705" i="7" l="1"/>
  <c r="AM705" i="7"/>
  <c r="AJ705" i="7"/>
  <c r="AN705" i="7"/>
  <c r="AL705" i="7"/>
  <c r="AI705" i="7"/>
  <c r="AE706" i="7"/>
  <c r="Q706" i="7"/>
  <c r="T705" i="7"/>
  <c r="AL706" i="7" l="1"/>
  <c r="AM706" i="7"/>
  <c r="AK706" i="7"/>
  <c r="AN706" i="7"/>
  <c r="AJ706" i="7"/>
  <c r="T706" i="7"/>
  <c r="Q707" i="7"/>
  <c r="AE707" i="7"/>
  <c r="AI706" i="7"/>
  <c r="AM707" i="7" l="1"/>
  <c r="AJ707" i="7"/>
  <c r="AK707" i="7"/>
  <c r="AN707" i="7"/>
  <c r="AL707" i="7"/>
  <c r="AE708" i="7"/>
  <c r="AI707" i="7"/>
  <c r="Q708" i="7"/>
  <c r="T707" i="7"/>
  <c r="AM708" i="7" l="1"/>
  <c r="AL708" i="7"/>
  <c r="AJ708" i="7"/>
  <c r="AN708" i="7"/>
  <c r="AK708" i="7"/>
  <c r="Q709" i="7"/>
  <c r="T708" i="7"/>
  <c r="AE709" i="7"/>
  <c r="AI708" i="7"/>
  <c r="AM709" i="7" l="1"/>
  <c r="AL709" i="7"/>
  <c r="AK709" i="7"/>
  <c r="AJ709" i="7"/>
  <c r="AN709" i="7"/>
  <c r="AE710" i="7"/>
  <c r="AI709" i="7"/>
  <c r="T709" i="7"/>
  <c r="Q710" i="7"/>
  <c r="AK710" i="7" l="1"/>
  <c r="AN710" i="7"/>
  <c r="AJ710" i="7"/>
  <c r="AM710" i="7"/>
  <c r="AL710" i="7"/>
  <c r="AI710" i="7"/>
  <c r="AE711" i="7"/>
  <c r="T710" i="7"/>
  <c r="Q711" i="7"/>
  <c r="AK711" i="7" l="1"/>
  <c r="AJ711" i="7"/>
  <c r="AL711" i="7"/>
  <c r="AM711" i="7"/>
  <c r="AN711" i="7"/>
  <c r="Q712" i="7"/>
  <c r="T711" i="7"/>
  <c r="AE712" i="7"/>
  <c r="AI711" i="7"/>
  <c r="AJ712" i="7" l="1"/>
  <c r="AM712" i="7"/>
  <c r="AL712" i="7"/>
  <c r="AN712" i="7"/>
  <c r="AK712" i="7"/>
  <c r="AE713" i="7"/>
  <c r="AI712" i="7"/>
  <c r="Q713" i="7"/>
  <c r="T712" i="7"/>
  <c r="AL713" i="7" l="1"/>
  <c r="AM713" i="7"/>
  <c r="AN713" i="7"/>
  <c r="AJ713" i="7"/>
  <c r="AK713" i="7"/>
  <c r="Q714" i="7"/>
  <c r="T713" i="7"/>
  <c r="AE714" i="7"/>
  <c r="AI713" i="7"/>
  <c r="AN714" i="7" l="1"/>
  <c r="AM714" i="7"/>
  <c r="AL714" i="7"/>
  <c r="AJ714" i="7"/>
  <c r="AK714" i="7"/>
  <c r="AI714" i="7"/>
  <c r="AE715" i="7"/>
  <c r="Q715" i="7"/>
  <c r="T714" i="7"/>
  <c r="AL715" i="7" l="1"/>
  <c r="AM715" i="7"/>
  <c r="AK715" i="7"/>
  <c r="AJ715" i="7"/>
  <c r="AN715" i="7"/>
  <c r="Q716" i="7"/>
  <c r="T715" i="7"/>
  <c r="AE716" i="7"/>
  <c r="AI715" i="7"/>
  <c r="AN716" i="7" l="1"/>
  <c r="AK716" i="7"/>
  <c r="AL716" i="7"/>
  <c r="AM716" i="7"/>
  <c r="AJ716" i="7"/>
  <c r="AE717" i="7"/>
  <c r="AI716" i="7"/>
  <c r="Q717" i="7"/>
  <c r="T716" i="7"/>
  <c r="AJ717" i="7" l="1"/>
  <c r="AL717" i="7"/>
  <c r="AN717" i="7"/>
  <c r="AK717" i="7"/>
  <c r="AM717" i="7"/>
  <c r="Q718" i="7"/>
  <c r="T717" i="7"/>
  <c r="AE718" i="7"/>
  <c r="AI717" i="7"/>
  <c r="AJ718" i="7" l="1"/>
  <c r="AK718" i="7"/>
  <c r="AM718" i="7"/>
  <c r="AL718" i="7"/>
  <c r="AN718" i="7"/>
  <c r="Q719" i="7"/>
  <c r="T718" i="7"/>
  <c r="AE719" i="7"/>
  <c r="AI718" i="7"/>
  <c r="AM719" i="7" l="1"/>
  <c r="AJ719" i="7"/>
  <c r="AN719" i="7"/>
  <c r="AK719" i="7"/>
  <c r="AL719" i="7"/>
  <c r="AE720" i="7"/>
  <c r="AI719" i="7"/>
  <c r="Q720" i="7"/>
  <c r="T719" i="7"/>
  <c r="AL720" i="7" l="1"/>
  <c r="AN720" i="7"/>
  <c r="AJ720" i="7"/>
  <c r="AK720" i="7"/>
  <c r="AM720" i="7"/>
  <c r="Q721" i="7"/>
  <c r="T720" i="7"/>
  <c r="AE721" i="7"/>
  <c r="AI720" i="7"/>
  <c r="AJ721" i="7" l="1"/>
  <c r="AN721" i="7"/>
  <c r="AK721" i="7"/>
  <c r="AL721" i="7"/>
  <c r="AM721" i="7"/>
  <c r="AE722" i="7"/>
  <c r="AI721" i="7"/>
  <c r="Q722" i="7"/>
  <c r="T721" i="7"/>
  <c r="AJ722" i="7" l="1"/>
  <c r="AM722" i="7"/>
  <c r="AN722" i="7"/>
  <c r="AL722" i="7"/>
  <c r="AK722" i="7"/>
  <c r="T722" i="7"/>
  <c r="Q723" i="7"/>
  <c r="AE723" i="7"/>
  <c r="AI722" i="7"/>
  <c r="AM723" i="7" l="1"/>
  <c r="AJ723" i="7"/>
  <c r="AN723" i="7"/>
  <c r="AL723" i="7"/>
  <c r="AK723" i="7"/>
  <c r="Q724" i="7"/>
  <c r="T723" i="7"/>
  <c r="AE724" i="7"/>
  <c r="AI723" i="7"/>
  <c r="AL724" i="7" l="1"/>
  <c r="AM724" i="7"/>
  <c r="AK724" i="7"/>
  <c r="AN724" i="7"/>
  <c r="AJ724" i="7"/>
  <c r="Q725" i="7"/>
  <c r="T724" i="7"/>
  <c r="AE725" i="7"/>
  <c r="AI724" i="7"/>
  <c r="AK725" i="7" l="1"/>
  <c r="AJ725" i="7"/>
  <c r="AL725" i="7"/>
  <c r="AN725" i="7"/>
  <c r="AM725" i="7"/>
  <c r="AE726" i="7"/>
  <c r="AI725" i="7"/>
  <c r="T725" i="7"/>
  <c r="Q726" i="7"/>
  <c r="AK726" i="7" l="1"/>
  <c r="AN726" i="7"/>
  <c r="AM726" i="7"/>
  <c r="AL726" i="7"/>
  <c r="AJ726" i="7"/>
  <c r="AE727" i="7"/>
  <c r="AI726" i="7"/>
  <c r="T726" i="7"/>
  <c r="Q727" i="7"/>
  <c r="AJ727" i="7" l="1"/>
  <c r="AN727" i="7"/>
  <c r="AK727" i="7"/>
  <c r="AL727" i="7"/>
  <c r="AM727" i="7"/>
  <c r="Q728" i="7"/>
  <c r="T727" i="7"/>
  <c r="AE728" i="7"/>
  <c r="AI727" i="7"/>
  <c r="AN728" i="7" l="1"/>
  <c r="AK728" i="7"/>
  <c r="AM728" i="7"/>
  <c r="AJ728" i="7"/>
  <c r="AL728" i="7"/>
  <c r="AE729" i="7"/>
  <c r="AI728" i="7"/>
  <c r="Q729" i="7"/>
  <c r="T728" i="7"/>
  <c r="AL729" i="7" l="1"/>
  <c r="AJ729" i="7"/>
  <c r="AK729" i="7"/>
  <c r="AN729" i="7"/>
  <c r="AM729" i="7"/>
  <c r="Q730" i="7"/>
  <c r="T729" i="7"/>
  <c r="AI729" i="7"/>
  <c r="AE730" i="7"/>
  <c r="AK730" i="7" l="1"/>
  <c r="AM730" i="7"/>
  <c r="AN730" i="7"/>
  <c r="AJ730" i="7"/>
  <c r="AL730" i="7"/>
  <c r="AE731" i="7"/>
  <c r="AI730" i="7"/>
  <c r="Q731" i="7"/>
  <c r="T730" i="7"/>
  <c r="AM731" i="7" l="1"/>
  <c r="AL731" i="7"/>
  <c r="AN731" i="7"/>
  <c r="AJ731" i="7"/>
  <c r="AK731" i="7"/>
  <c r="Q732" i="7"/>
  <c r="T731" i="7"/>
  <c r="AE732" i="7"/>
  <c r="AI731" i="7"/>
  <c r="AJ732" i="7" l="1"/>
  <c r="AK732" i="7"/>
  <c r="AL732" i="7"/>
  <c r="AM732" i="7"/>
  <c r="AN732" i="7"/>
  <c r="AE733" i="7"/>
  <c r="AI732" i="7"/>
  <c r="Q733" i="7"/>
  <c r="T732" i="7"/>
  <c r="AM733" i="7" l="1"/>
  <c r="AJ733" i="7"/>
  <c r="AN733" i="7"/>
  <c r="AL733" i="7"/>
  <c r="AK733" i="7"/>
  <c r="T733" i="7"/>
  <c r="Q734" i="7"/>
  <c r="AE734" i="7"/>
  <c r="AI733" i="7"/>
  <c r="AK734" i="7" l="1"/>
  <c r="AM734" i="7"/>
  <c r="AJ734" i="7"/>
  <c r="AL734" i="7"/>
  <c r="AN734" i="7"/>
  <c r="AE735" i="7"/>
  <c r="AI734" i="7"/>
  <c r="Q735" i="7"/>
  <c r="T734" i="7"/>
  <c r="AJ735" i="7" l="1"/>
  <c r="AN735" i="7"/>
  <c r="AK735" i="7"/>
  <c r="AL735" i="7"/>
  <c r="AM735" i="7"/>
  <c r="Q736" i="7"/>
  <c r="T735" i="7"/>
  <c r="AE736" i="7"/>
  <c r="AI735" i="7"/>
  <c r="AJ736" i="7" l="1"/>
  <c r="AM736" i="7"/>
  <c r="AN736" i="7"/>
  <c r="AL736" i="7"/>
  <c r="AK736" i="7"/>
  <c r="AE737" i="7"/>
  <c r="AI736" i="7"/>
  <c r="Q737" i="7"/>
  <c r="T736" i="7"/>
  <c r="AN737" i="7" l="1"/>
  <c r="AJ737" i="7"/>
  <c r="AM737" i="7"/>
  <c r="AL737" i="7"/>
  <c r="AK737" i="7"/>
  <c r="Q738" i="7"/>
  <c r="T737" i="7"/>
  <c r="AE738" i="7"/>
  <c r="AI737" i="7"/>
  <c r="AN738" i="7" l="1"/>
  <c r="AM738" i="7"/>
  <c r="AL738" i="7"/>
  <c r="AJ738" i="7"/>
  <c r="AK738" i="7"/>
  <c r="AE739" i="7"/>
  <c r="AI738" i="7"/>
  <c r="T738" i="7"/>
  <c r="Q739" i="7"/>
  <c r="AM739" i="7" l="1"/>
  <c r="AJ739" i="7"/>
  <c r="AL739" i="7"/>
  <c r="AN739" i="7"/>
  <c r="AK739" i="7"/>
  <c r="Q740" i="7"/>
  <c r="T739" i="7"/>
  <c r="AE740" i="7"/>
  <c r="AI739" i="7"/>
  <c r="AL740" i="7" l="1"/>
  <c r="AN740" i="7"/>
  <c r="AM740" i="7"/>
  <c r="AJ740" i="7"/>
  <c r="AK740" i="7"/>
  <c r="AE741" i="7"/>
  <c r="AI740" i="7"/>
  <c r="Q741" i="7"/>
  <c r="T740" i="7"/>
  <c r="AJ741" i="7" l="1"/>
  <c r="AL741" i="7"/>
  <c r="AM741" i="7"/>
  <c r="AK741" i="7"/>
  <c r="AN741" i="7"/>
  <c r="T741" i="7"/>
  <c r="Q742" i="7"/>
  <c r="AE742" i="7"/>
  <c r="AI741" i="7"/>
  <c r="AN742" i="7" l="1"/>
  <c r="AL742" i="7"/>
  <c r="AJ742" i="7"/>
  <c r="AM742" i="7"/>
  <c r="AK742" i="7"/>
  <c r="AE743" i="7"/>
  <c r="AI742" i="7"/>
  <c r="T742" i="7"/>
  <c r="Q743" i="7"/>
  <c r="AJ743" i="7" l="1"/>
  <c r="AM743" i="7"/>
  <c r="AK743" i="7"/>
  <c r="AL743" i="7"/>
  <c r="AN743" i="7"/>
  <c r="Q744" i="7"/>
  <c r="T743" i="7"/>
  <c r="AE744" i="7"/>
  <c r="AI743" i="7"/>
  <c r="AN744" i="7" l="1"/>
  <c r="AM744" i="7"/>
  <c r="AL744" i="7"/>
  <c r="AJ744" i="7"/>
  <c r="AK744" i="7"/>
  <c r="AE745" i="7"/>
  <c r="AI744" i="7"/>
  <c r="Q745" i="7"/>
  <c r="T744" i="7"/>
  <c r="AJ745" i="7" l="1"/>
  <c r="AM745" i="7"/>
  <c r="AL745" i="7"/>
  <c r="AK745" i="7"/>
  <c r="AN745" i="7"/>
  <c r="Q746" i="7"/>
  <c r="T745" i="7"/>
  <c r="AE746" i="7"/>
  <c r="AI745" i="7"/>
  <c r="AJ746" i="7" l="1"/>
  <c r="AL746" i="7"/>
  <c r="AM746" i="7"/>
  <c r="AK746" i="7"/>
  <c r="AN746" i="7"/>
  <c r="AI746" i="7"/>
  <c r="AE747" i="7"/>
  <c r="Q747" i="7"/>
  <c r="T746" i="7"/>
  <c r="AK747" i="7" l="1"/>
  <c r="AL747" i="7"/>
  <c r="AM747" i="7"/>
  <c r="AN747" i="7"/>
  <c r="AJ747" i="7"/>
  <c r="AE748" i="7"/>
  <c r="AI747" i="7"/>
  <c r="Q748" i="7"/>
  <c r="T747" i="7"/>
  <c r="AK748" i="7" l="1"/>
  <c r="AJ748" i="7"/>
  <c r="AL748" i="7"/>
  <c r="AN748" i="7"/>
  <c r="AM748" i="7"/>
  <c r="AE749" i="7"/>
  <c r="AI748" i="7"/>
  <c r="Q749" i="7"/>
  <c r="T748" i="7"/>
  <c r="AL749" i="7" l="1"/>
  <c r="AN749" i="7"/>
  <c r="AJ749" i="7"/>
  <c r="AK749" i="7"/>
  <c r="AM749" i="7"/>
  <c r="Q750" i="7"/>
  <c r="T749" i="7"/>
  <c r="AE750" i="7"/>
  <c r="AI749" i="7"/>
  <c r="AJ750" i="7" l="1"/>
  <c r="AN750" i="7"/>
  <c r="AL750" i="7"/>
  <c r="AK750" i="7"/>
  <c r="AM750" i="7"/>
  <c r="AE751" i="7"/>
  <c r="AI750" i="7"/>
  <c r="Q751" i="7"/>
  <c r="T750" i="7"/>
  <c r="AM751" i="7" l="1"/>
  <c r="AL751" i="7"/>
  <c r="AJ751" i="7"/>
  <c r="AK751" i="7"/>
  <c r="AN751" i="7"/>
  <c r="Q752" i="7"/>
  <c r="T751" i="7"/>
  <c r="AE752" i="7"/>
  <c r="AI751" i="7"/>
  <c r="AJ752" i="7" l="1"/>
  <c r="AL752" i="7"/>
  <c r="AK752" i="7"/>
  <c r="AN752" i="7"/>
  <c r="AM752" i="7"/>
  <c r="AE753" i="7"/>
  <c r="AI752" i="7"/>
  <c r="Q753" i="7"/>
  <c r="T752" i="7"/>
  <c r="AN753" i="7" l="1"/>
  <c r="AM753" i="7"/>
  <c r="AK753" i="7"/>
  <c r="AJ753" i="7"/>
  <c r="AL753" i="7"/>
  <c r="Q754" i="7"/>
  <c r="T753" i="7"/>
  <c r="AI753" i="7"/>
  <c r="AE754" i="7"/>
  <c r="AN754" i="7" l="1"/>
  <c r="AM754" i="7"/>
  <c r="AJ754" i="7"/>
  <c r="AL754" i="7"/>
  <c r="AK754" i="7"/>
  <c r="AE755" i="7"/>
  <c r="AI754" i="7"/>
  <c r="T754" i="7"/>
  <c r="Q755" i="7"/>
  <c r="AM755" i="7" l="1"/>
  <c r="AK755" i="7"/>
  <c r="AJ755" i="7"/>
  <c r="AN755" i="7"/>
  <c r="AL755" i="7"/>
  <c r="Q756" i="7"/>
  <c r="T755" i="7"/>
  <c r="AE756" i="7"/>
  <c r="AI755" i="7"/>
  <c r="AL756" i="7" l="1"/>
  <c r="AK756" i="7"/>
  <c r="AN756" i="7"/>
  <c r="AM756" i="7"/>
  <c r="AJ756" i="7"/>
  <c r="AE757" i="7"/>
  <c r="AI756" i="7"/>
  <c r="Q757" i="7"/>
  <c r="T756" i="7"/>
  <c r="AJ757" i="7" l="1"/>
  <c r="AM757" i="7"/>
  <c r="AK757" i="7"/>
  <c r="AL757" i="7"/>
  <c r="AN757" i="7"/>
  <c r="T757" i="7"/>
  <c r="Q758" i="7"/>
  <c r="AE758" i="7"/>
  <c r="AI757" i="7"/>
  <c r="AL758" i="7" l="1"/>
  <c r="AN758" i="7"/>
  <c r="AM758" i="7"/>
  <c r="AK758" i="7"/>
  <c r="AJ758" i="7"/>
  <c r="AI758" i="7"/>
  <c r="AE759" i="7"/>
  <c r="T758" i="7"/>
  <c r="Q759" i="7"/>
  <c r="AL759" i="7" l="1"/>
  <c r="AJ759" i="7"/>
  <c r="AK759" i="7"/>
  <c r="AN759" i="7"/>
  <c r="AM759" i="7"/>
  <c r="Q760" i="7"/>
  <c r="T759" i="7"/>
  <c r="AE760" i="7"/>
  <c r="AI759" i="7"/>
  <c r="AM760" i="7" l="1"/>
  <c r="AN760" i="7"/>
  <c r="AJ760" i="7"/>
  <c r="AL760" i="7"/>
  <c r="AK760" i="7"/>
  <c r="AE761" i="7"/>
  <c r="AI760" i="7"/>
  <c r="Q761" i="7"/>
  <c r="T760" i="7"/>
  <c r="AJ761" i="7" l="1"/>
  <c r="AL761" i="7"/>
  <c r="AK761" i="7"/>
  <c r="AN761" i="7"/>
  <c r="AM761" i="7"/>
  <c r="Q762" i="7"/>
  <c r="T761" i="7"/>
  <c r="AE762" i="7"/>
  <c r="AI761" i="7"/>
  <c r="AN762" i="7" l="1"/>
  <c r="AL762" i="7"/>
  <c r="AM762" i="7"/>
  <c r="AK762" i="7"/>
  <c r="AJ762" i="7"/>
  <c r="AI762" i="7"/>
  <c r="AE763" i="7"/>
  <c r="Q763" i="7"/>
  <c r="T762" i="7"/>
  <c r="AN763" i="7" l="1"/>
  <c r="AL763" i="7"/>
  <c r="AJ763" i="7"/>
  <c r="AM763" i="7"/>
  <c r="AK763" i="7"/>
  <c r="Q764" i="7"/>
  <c r="T763" i="7"/>
  <c r="AE764" i="7"/>
  <c r="AI763" i="7"/>
  <c r="AN764" i="7" l="1"/>
  <c r="AK764" i="7"/>
  <c r="AJ764" i="7"/>
  <c r="AM764" i="7"/>
  <c r="AL764" i="7"/>
  <c r="Q765" i="7"/>
  <c r="T764" i="7"/>
  <c r="AE765" i="7"/>
  <c r="AI764" i="7"/>
  <c r="AJ765" i="7" l="1"/>
  <c r="AL765" i="7"/>
  <c r="AN765" i="7"/>
  <c r="AK765" i="7"/>
  <c r="AM765" i="7"/>
  <c r="AE766" i="7"/>
  <c r="AI765" i="7"/>
  <c r="T765" i="7"/>
  <c r="Q766" i="7"/>
  <c r="AM766" i="7" l="1"/>
  <c r="AK766" i="7"/>
  <c r="AJ766" i="7"/>
  <c r="AL766" i="7"/>
  <c r="AN766" i="7"/>
  <c r="Q767" i="7"/>
  <c r="T766" i="7"/>
  <c r="AE767" i="7"/>
  <c r="AI766" i="7"/>
  <c r="AN767" i="7" l="1"/>
  <c r="AM767" i="7"/>
  <c r="AK767" i="7"/>
  <c r="AL767" i="7"/>
  <c r="AJ767" i="7"/>
  <c r="AE768" i="7"/>
  <c r="AI767" i="7"/>
  <c r="T767" i="7"/>
  <c r="Q768" i="7"/>
  <c r="AM768" i="7" l="1"/>
  <c r="AL768" i="7"/>
  <c r="AK768" i="7"/>
  <c r="AN768" i="7"/>
  <c r="AJ768" i="7"/>
  <c r="AE769" i="7"/>
  <c r="AI768" i="7"/>
  <c r="T768" i="7"/>
  <c r="Q769" i="7"/>
  <c r="AL769" i="7" l="1"/>
  <c r="AN769" i="7"/>
  <c r="AM769" i="7"/>
  <c r="AJ769" i="7"/>
  <c r="AK769" i="7"/>
  <c r="Q770" i="7"/>
  <c r="T769" i="7"/>
  <c r="AE770" i="7"/>
  <c r="AI769" i="7"/>
  <c r="AK770" i="7" l="1"/>
  <c r="AJ770" i="7"/>
  <c r="AL770" i="7"/>
  <c r="AN770" i="7"/>
  <c r="AM770" i="7"/>
  <c r="AI770" i="7"/>
  <c r="AE771" i="7"/>
  <c r="Q771" i="7"/>
  <c r="T770" i="7"/>
  <c r="AN771" i="7" l="1"/>
  <c r="AJ771" i="7"/>
  <c r="AL771" i="7"/>
  <c r="AK771" i="7"/>
  <c r="AM771" i="7"/>
  <c r="Q772" i="7"/>
  <c r="T771" i="7"/>
  <c r="AI771" i="7"/>
  <c r="AE772" i="7"/>
  <c r="AN772" i="7" l="1"/>
  <c r="AM772" i="7"/>
  <c r="AJ772" i="7"/>
  <c r="AK772" i="7"/>
  <c r="AL772" i="7"/>
  <c r="AE773" i="7"/>
  <c r="AI772" i="7"/>
  <c r="Q773" i="7"/>
  <c r="T772" i="7"/>
  <c r="AK773" i="7" l="1"/>
  <c r="AJ773" i="7"/>
  <c r="AL773" i="7"/>
  <c r="AM773" i="7"/>
  <c r="AN773" i="7"/>
  <c r="AE774" i="7"/>
  <c r="AI773" i="7"/>
  <c r="Q774" i="7"/>
  <c r="T773" i="7"/>
  <c r="AN774" i="7" l="1"/>
  <c r="AL774" i="7"/>
  <c r="AJ774" i="7"/>
  <c r="AM774" i="7"/>
  <c r="AK774" i="7"/>
  <c r="AE775" i="7"/>
  <c r="AI774" i="7"/>
  <c r="T774" i="7"/>
  <c r="Q775" i="7"/>
  <c r="AK775" i="7" l="1"/>
  <c r="AM775" i="7"/>
  <c r="AJ775" i="7"/>
  <c r="AL775" i="7"/>
  <c r="AN775" i="7"/>
  <c r="Q776" i="7"/>
  <c r="T775" i="7"/>
  <c r="AI775" i="7"/>
  <c r="AE776" i="7"/>
  <c r="AM776" i="7" l="1"/>
  <c r="AK776" i="7"/>
  <c r="AN776" i="7"/>
  <c r="AJ776" i="7"/>
  <c r="AL776" i="7"/>
  <c r="AE777" i="7"/>
  <c r="AI776" i="7"/>
  <c r="T776" i="7"/>
  <c r="Q777" i="7"/>
  <c r="AL777" i="7" l="1"/>
  <c r="AK777" i="7"/>
  <c r="AJ777" i="7"/>
  <c r="AN777" i="7"/>
  <c r="AM777" i="7"/>
  <c r="Q778" i="7"/>
  <c r="T777" i="7"/>
  <c r="AI777" i="7"/>
  <c r="AE778" i="7"/>
  <c r="AL778" i="7" l="1"/>
  <c r="AJ778" i="7"/>
  <c r="AK778" i="7"/>
  <c r="AM778" i="7"/>
  <c r="AN778" i="7"/>
  <c r="AE779" i="7"/>
  <c r="AI778" i="7"/>
  <c r="Q779" i="7"/>
  <c r="T778" i="7"/>
  <c r="AN779" i="7" l="1"/>
  <c r="AL779" i="7"/>
  <c r="AM779" i="7"/>
  <c r="AK779" i="7"/>
  <c r="AJ779" i="7"/>
  <c r="T779" i="7"/>
  <c r="Q780" i="7"/>
  <c r="AE780" i="7"/>
  <c r="AI779" i="7"/>
  <c r="AM780" i="7" l="1"/>
  <c r="AL780" i="7"/>
  <c r="AJ780" i="7"/>
  <c r="AK780" i="7"/>
  <c r="AN780" i="7"/>
  <c r="AI780" i="7"/>
  <c r="AE781" i="7"/>
  <c r="Q781" i="7"/>
  <c r="T780" i="7"/>
  <c r="AK781" i="7" l="1"/>
  <c r="AN781" i="7"/>
  <c r="AJ781" i="7"/>
  <c r="AM781" i="7"/>
  <c r="AL781" i="7"/>
  <c r="AE782" i="7"/>
  <c r="AI781" i="7"/>
  <c r="Q782" i="7"/>
  <c r="T781" i="7"/>
  <c r="AN782" i="7" l="1"/>
  <c r="AL782" i="7"/>
  <c r="AM782" i="7"/>
  <c r="AK782" i="7"/>
  <c r="AJ782" i="7"/>
  <c r="Q783" i="7"/>
  <c r="T782" i="7"/>
  <c r="AI782" i="7"/>
  <c r="AE783" i="7"/>
  <c r="AN783" i="7" l="1"/>
  <c r="AM783" i="7"/>
  <c r="AL783" i="7"/>
  <c r="AK783" i="7"/>
  <c r="AJ783" i="7"/>
  <c r="AE784" i="7"/>
  <c r="AI783" i="7"/>
  <c r="T783" i="7"/>
  <c r="Q784" i="7"/>
  <c r="AK784" i="7" l="1"/>
  <c r="AJ784" i="7"/>
  <c r="AL784" i="7"/>
  <c r="AN784" i="7"/>
  <c r="AM784" i="7"/>
  <c r="Q785" i="7"/>
  <c r="T784" i="7"/>
  <c r="AE785" i="7"/>
  <c r="AI784" i="7"/>
  <c r="AM785" i="7" l="1"/>
  <c r="AJ785" i="7"/>
  <c r="AN785" i="7"/>
  <c r="AL785" i="7"/>
  <c r="AK785" i="7"/>
  <c r="AE786" i="7"/>
  <c r="AI785" i="7"/>
  <c r="Q786" i="7"/>
  <c r="T785" i="7"/>
  <c r="AM786" i="7" l="1"/>
  <c r="AL786" i="7"/>
  <c r="AN786" i="7"/>
  <c r="AJ786" i="7"/>
  <c r="AK786" i="7"/>
  <c r="AI786" i="7"/>
  <c r="AE787" i="7"/>
  <c r="Q787" i="7"/>
  <c r="T786" i="7"/>
  <c r="AN787" i="7" l="1"/>
  <c r="AK787" i="7"/>
  <c r="AM787" i="7"/>
  <c r="AJ787" i="7"/>
  <c r="AL787" i="7"/>
  <c r="T787" i="7"/>
  <c r="Q788" i="7"/>
  <c r="AE788" i="7"/>
  <c r="AI787" i="7"/>
  <c r="AM788" i="7" l="1"/>
  <c r="AK788" i="7"/>
  <c r="AL788" i="7"/>
  <c r="AN788" i="7"/>
  <c r="AJ788" i="7"/>
  <c r="Q789" i="7"/>
  <c r="T788" i="7"/>
  <c r="AE789" i="7"/>
  <c r="AI788" i="7"/>
  <c r="AL789" i="7" l="1"/>
  <c r="AM789" i="7"/>
  <c r="AJ789" i="7"/>
  <c r="AN789" i="7"/>
  <c r="AK789" i="7"/>
  <c r="AE790" i="7"/>
  <c r="AI789" i="7"/>
  <c r="T789" i="7"/>
  <c r="Q790" i="7"/>
  <c r="AN790" i="7" l="1"/>
  <c r="AM790" i="7"/>
  <c r="AL790" i="7"/>
  <c r="AK790" i="7"/>
  <c r="AJ790" i="7"/>
  <c r="Q791" i="7"/>
  <c r="T790" i="7"/>
  <c r="AE791" i="7"/>
  <c r="AI790" i="7"/>
  <c r="AM791" i="7" l="1"/>
  <c r="AL791" i="7"/>
  <c r="AJ791" i="7"/>
  <c r="AN791" i="7"/>
  <c r="AK791" i="7"/>
  <c r="AI791" i="7"/>
  <c r="AE792" i="7"/>
  <c r="Q792" i="7"/>
  <c r="T791" i="7"/>
  <c r="AJ792" i="7" l="1"/>
  <c r="AN792" i="7"/>
  <c r="AL792" i="7"/>
  <c r="AK792" i="7"/>
  <c r="AM792" i="7"/>
  <c r="AE793" i="7"/>
  <c r="AI792" i="7"/>
  <c r="T792" i="7"/>
  <c r="Q793" i="7"/>
  <c r="AM793" i="7" l="1"/>
  <c r="AN793" i="7"/>
  <c r="AJ793" i="7"/>
  <c r="AL793" i="7"/>
  <c r="AK793" i="7"/>
  <c r="Q794" i="7"/>
  <c r="T793" i="7"/>
  <c r="AE794" i="7"/>
  <c r="AI793" i="7"/>
  <c r="AJ794" i="7" l="1"/>
  <c r="AL794" i="7"/>
  <c r="AK794" i="7"/>
  <c r="AN794" i="7"/>
  <c r="AM794" i="7"/>
  <c r="AI794" i="7"/>
  <c r="AE795" i="7"/>
  <c r="T794" i="7"/>
  <c r="Q795" i="7"/>
  <c r="AK795" i="7" l="1"/>
  <c r="AN795" i="7"/>
  <c r="AM795" i="7"/>
  <c r="AJ795" i="7"/>
  <c r="AL795" i="7"/>
  <c r="AE796" i="7"/>
  <c r="AI795" i="7"/>
  <c r="T795" i="7"/>
  <c r="Q796" i="7"/>
  <c r="AL796" i="7" l="1"/>
  <c r="AJ796" i="7"/>
  <c r="AN796" i="7"/>
  <c r="AK796" i="7"/>
  <c r="AM796" i="7"/>
  <c r="Q797" i="7"/>
  <c r="T796" i="7"/>
  <c r="AE797" i="7"/>
  <c r="AI796" i="7"/>
  <c r="AM797" i="7" l="1"/>
  <c r="AN797" i="7"/>
  <c r="AK797" i="7"/>
  <c r="AJ797" i="7"/>
  <c r="AL797" i="7"/>
  <c r="Q798" i="7"/>
  <c r="T797" i="7"/>
  <c r="AE798" i="7"/>
  <c r="AI797" i="7"/>
  <c r="AM798" i="7" l="1"/>
  <c r="AJ798" i="7"/>
  <c r="AL798" i="7"/>
  <c r="AN798" i="7"/>
  <c r="AK798" i="7"/>
  <c r="AI798" i="7"/>
  <c r="AE799" i="7"/>
  <c r="T798" i="7"/>
  <c r="Q799" i="7"/>
  <c r="AK799" i="7" l="1"/>
  <c r="AJ799" i="7"/>
  <c r="AN799" i="7"/>
  <c r="AM799" i="7"/>
  <c r="AL799" i="7"/>
  <c r="T799" i="7"/>
  <c r="Q800" i="7"/>
  <c r="AI799" i="7"/>
  <c r="AE800" i="7"/>
  <c r="AN800" i="7" l="1"/>
  <c r="AJ800" i="7"/>
  <c r="AM800" i="7"/>
  <c r="AL800" i="7"/>
  <c r="AK800" i="7"/>
  <c r="AE801" i="7"/>
  <c r="AI800" i="7"/>
  <c r="Q801" i="7"/>
  <c r="T800" i="7"/>
  <c r="AJ801" i="7" l="1"/>
  <c r="AN801" i="7"/>
  <c r="AL801" i="7"/>
  <c r="AK801" i="7"/>
  <c r="AM801" i="7"/>
  <c r="Q802" i="7"/>
  <c r="T801" i="7"/>
  <c r="AE802" i="7"/>
  <c r="AI801" i="7"/>
  <c r="AL802" i="7" l="1"/>
  <c r="AM802" i="7"/>
  <c r="AJ802" i="7"/>
  <c r="AN802" i="7"/>
  <c r="AK802" i="7"/>
  <c r="AI802" i="7"/>
  <c r="AE803" i="7"/>
  <c r="Q803" i="7"/>
  <c r="T802" i="7"/>
  <c r="AN803" i="7" l="1"/>
  <c r="AM803" i="7"/>
  <c r="AJ803" i="7"/>
  <c r="AK803" i="7"/>
  <c r="AL803" i="7"/>
  <c r="Q804" i="7"/>
  <c r="T803" i="7"/>
  <c r="AI803" i="7"/>
  <c r="AE804" i="7"/>
  <c r="AL804" i="7" l="1"/>
  <c r="AK804" i="7"/>
  <c r="AJ804" i="7"/>
  <c r="AN804" i="7"/>
  <c r="AM804" i="7"/>
  <c r="AE805" i="7"/>
  <c r="AI804" i="7"/>
  <c r="Q805" i="7"/>
  <c r="T804" i="7"/>
  <c r="AL805" i="7" l="1"/>
  <c r="AK805" i="7"/>
  <c r="AN805" i="7"/>
  <c r="AM805" i="7"/>
  <c r="AJ805" i="7"/>
  <c r="T805" i="7"/>
  <c r="Q806" i="7"/>
  <c r="AE806" i="7"/>
  <c r="AI805" i="7"/>
  <c r="AL806" i="7" l="1"/>
  <c r="AN806" i="7"/>
  <c r="AK806" i="7"/>
  <c r="AM806" i="7"/>
  <c r="AJ806" i="7"/>
  <c r="AE807" i="7"/>
  <c r="AI806" i="7"/>
  <c r="Q807" i="7"/>
  <c r="T806" i="7"/>
  <c r="AN807" i="7" l="1"/>
  <c r="AK807" i="7"/>
  <c r="AM807" i="7"/>
  <c r="AL807" i="7"/>
  <c r="AJ807" i="7"/>
  <c r="Q808" i="7"/>
  <c r="T807" i="7"/>
  <c r="AI807" i="7"/>
  <c r="AE808" i="7"/>
  <c r="AM808" i="7" l="1"/>
  <c r="AN808" i="7"/>
  <c r="AK808" i="7"/>
  <c r="AJ808" i="7"/>
  <c r="AL808" i="7"/>
  <c r="AE809" i="7"/>
  <c r="AI808" i="7"/>
  <c r="T808" i="7"/>
  <c r="Q809" i="7"/>
  <c r="AK809" i="7" l="1"/>
  <c r="AN809" i="7"/>
  <c r="AJ809" i="7"/>
  <c r="AL809" i="7"/>
  <c r="AM809" i="7"/>
  <c r="AI809" i="7"/>
  <c r="AE810" i="7"/>
  <c r="Q810" i="7"/>
  <c r="T809" i="7"/>
  <c r="AN810" i="7" l="1"/>
  <c r="AM810" i="7"/>
  <c r="AJ810" i="7"/>
  <c r="AK810" i="7"/>
  <c r="AL810" i="7"/>
  <c r="AE811" i="7"/>
  <c r="AI810" i="7"/>
  <c r="Q811" i="7"/>
  <c r="T810" i="7"/>
  <c r="AJ811" i="7" l="1"/>
  <c r="AL811" i="7"/>
  <c r="AM811" i="7"/>
  <c r="AN811" i="7"/>
  <c r="AK811" i="7"/>
  <c r="T811" i="7"/>
  <c r="Q812" i="7"/>
  <c r="AE812" i="7"/>
  <c r="AI811" i="7"/>
  <c r="AL812" i="7" l="1"/>
  <c r="AK812" i="7"/>
  <c r="AM812" i="7"/>
  <c r="AJ812" i="7"/>
  <c r="AN812" i="7"/>
  <c r="AI812" i="7"/>
  <c r="AE813" i="7"/>
  <c r="Q813" i="7"/>
  <c r="T812" i="7"/>
  <c r="AM813" i="7" l="1"/>
  <c r="AN813" i="7"/>
  <c r="AL813" i="7"/>
  <c r="AK813" i="7"/>
  <c r="AJ813" i="7"/>
  <c r="Q814" i="7"/>
  <c r="T813" i="7"/>
  <c r="AE814" i="7"/>
  <c r="AI813" i="7"/>
  <c r="AM814" i="7" l="1"/>
  <c r="AJ814" i="7"/>
  <c r="AN814" i="7"/>
  <c r="AL814" i="7"/>
  <c r="AK814" i="7"/>
  <c r="AE815" i="7"/>
  <c r="AI814" i="7"/>
  <c r="Q815" i="7"/>
  <c r="T814" i="7"/>
  <c r="AL815" i="7" l="1"/>
  <c r="AK815" i="7"/>
  <c r="AN815" i="7"/>
  <c r="AJ815" i="7"/>
  <c r="AM815" i="7"/>
  <c r="T815" i="7"/>
  <c r="Q816" i="7"/>
  <c r="AI815" i="7"/>
  <c r="AE816" i="7"/>
  <c r="AK816" i="7" l="1"/>
  <c r="AM816" i="7"/>
  <c r="AN816" i="7"/>
  <c r="AJ816" i="7"/>
  <c r="AL816" i="7"/>
  <c r="AE817" i="7"/>
  <c r="AI816" i="7"/>
  <c r="Q817" i="7"/>
  <c r="T816" i="7"/>
  <c r="AN817" i="7" l="1"/>
  <c r="AL817" i="7"/>
  <c r="AK817" i="7"/>
  <c r="AJ817" i="7"/>
  <c r="AM817" i="7"/>
  <c r="Q818" i="7"/>
  <c r="T817" i="7"/>
  <c r="AE818" i="7"/>
  <c r="AI817" i="7"/>
  <c r="AN818" i="7" l="1"/>
  <c r="AL818" i="7"/>
  <c r="AJ818" i="7"/>
  <c r="AK818" i="7"/>
  <c r="AM818" i="7"/>
  <c r="AE819" i="7"/>
  <c r="AI818" i="7"/>
  <c r="Q819" i="7"/>
  <c r="T818" i="7"/>
  <c r="AM819" i="7" l="1"/>
  <c r="AL819" i="7"/>
  <c r="AK819" i="7"/>
  <c r="AN819" i="7"/>
  <c r="AJ819" i="7"/>
  <c r="Q820" i="7"/>
  <c r="T819" i="7"/>
  <c r="AE820" i="7"/>
  <c r="AI819" i="7"/>
  <c r="AL820" i="7" l="1"/>
  <c r="AN820" i="7"/>
  <c r="AJ820" i="7"/>
  <c r="AM820" i="7"/>
  <c r="AK820" i="7"/>
  <c r="AE821" i="7"/>
  <c r="AI820" i="7"/>
  <c r="Q821" i="7"/>
  <c r="T820" i="7"/>
  <c r="AJ821" i="7" l="1"/>
  <c r="AK821" i="7"/>
  <c r="AL821" i="7"/>
  <c r="AN821" i="7"/>
  <c r="AM821" i="7"/>
  <c r="T821" i="7"/>
  <c r="Q822" i="7"/>
  <c r="AE822" i="7"/>
  <c r="AI821" i="7"/>
  <c r="AK822" i="7" l="1"/>
  <c r="AJ822" i="7"/>
  <c r="AL822" i="7"/>
  <c r="AN822" i="7"/>
  <c r="AM822" i="7"/>
  <c r="AE823" i="7"/>
  <c r="AI822" i="7"/>
  <c r="T822" i="7"/>
  <c r="Q823" i="7"/>
  <c r="AL823" i="7" l="1"/>
  <c r="AN823" i="7"/>
  <c r="AK823" i="7"/>
  <c r="AM823" i="7"/>
  <c r="AJ823" i="7"/>
  <c r="Q824" i="7"/>
  <c r="T823" i="7"/>
  <c r="AE824" i="7"/>
  <c r="AI823" i="7"/>
  <c r="AM824" i="7" l="1"/>
  <c r="AK824" i="7"/>
  <c r="AN824" i="7"/>
  <c r="AL824" i="7"/>
  <c r="AJ824" i="7"/>
  <c r="AE825" i="7"/>
  <c r="AI824" i="7"/>
  <c r="T824" i="7"/>
  <c r="Q825" i="7"/>
  <c r="AL825" i="7" l="1"/>
  <c r="AM825" i="7"/>
  <c r="AJ825" i="7"/>
  <c r="AK825" i="7"/>
  <c r="AN825" i="7"/>
  <c r="Q826" i="7"/>
  <c r="T825" i="7"/>
  <c r="AI825" i="7"/>
  <c r="AE826" i="7"/>
  <c r="AL826" i="7" l="1"/>
  <c r="AM826" i="7"/>
  <c r="AJ826" i="7"/>
  <c r="AN826" i="7"/>
  <c r="AK826" i="7"/>
  <c r="AI826" i="7"/>
  <c r="AE827" i="7"/>
  <c r="Q827" i="7"/>
  <c r="T826" i="7"/>
  <c r="AM827" i="7" l="1"/>
  <c r="AN827" i="7"/>
  <c r="AK827" i="7"/>
  <c r="AL827" i="7"/>
  <c r="AJ827" i="7"/>
  <c r="Q828" i="7"/>
  <c r="T827" i="7"/>
  <c r="AE828" i="7"/>
  <c r="AI827" i="7"/>
  <c r="AK828" i="7" l="1"/>
  <c r="AJ828" i="7"/>
  <c r="AN828" i="7"/>
  <c r="AL828" i="7"/>
  <c r="AM828" i="7"/>
  <c r="AI828" i="7"/>
  <c r="AE829" i="7"/>
  <c r="Q829" i="7"/>
  <c r="T828" i="7"/>
  <c r="AJ829" i="7" l="1"/>
  <c r="AM829" i="7"/>
  <c r="AN829" i="7"/>
  <c r="AL829" i="7"/>
  <c r="AK829" i="7"/>
  <c r="AE830" i="7"/>
  <c r="AI829" i="7"/>
  <c r="Q830" i="7"/>
  <c r="T829" i="7"/>
  <c r="AJ830" i="7" l="1"/>
  <c r="AL830" i="7"/>
  <c r="AK830" i="7"/>
  <c r="AN830" i="7"/>
  <c r="AM830" i="7"/>
  <c r="Q831" i="7"/>
  <c r="T830" i="7"/>
  <c r="AE831" i="7"/>
  <c r="AI830" i="7"/>
  <c r="AJ831" i="7" l="1"/>
  <c r="AN831" i="7"/>
  <c r="AL831" i="7"/>
  <c r="AM831" i="7"/>
  <c r="AK831" i="7"/>
  <c r="AE832" i="7"/>
  <c r="AI831" i="7"/>
  <c r="T831" i="7"/>
  <c r="Q832" i="7"/>
  <c r="AM832" i="7" l="1"/>
  <c r="AN832" i="7"/>
  <c r="AK832" i="7"/>
  <c r="AL832" i="7"/>
  <c r="AJ832" i="7"/>
  <c r="Q833" i="7"/>
  <c r="T832" i="7"/>
  <c r="AE833" i="7"/>
  <c r="AI832" i="7"/>
  <c r="AL833" i="7" l="1"/>
  <c r="AM833" i="7"/>
  <c r="AN833" i="7"/>
  <c r="AJ833" i="7"/>
  <c r="AK833" i="7"/>
  <c r="AE834" i="7"/>
  <c r="AI833" i="7"/>
  <c r="Q834" i="7"/>
  <c r="T833" i="7"/>
  <c r="AJ834" i="7" l="1"/>
  <c r="AK834" i="7"/>
  <c r="AM834" i="7"/>
  <c r="AN834" i="7"/>
  <c r="AL834" i="7"/>
  <c r="Q835" i="7"/>
  <c r="T834" i="7"/>
  <c r="AE835" i="7"/>
  <c r="AI834" i="7"/>
  <c r="AL835" i="7" l="1"/>
  <c r="AM835" i="7"/>
  <c r="AK835" i="7"/>
  <c r="AN835" i="7"/>
  <c r="AJ835" i="7"/>
  <c r="AI835" i="7"/>
  <c r="AE836" i="7"/>
  <c r="Q836" i="7"/>
  <c r="T835" i="7"/>
  <c r="AJ836" i="7" l="1"/>
  <c r="AL836" i="7"/>
  <c r="AM836" i="7"/>
  <c r="AK836" i="7"/>
  <c r="AN836" i="7"/>
  <c r="AE837" i="7"/>
  <c r="AI836" i="7"/>
  <c r="Q837" i="7"/>
  <c r="T836" i="7"/>
  <c r="AK837" i="7" l="1"/>
  <c r="AN837" i="7"/>
  <c r="AM837" i="7"/>
  <c r="AL837" i="7"/>
  <c r="AJ837" i="7"/>
  <c r="AE838" i="7"/>
  <c r="AI837" i="7"/>
  <c r="T837" i="7"/>
  <c r="Q838" i="7"/>
  <c r="AK838" i="7" l="1"/>
  <c r="AJ838" i="7"/>
  <c r="AM838" i="7"/>
  <c r="AN838" i="7"/>
  <c r="AL838" i="7"/>
  <c r="Q839" i="7"/>
  <c r="T838" i="7"/>
  <c r="AE839" i="7"/>
  <c r="AI838" i="7"/>
  <c r="AJ839" i="7" l="1"/>
  <c r="AM839" i="7"/>
  <c r="AL839" i="7"/>
  <c r="AN839" i="7"/>
  <c r="AK839" i="7"/>
  <c r="AE840" i="7"/>
  <c r="AI839" i="7"/>
  <c r="Q840" i="7"/>
  <c r="T839" i="7"/>
  <c r="AN840" i="7" l="1"/>
  <c r="AL840" i="7"/>
  <c r="AK840" i="7"/>
  <c r="AJ840" i="7"/>
  <c r="AM840" i="7"/>
  <c r="T840" i="7"/>
  <c r="Q841" i="7"/>
  <c r="AE841" i="7"/>
  <c r="AI840" i="7"/>
  <c r="AL841" i="7" l="1"/>
  <c r="AJ841" i="7"/>
  <c r="AK841" i="7"/>
  <c r="AN841" i="7"/>
  <c r="AM841" i="7"/>
  <c r="AI841" i="7"/>
  <c r="AE842" i="7"/>
  <c r="Q842" i="7"/>
  <c r="T841" i="7"/>
  <c r="AN842" i="7" l="1"/>
  <c r="AK842" i="7"/>
  <c r="AM842" i="7"/>
  <c r="AL842" i="7"/>
  <c r="AJ842" i="7"/>
  <c r="Q843" i="7"/>
  <c r="T842" i="7"/>
  <c r="AE843" i="7"/>
  <c r="AI842" i="7"/>
  <c r="AJ843" i="7" l="1"/>
  <c r="AK843" i="7"/>
  <c r="AM843" i="7"/>
  <c r="AN843" i="7"/>
  <c r="AL843" i="7"/>
  <c r="AE844" i="7"/>
  <c r="AI843" i="7"/>
  <c r="Q844" i="7"/>
  <c r="T843" i="7"/>
  <c r="AN844" i="7" l="1"/>
  <c r="AM844" i="7"/>
  <c r="AJ844" i="7"/>
  <c r="AL844" i="7"/>
  <c r="AK844" i="7"/>
  <c r="Q845" i="7"/>
  <c r="T844" i="7"/>
  <c r="AE845" i="7"/>
  <c r="AI844" i="7"/>
  <c r="AK845" i="7" l="1"/>
  <c r="AN845" i="7"/>
  <c r="AM845" i="7"/>
  <c r="AL845" i="7"/>
  <c r="AJ845" i="7"/>
  <c r="AE846" i="7"/>
  <c r="AI845" i="7"/>
  <c r="Q846" i="7"/>
  <c r="T845" i="7"/>
  <c r="AJ846" i="7" l="1"/>
  <c r="AK846" i="7"/>
  <c r="AN846" i="7"/>
  <c r="AM846" i="7"/>
  <c r="AL846" i="7"/>
  <c r="Q847" i="7"/>
  <c r="T846" i="7"/>
  <c r="AE847" i="7"/>
  <c r="AI846" i="7"/>
  <c r="AN847" i="7" l="1"/>
  <c r="AL847" i="7"/>
  <c r="AJ847" i="7"/>
  <c r="AK847" i="7"/>
  <c r="AM847" i="7"/>
  <c r="AE848" i="7"/>
  <c r="AI847" i="7"/>
  <c r="T847" i="7"/>
  <c r="Q848" i="7"/>
  <c r="AL848" i="7" l="1"/>
  <c r="AJ848" i="7"/>
  <c r="AK848" i="7"/>
  <c r="AN848" i="7"/>
  <c r="AM848" i="7"/>
  <c r="Q849" i="7"/>
  <c r="T848" i="7"/>
  <c r="AE849" i="7"/>
  <c r="AI848" i="7"/>
  <c r="AL849" i="7" l="1"/>
  <c r="AK849" i="7"/>
  <c r="AM849" i="7"/>
  <c r="AN849" i="7"/>
  <c r="AJ849" i="7"/>
  <c r="AE850" i="7"/>
  <c r="AI849" i="7"/>
  <c r="Q850" i="7"/>
  <c r="T849" i="7"/>
  <c r="AK850" i="7" l="1"/>
  <c r="AM850" i="7"/>
  <c r="AJ850" i="7"/>
  <c r="AL850" i="7"/>
  <c r="AN850" i="7"/>
  <c r="Q851" i="7"/>
  <c r="T850" i="7"/>
  <c r="AE851" i="7"/>
  <c r="AI850" i="7"/>
  <c r="AN851" i="7" l="1"/>
  <c r="AL851" i="7"/>
  <c r="AK851" i="7"/>
  <c r="AJ851" i="7"/>
  <c r="AM851" i="7"/>
  <c r="AE852" i="7"/>
  <c r="AI851" i="7"/>
  <c r="Q852" i="7"/>
  <c r="T851" i="7"/>
  <c r="AL852" i="7" l="1"/>
  <c r="AJ852" i="7"/>
  <c r="AK852" i="7"/>
  <c r="AN852" i="7"/>
  <c r="AM852" i="7"/>
  <c r="Q853" i="7"/>
  <c r="T852" i="7"/>
  <c r="AE853" i="7"/>
  <c r="AI852" i="7"/>
  <c r="AN853" i="7" l="1"/>
  <c r="AM853" i="7"/>
  <c r="AL853" i="7"/>
  <c r="AK853" i="7"/>
  <c r="AJ853" i="7"/>
  <c r="AE854" i="7"/>
  <c r="AI853" i="7"/>
  <c r="T853" i="7"/>
  <c r="Q854" i="7"/>
  <c r="AL854" i="7" l="1"/>
  <c r="AK854" i="7"/>
  <c r="AN854" i="7"/>
  <c r="AM854" i="7"/>
  <c r="AJ854" i="7"/>
  <c r="Q855" i="7"/>
  <c r="T854" i="7"/>
  <c r="AE855" i="7"/>
  <c r="AI854" i="7"/>
  <c r="AJ855" i="7" l="1"/>
  <c r="AN855" i="7"/>
  <c r="AK855" i="7"/>
  <c r="AL855" i="7"/>
  <c r="AM855" i="7"/>
  <c r="AE856" i="7"/>
  <c r="AI855" i="7"/>
  <c r="Q856" i="7"/>
  <c r="T855" i="7"/>
  <c r="AN856" i="7" l="1"/>
  <c r="AJ856" i="7"/>
  <c r="AK856" i="7"/>
  <c r="AM856" i="7"/>
  <c r="AL856" i="7"/>
  <c r="AE857" i="7"/>
  <c r="AI856" i="7"/>
  <c r="T856" i="7"/>
  <c r="Q857" i="7"/>
  <c r="AJ857" i="7" l="1"/>
  <c r="AM857" i="7"/>
  <c r="AL857" i="7"/>
  <c r="AK857" i="7"/>
  <c r="AN857" i="7"/>
  <c r="Q858" i="7"/>
  <c r="T857" i="7"/>
  <c r="AE858" i="7"/>
  <c r="AI857" i="7"/>
  <c r="AL858" i="7" l="1"/>
  <c r="AJ858" i="7"/>
  <c r="AK858" i="7"/>
  <c r="AM858" i="7"/>
  <c r="AN858" i="7"/>
  <c r="AE859" i="7"/>
  <c r="AI858" i="7"/>
  <c r="Q859" i="7"/>
  <c r="T858" i="7"/>
  <c r="AM859" i="7" l="1"/>
  <c r="AJ859" i="7"/>
  <c r="AK859" i="7"/>
  <c r="AL859" i="7"/>
  <c r="AN859" i="7"/>
  <c r="Q860" i="7"/>
  <c r="T859" i="7"/>
  <c r="AE860" i="7"/>
  <c r="AI859" i="7"/>
  <c r="AJ860" i="7" l="1"/>
  <c r="AN860" i="7"/>
  <c r="AK860" i="7"/>
  <c r="AL860" i="7"/>
  <c r="AM860" i="7"/>
  <c r="Q861" i="7"/>
  <c r="T860" i="7"/>
  <c r="AI860" i="7"/>
  <c r="AE861" i="7"/>
  <c r="AK861" i="7" l="1"/>
  <c r="AM861" i="7"/>
  <c r="AJ861" i="7"/>
  <c r="AN861" i="7"/>
  <c r="AL861" i="7"/>
  <c r="AE862" i="7"/>
  <c r="AI861" i="7"/>
  <c r="Q862" i="7"/>
  <c r="T861" i="7"/>
  <c r="AJ862" i="7" l="1"/>
  <c r="AK862" i="7"/>
  <c r="AL862" i="7"/>
  <c r="AM862" i="7"/>
  <c r="AN862" i="7"/>
  <c r="Q863" i="7"/>
  <c r="T862" i="7"/>
  <c r="AE863" i="7"/>
  <c r="AI862" i="7"/>
  <c r="AN863" i="7" l="1"/>
  <c r="AL863" i="7"/>
  <c r="AM863" i="7"/>
  <c r="AK863" i="7"/>
  <c r="AJ863" i="7"/>
  <c r="AE864" i="7"/>
  <c r="AI863" i="7"/>
  <c r="T863" i="7"/>
  <c r="Q864" i="7"/>
  <c r="AM864" i="7" l="1"/>
  <c r="AJ864" i="7"/>
  <c r="AN864" i="7"/>
  <c r="AK864" i="7"/>
  <c r="AL864" i="7"/>
  <c r="Q865" i="7"/>
  <c r="T864" i="7"/>
  <c r="AE865" i="7"/>
  <c r="AI864" i="7"/>
  <c r="AK865" i="7" l="1"/>
  <c r="AL865" i="7"/>
  <c r="AJ865" i="7"/>
  <c r="AN865" i="7"/>
  <c r="AM865" i="7"/>
  <c r="AE866" i="7"/>
  <c r="AI865" i="7"/>
  <c r="Q866" i="7"/>
  <c r="T865" i="7"/>
  <c r="AK866" i="7" l="1"/>
  <c r="AJ866" i="7"/>
  <c r="AL866" i="7"/>
  <c r="AN866" i="7"/>
  <c r="AM866" i="7"/>
  <c r="Q867" i="7"/>
  <c r="T866" i="7"/>
  <c r="AE867" i="7"/>
  <c r="AI866" i="7"/>
  <c r="AJ867" i="7" l="1"/>
  <c r="AK867" i="7"/>
  <c r="AL867" i="7"/>
  <c r="AN867" i="7"/>
  <c r="AM867" i="7"/>
  <c r="AI867" i="7"/>
  <c r="AE868" i="7"/>
  <c r="Q868" i="7"/>
  <c r="T867" i="7"/>
  <c r="AL868" i="7" l="1"/>
  <c r="AN868" i="7"/>
  <c r="AK868" i="7"/>
  <c r="AM868" i="7"/>
  <c r="AJ868" i="7"/>
  <c r="AE869" i="7"/>
  <c r="AI868" i="7"/>
  <c r="Q869" i="7"/>
  <c r="T868" i="7"/>
  <c r="AL869" i="7" l="1"/>
  <c r="AJ869" i="7"/>
  <c r="AK869" i="7"/>
  <c r="AN869" i="7"/>
  <c r="AM869" i="7"/>
  <c r="T869" i="7"/>
  <c r="Q870" i="7"/>
  <c r="AE870" i="7"/>
  <c r="AI869" i="7"/>
  <c r="AN870" i="7" l="1"/>
  <c r="AJ870" i="7"/>
  <c r="AM870" i="7"/>
  <c r="AK870" i="7"/>
  <c r="AL870" i="7"/>
  <c r="AE871" i="7"/>
  <c r="AI870" i="7"/>
  <c r="Q871" i="7"/>
  <c r="T870" i="7"/>
  <c r="AM871" i="7" l="1"/>
  <c r="AJ871" i="7"/>
  <c r="AK871" i="7"/>
  <c r="AN871" i="7"/>
  <c r="AL871" i="7"/>
  <c r="Q872" i="7"/>
  <c r="T871" i="7"/>
  <c r="AE872" i="7"/>
  <c r="AI871" i="7"/>
  <c r="AL872" i="7" l="1"/>
  <c r="AN872" i="7"/>
  <c r="AM872" i="7"/>
  <c r="AJ872" i="7"/>
  <c r="AK872" i="7"/>
  <c r="AE873" i="7"/>
  <c r="AI872" i="7"/>
  <c r="T872" i="7"/>
  <c r="Q873" i="7"/>
  <c r="AK873" i="7" l="1"/>
  <c r="AJ873" i="7"/>
  <c r="AL873" i="7"/>
  <c r="AN873" i="7"/>
  <c r="AM873" i="7"/>
  <c r="Q874" i="7"/>
  <c r="T873" i="7"/>
  <c r="AE874" i="7"/>
  <c r="AI873" i="7"/>
  <c r="AJ874" i="7" l="1"/>
  <c r="AK874" i="7"/>
  <c r="AL874" i="7"/>
  <c r="AN874" i="7"/>
  <c r="AM874" i="7"/>
  <c r="AE875" i="7"/>
  <c r="AI874" i="7"/>
  <c r="Q875" i="7"/>
  <c r="T874" i="7"/>
  <c r="AK875" i="7" l="1"/>
  <c r="AL875" i="7"/>
  <c r="AJ875" i="7"/>
  <c r="AM875" i="7"/>
  <c r="AN875" i="7"/>
  <c r="Q876" i="7"/>
  <c r="T875" i="7"/>
  <c r="AE876" i="7"/>
  <c r="AI875" i="7"/>
  <c r="AJ876" i="7" l="1"/>
  <c r="AK876" i="7"/>
  <c r="AL876" i="7"/>
  <c r="AN876" i="7"/>
  <c r="AM876" i="7"/>
  <c r="AI876" i="7"/>
  <c r="AE877" i="7"/>
  <c r="Q877" i="7"/>
  <c r="T876" i="7"/>
  <c r="AN877" i="7" l="1"/>
  <c r="AK877" i="7"/>
  <c r="AL877" i="7"/>
  <c r="AJ877" i="7"/>
  <c r="AM877" i="7"/>
  <c r="Q878" i="7"/>
  <c r="T877" i="7"/>
  <c r="AE878" i="7"/>
  <c r="AI877" i="7"/>
  <c r="AN878" i="7" l="1"/>
  <c r="AL878" i="7"/>
  <c r="AM878" i="7"/>
  <c r="AJ878" i="7"/>
  <c r="AK878" i="7"/>
  <c r="AE879" i="7"/>
  <c r="AI878" i="7"/>
  <c r="Q879" i="7"/>
  <c r="T878" i="7"/>
  <c r="AK879" i="7" l="1"/>
  <c r="AL879" i="7"/>
  <c r="AJ879" i="7"/>
  <c r="AM879" i="7"/>
  <c r="AN879" i="7"/>
  <c r="T879" i="7"/>
  <c r="Q880" i="7"/>
  <c r="AE880" i="7"/>
  <c r="AI879" i="7"/>
  <c r="AN880" i="7" l="1"/>
  <c r="AL880" i="7"/>
  <c r="AK880" i="7"/>
  <c r="AM880" i="7"/>
  <c r="AJ880" i="7"/>
  <c r="AE881" i="7"/>
  <c r="AI880" i="7"/>
  <c r="Q881" i="7"/>
  <c r="T880" i="7"/>
  <c r="AL881" i="7" l="1"/>
  <c r="AK881" i="7"/>
  <c r="AN881" i="7"/>
  <c r="AJ881" i="7"/>
  <c r="AM881" i="7"/>
  <c r="Q882" i="7"/>
  <c r="T881" i="7"/>
  <c r="AE882" i="7"/>
  <c r="AI881" i="7"/>
  <c r="AK882" i="7" l="1"/>
  <c r="AM882" i="7"/>
  <c r="AJ882" i="7"/>
  <c r="AN882" i="7"/>
  <c r="AL882" i="7"/>
  <c r="AE883" i="7"/>
  <c r="AI882" i="7"/>
  <c r="Q883" i="7"/>
  <c r="T882" i="7"/>
  <c r="AJ883" i="7" l="1"/>
  <c r="AK883" i="7"/>
  <c r="AL883" i="7"/>
  <c r="AM883" i="7"/>
  <c r="AN883" i="7"/>
  <c r="Q884" i="7"/>
  <c r="T883" i="7"/>
  <c r="AI883" i="7"/>
  <c r="AE884" i="7"/>
  <c r="AM884" i="7" l="1"/>
  <c r="AJ884" i="7"/>
  <c r="AK884" i="7"/>
  <c r="AN884" i="7"/>
  <c r="AL884" i="7"/>
  <c r="AE885" i="7"/>
  <c r="AI884" i="7"/>
  <c r="Q885" i="7"/>
  <c r="T884" i="7"/>
  <c r="AJ885" i="7" l="1"/>
  <c r="AL885" i="7"/>
  <c r="AK885" i="7"/>
  <c r="AM885" i="7"/>
  <c r="AN885" i="7"/>
  <c r="T885" i="7"/>
  <c r="Q886" i="7"/>
  <c r="AI885" i="7"/>
  <c r="AE886" i="7"/>
  <c r="AM886" i="7" l="1"/>
  <c r="AJ886" i="7"/>
  <c r="AK886" i="7"/>
  <c r="AL886" i="7"/>
  <c r="AN886" i="7"/>
  <c r="AI886" i="7"/>
  <c r="AE887" i="7"/>
  <c r="T886" i="7"/>
  <c r="Q887" i="7"/>
  <c r="AK887" i="7" l="1"/>
  <c r="AL887" i="7"/>
  <c r="AJ887" i="7"/>
  <c r="AN887" i="7"/>
  <c r="AM887" i="7"/>
  <c r="Q888" i="7"/>
  <c r="T887" i="7"/>
  <c r="AE888" i="7"/>
  <c r="AI887" i="7"/>
  <c r="AL888" i="7" l="1"/>
  <c r="AK888" i="7"/>
  <c r="AJ888" i="7"/>
  <c r="AM888" i="7"/>
  <c r="AN888" i="7"/>
  <c r="AE889" i="7"/>
  <c r="AI888" i="7"/>
  <c r="Q889" i="7"/>
  <c r="T888" i="7"/>
  <c r="AK889" i="7" l="1"/>
  <c r="AJ889" i="7"/>
  <c r="AN889" i="7"/>
  <c r="AM889" i="7"/>
  <c r="AL889" i="7"/>
  <c r="Q890" i="7"/>
  <c r="T889" i="7"/>
  <c r="AE890" i="7"/>
  <c r="AI889" i="7"/>
  <c r="AJ890" i="7" l="1"/>
  <c r="AN890" i="7"/>
  <c r="AL890" i="7"/>
  <c r="AK890" i="7"/>
  <c r="AM890" i="7"/>
  <c r="AE891" i="7"/>
  <c r="AI890" i="7"/>
  <c r="Q891" i="7"/>
  <c r="T890" i="7"/>
  <c r="AK891" i="7" l="1"/>
  <c r="AL891" i="7"/>
  <c r="AN891" i="7"/>
  <c r="AM891" i="7"/>
  <c r="AJ891" i="7"/>
  <c r="T891" i="7"/>
  <c r="Q892" i="7"/>
  <c r="AE892" i="7"/>
  <c r="AI891" i="7"/>
  <c r="AL892" i="7" l="1"/>
  <c r="AJ892" i="7"/>
  <c r="AK892" i="7"/>
  <c r="AN892" i="7"/>
  <c r="AM892" i="7"/>
  <c r="T892" i="7"/>
  <c r="Q893" i="7"/>
  <c r="AE893" i="7"/>
  <c r="AI892" i="7"/>
  <c r="AM893" i="7" l="1"/>
  <c r="AJ893" i="7"/>
  <c r="AL893" i="7"/>
  <c r="AN893" i="7"/>
  <c r="AK893" i="7"/>
  <c r="AE894" i="7"/>
  <c r="AI893" i="7"/>
  <c r="Q894" i="7"/>
  <c r="T893" i="7"/>
  <c r="AK894" i="7" l="1"/>
  <c r="AM894" i="7"/>
  <c r="AJ894" i="7"/>
  <c r="AL894" i="7"/>
  <c r="AN894" i="7"/>
  <c r="T894" i="7"/>
  <c r="Q895" i="7"/>
  <c r="AE895" i="7"/>
  <c r="AI894" i="7"/>
  <c r="AL895" i="7" l="1"/>
  <c r="AK895" i="7"/>
  <c r="AM895" i="7"/>
  <c r="AN895" i="7"/>
  <c r="AJ895" i="7"/>
  <c r="Q896" i="7"/>
  <c r="T895" i="7"/>
  <c r="AE896" i="7"/>
  <c r="AI895" i="7"/>
  <c r="AN896" i="7" l="1"/>
  <c r="AM896" i="7"/>
  <c r="AL896" i="7"/>
  <c r="AK896" i="7"/>
  <c r="AJ896" i="7"/>
  <c r="AI896" i="7"/>
  <c r="AE897" i="7"/>
  <c r="T896" i="7"/>
  <c r="Q897" i="7"/>
  <c r="AJ897" i="7" l="1"/>
  <c r="AL897" i="7"/>
  <c r="AK897" i="7"/>
  <c r="AM897" i="7"/>
  <c r="AN897" i="7"/>
  <c r="Q898" i="7"/>
  <c r="T897" i="7"/>
  <c r="AE898" i="7"/>
  <c r="AI897" i="7"/>
  <c r="AK898" i="7" l="1"/>
  <c r="AN898" i="7"/>
  <c r="AJ898" i="7"/>
  <c r="AM898" i="7"/>
  <c r="AL898" i="7"/>
  <c r="AE899" i="7"/>
  <c r="AI898" i="7"/>
  <c r="Q899" i="7"/>
  <c r="T898" i="7"/>
  <c r="AK899" i="7" l="1"/>
  <c r="AL899" i="7"/>
  <c r="AJ899" i="7"/>
  <c r="AM899" i="7"/>
  <c r="AN899" i="7"/>
  <c r="Q900" i="7"/>
  <c r="T899" i="7"/>
  <c r="AE900" i="7"/>
  <c r="AI899" i="7"/>
  <c r="AN900" i="7" l="1"/>
  <c r="AK900" i="7"/>
  <c r="AM900" i="7"/>
  <c r="AL900" i="7"/>
  <c r="AJ900" i="7"/>
  <c r="T900" i="7"/>
  <c r="Q901" i="7"/>
  <c r="AI900" i="7"/>
  <c r="AE901" i="7"/>
  <c r="AN901" i="7" l="1"/>
  <c r="AM901" i="7"/>
  <c r="AK901" i="7"/>
  <c r="AL901" i="7"/>
  <c r="AJ901" i="7"/>
  <c r="AE902" i="7"/>
  <c r="AI901" i="7"/>
  <c r="T901" i="7"/>
  <c r="Q902" i="7"/>
  <c r="AL902" i="7" l="1"/>
  <c r="AN902" i="7"/>
  <c r="AM902" i="7"/>
  <c r="AJ902" i="7"/>
  <c r="AK902" i="7"/>
  <c r="Q903" i="7"/>
  <c r="T902" i="7"/>
  <c r="AI902" i="7"/>
  <c r="AE903" i="7"/>
  <c r="AL903" i="7" l="1"/>
  <c r="AK903" i="7"/>
  <c r="AM903" i="7"/>
  <c r="AN903" i="7"/>
  <c r="AJ903" i="7"/>
  <c r="T903" i="7"/>
  <c r="Q904" i="7"/>
  <c r="AE904" i="7"/>
  <c r="AI903" i="7"/>
  <c r="AM904" i="7" l="1"/>
  <c r="AK904" i="7"/>
  <c r="AJ904" i="7"/>
  <c r="AL904" i="7"/>
  <c r="AN904" i="7"/>
  <c r="AI904" i="7"/>
  <c r="AE905" i="7"/>
  <c r="Q905" i="7"/>
  <c r="T904" i="7"/>
  <c r="AM905" i="7" l="1"/>
  <c r="AK905" i="7"/>
  <c r="AJ905" i="7"/>
  <c r="AN905" i="7"/>
  <c r="AL905" i="7"/>
  <c r="Q906" i="7"/>
  <c r="T905" i="7"/>
  <c r="AI905" i="7"/>
  <c r="AE906" i="7"/>
  <c r="AJ906" i="7" l="1"/>
  <c r="AM906" i="7"/>
  <c r="AK906" i="7"/>
  <c r="AL906" i="7"/>
  <c r="AN906" i="7"/>
  <c r="AE907" i="7"/>
  <c r="AI906" i="7"/>
  <c r="Q907" i="7"/>
  <c r="T906" i="7"/>
  <c r="AN907" i="7" l="1"/>
  <c r="AK907" i="7"/>
  <c r="AM907" i="7"/>
  <c r="AJ907" i="7"/>
  <c r="AL907" i="7"/>
  <c r="Q908" i="7"/>
  <c r="T907" i="7"/>
  <c r="AE908" i="7"/>
  <c r="AI907" i="7"/>
  <c r="AN908" i="7" l="1"/>
  <c r="AJ908" i="7"/>
  <c r="AK908" i="7"/>
  <c r="AM908" i="7"/>
  <c r="AL908" i="7"/>
  <c r="T908" i="7"/>
  <c r="Q909" i="7"/>
  <c r="AE909" i="7"/>
  <c r="AI908" i="7"/>
  <c r="AL909" i="7" l="1"/>
  <c r="AN909" i="7"/>
  <c r="AJ909" i="7"/>
  <c r="AM909" i="7"/>
  <c r="AK909" i="7"/>
  <c r="AE910" i="7"/>
  <c r="AI909" i="7"/>
  <c r="Q910" i="7"/>
  <c r="T909" i="7"/>
  <c r="AK910" i="7" l="1"/>
  <c r="AN910" i="7"/>
  <c r="AJ910" i="7"/>
  <c r="AL910" i="7"/>
  <c r="AM910" i="7"/>
  <c r="T910" i="7"/>
  <c r="Q911" i="7"/>
  <c r="AE911" i="7"/>
  <c r="AI910" i="7"/>
  <c r="AM911" i="7" l="1"/>
  <c r="AK911" i="7"/>
  <c r="AL911" i="7"/>
  <c r="AN911" i="7"/>
  <c r="AJ911" i="7"/>
  <c r="AE912" i="7"/>
  <c r="AI911" i="7"/>
  <c r="Q912" i="7"/>
  <c r="T911" i="7"/>
  <c r="AN912" i="7" l="1"/>
  <c r="AM912" i="7"/>
  <c r="AJ912" i="7"/>
  <c r="AK912" i="7"/>
  <c r="AL912" i="7"/>
  <c r="T912" i="7"/>
  <c r="Q913" i="7"/>
  <c r="AE913" i="7"/>
  <c r="AI912" i="7"/>
  <c r="AJ913" i="7" l="1"/>
  <c r="AM913" i="7"/>
  <c r="AK913" i="7"/>
  <c r="AL913" i="7"/>
  <c r="AN913" i="7"/>
  <c r="AE914" i="7"/>
  <c r="AI913" i="7"/>
  <c r="Q914" i="7"/>
  <c r="T913" i="7"/>
  <c r="AL914" i="7" l="1"/>
  <c r="AJ914" i="7"/>
  <c r="AN914" i="7"/>
  <c r="AM914" i="7"/>
  <c r="AK914" i="7"/>
  <c r="T914" i="7"/>
  <c r="Q915" i="7"/>
  <c r="AI914" i="7"/>
  <c r="AE915" i="7"/>
  <c r="AN915" i="7" l="1"/>
  <c r="AL915" i="7"/>
  <c r="AJ915" i="7"/>
  <c r="AM915" i="7"/>
  <c r="AK915" i="7"/>
  <c r="AE916" i="7"/>
  <c r="AI915" i="7"/>
  <c r="Q916" i="7"/>
  <c r="T915" i="7"/>
  <c r="AK916" i="7" l="1"/>
  <c r="AJ916" i="7"/>
  <c r="AM916" i="7"/>
  <c r="AL916" i="7"/>
  <c r="AN916" i="7"/>
  <c r="T916" i="7"/>
  <c r="Q917" i="7"/>
  <c r="AE917" i="7"/>
  <c r="AI916" i="7"/>
  <c r="AM917" i="7" l="1"/>
  <c r="AL917" i="7"/>
  <c r="AN917" i="7"/>
  <c r="AK917" i="7"/>
  <c r="AJ917" i="7"/>
  <c r="AE918" i="7"/>
  <c r="AI917" i="7"/>
  <c r="T917" i="7"/>
  <c r="Q918" i="7"/>
  <c r="AJ918" i="7" l="1"/>
  <c r="AM918" i="7"/>
  <c r="AL918" i="7"/>
  <c r="AK918" i="7"/>
  <c r="AN918" i="7"/>
  <c r="Q919" i="7"/>
  <c r="T918" i="7"/>
  <c r="AE919" i="7"/>
  <c r="AI918" i="7"/>
  <c r="AL919" i="7" l="1"/>
  <c r="AN919" i="7"/>
  <c r="AM919" i="7"/>
  <c r="AK919" i="7"/>
  <c r="AJ919" i="7"/>
  <c r="AE920" i="7"/>
  <c r="AI919" i="7"/>
  <c r="T919" i="7"/>
  <c r="Q920" i="7"/>
  <c r="AL920" i="7" l="1"/>
  <c r="AK920" i="7"/>
  <c r="AN920" i="7"/>
  <c r="AJ920" i="7"/>
  <c r="AM920" i="7"/>
  <c r="Q921" i="7"/>
  <c r="T920" i="7"/>
  <c r="AE921" i="7"/>
  <c r="AI920" i="7"/>
  <c r="AL921" i="7" l="1"/>
  <c r="AJ921" i="7"/>
  <c r="AN921" i="7"/>
  <c r="AM921" i="7"/>
  <c r="AK921" i="7"/>
  <c r="AE922" i="7"/>
  <c r="AI921" i="7"/>
  <c r="Q922" i="7"/>
  <c r="T921" i="7"/>
  <c r="AK922" i="7" l="1"/>
  <c r="AJ922" i="7"/>
  <c r="AN922" i="7"/>
  <c r="AM922" i="7"/>
  <c r="AL922" i="7"/>
  <c r="Q923" i="7"/>
  <c r="T922" i="7"/>
  <c r="AE923" i="7"/>
  <c r="AI922" i="7"/>
  <c r="AN923" i="7" l="1"/>
  <c r="AL923" i="7"/>
  <c r="AK923" i="7"/>
  <c r="AJ923" i="7"/>
  <c r="AM923" i="7"/>
  <c r="AI923" i="7"/>
  <c r="AE924" i="7"/>
  <c r="T923" i="7"/>
  <c r="Q924" i="7"/>
  <c r="AJ924" i="7" l="1"/>
  <c r="AK924" i="7"/>
  <c r="AL924" i="7"/>
  <c r="AM924" i="7"/>
  <c r="AN924" i="7"/>
  <c r="AE925" i="7"/>
  <c r="AI924" i="7"/>
  <c r="T924" i="7"/>
  <c r="Q925" i="7"/>
  <c r="AL925" i="7" l="1"/>
  <c r="AM925" i="7"/>
  <c r="AK925" i="7"/>
  <c r="AN925" i="7"/>
  <c r="AJ925" i="7"/>
  <c r="Q926" i="7"/>
  <c r="T925" i="7"/>
  <c r="AE926" i="7"/>
  <c r="AI925" i="7"/>
  <c r="AL926" i="7" l="1"/>
  <c r="AM926" i="7"/>
  <c r="AN926" i="7"/>
  <c r="AJ926" i="7"/>
  <c r="AK926" i="7"/>
  <c r="AE927" i="7"/>
  <c r="AI926" i="7"/>
  <c r="T926" i="7"/>
  <c r="Q927" i="7"/>
  <c r="AL927" i="7" l="1"/>
  <c r="AJ927" i="7"/>
  <c r="AM927" i="7"/>
  <c r="AN927" i="7"/>
  <c r="AK927" i="7"/>
  <c r="Q928" i="7"/>
  <c r="T927" i="7"/>
  <c r="AI927" i="7"/>
  <c r="AE928" i="7"/>
  <c r="AJ928" i="7" l="1"/>
  <c r="AN928" i="7"/>
  <c r="AL928" i="7"/>
  <c r="AM928" i="7"/>
  <c r="AK928" i="7"/>
  <c r="T928" i="7"/>
  <c r="Q929" i="7"/>
  <c r="AE929" i="7"/>
  <c r="AI928" i="7"/>
  <c r="AN929" i="7" l="1"/>
  <c r="AJ929" i="7"/>
  <c r="AK929" i="7"/>
  <c r="AL929" i="7"/>
  <c r="AM929" i="7"/>
  <c r="Q930" i="7"/>
  <c r="T929" i="7"/>
  <c r="AE930" i="7"/>
  <c r="AI929" i="7"/>
  <c r="AK930" i="7" l="1"/>
  <c r="AM930" i="7"/>
  <c r="AN930" i="7"/>
  <c r="AL930" i="7"/>
  <c r="AJ930" i="7"/>
  <c r="AI930" i="7"/>
  <c r="AE931" i="7"/>
  <c r="Q931" i="7"/>
  <c r="T930" i="7"/>
  <c r="AK931" i="7" l="1"/>
  <c r="AJ931" i="7"/>
  <c r="AL931" i="7"/>
  <c r="AN931" i="7"/>
  <c r="AM931" i="7"/>
  <c r="Q932" i="7"/>
  <c r="T931" i="7"/>
  <c r="AE932" i="7"/>
  <c r="AI931" i="7"/>
  <c r="AL932" i="7" l="1"/>
  <c r="AJ932" i="7"/>
  <c r="AK932" i="7"/>
  <c r="AM932" i="7"/>
  <c r="AN932" i="7"/>
  <c r="AE933" i="7"/>
  <c r="AI932" i="7"/>
  <c r="T932" i="7"/>
  <c r="Q933" i="7"/>
  <c r="AL933" i="7" l="1"/>
  <c r="AM933" i="7"/>
  <c r="AK933" i="7"/>
  <c r="AJ933" i="7"/>
  <c r="AN933" i="7"/>
  <c r="T933" i="7"/>
  <c r="Q934" i="7"/>
  <c r="AE934" i="7"/>
  <c r="AI933" i="7"/>
  <c r="AN934" i="7" l="1"/>
  <c r="AJ934" i="7"/>
  <c r="AL934" i="7"/>
  <c r="AM934" i="7"/>
  <c r="AK934" i="7"/>
  <c r="Q935" i="7"/>
  <c r="T934" i="7"/>
  <c r="AE935" i="7"/>
  <c r="AI934" i="7"/>
  <c r="AJ935" i="7" l="1"/>
  <c r="AM935" i="7"/>
  <c r="AK935" i="7"/>
  <c r="AL935" i="7"/>
  <c r="AN935" i="7"/>
  <c r="AE936" i="7"/>
  <c r="AI935" i="7"/>
  <c r="Q936" i="7"/>
  <c r="T935" i="7"/>
  <c r="AL936" i="7" l="1"/>
  <c r="AN936" i="7"/>
  <c r="AJ936" i="7"/>
  <c r="AM936" i="7"/>
  <c r="AK936" i="7"/>
  <c r="Q937" i="7"/>
  <c r="T936" i="7"/>
  <c r="AI936" i="7"/>
  <c r="AE937" i="7"/>
  <c r="AM937" i="7" l="1"/>
  <c r="AN937" i="7"/>
  <c r="AJ937" i="7"/>
  <c r="AL937" i="7"/>
  <c r="AK937" i="7"/>
  <c r="AI937" i="7"/>
  <c r="AE938" i="7"/>
  <c r="Q938" i="7"/>
  <c r="T937" i="7"/>
  <c r="AJ938" i="7" l="1"/>
  <c r="AL938" i="7"/>
  <c r="AK938" i="7"/>
  <c r="AN938" i="7"/>
  <c r="AM938" i="7"/>
  <c r="Q939" i="7"/>
  <c r="T938" i="7"/>
  <c r="AE939" i="7"/>
  <c r="AI938" i="7"/>
  <c r="AM939" i="7" l="1"/>
  <c r="AL939" i="7"/>
  <c r="AN939" i="7"/>
  <c r="AJ939" i="7"/>
  <c r="AK939" i="7"/>
  <c r="Q940" i="7"/>
  <c r="T939" i="7"/>
  <c r="AE940" i="7"/>
  <c r="AI939" i="7"/>
  <c r="AM940" i="7" l="1"/>
  <c r="AN940" i="7"/>
  <c r="AJ940" i="7"/>
  <c r="AL940" i="7"/>
  <c r="AK940" i="7"/>
  <c r="AE941" i="7"/>
  <c r="AI940" i="7"/>
  <c r="T940" i="7"/>
  <c r="Q941" i="7"/>
  <c r="AJ941" i="7" l="1"/>
  <c r="AL941" i="7"/>
  <c r="AM941" i="7"/>
  <c r="AK941" i="7"/>
  <c r="AN941" i="7"/>
  <c r="Q942" i="7"/>
  <c r="T941" i="7"/>
  <c r="AE942" i="7"/>
  <c r="AI941" i="7"/>
  <c r="AM942" i="7" l="1"/>
  <c r="AL942" i="7"/>
  <c r="AK942" i="7"/>
  <c r="AN942" i="7"/>
  <c r="AJ942" i="7"/>
  <c r="Q943" i="7"/>
  <c r="T942" i="7"/>
  <c r="AE943" i="7"/>
  <c r="AI942" i="7"/>
  <c r="AJ943" i="7" l="1"/>
  <c r="AK943" i="7"/>
  <c r="AN943" i="7"/>
  <c r="AM943" i="7"/>
  <c r="AL943" i="7"/>
  <c r="AI943" i="7"/>
  <c r="AE944" i="7"/>
  <c r="Q944" i="7"/>
  <c r="T943" i="7"/>
  <c r="AJ944" i="7" l="1"/>
  <c r="AK944" i="7"/>
  <c r="AL944" i="7"/>
  <c r="AM944" i="7"/>
  <c r="AN944" i="7"/>
  <c r="T944" i="7"/>
  <c r="Q945" i="7"/>
  <c r="AI944" i="7"/>
  <c r="AE945" i="7"/>
  <c r="AL945" i="7" l="1"/>
  <c r="AK945" i="7"/>
  <c r="AM945" i="7"/>
  <c r="AJ945" i="7"/>
  <c r="AN945" i="7"/>
  <c r="AE946" i="7"/>
  <c r="AI945" i="7"/>
  <c r="Q946" i="7"/>
  <c r="T945" i="7"/>
  <c r="AN946" i="7" l="1"/>
  <c r="AM946" i="7"/>
  <c r="AJ946" i="7"/>
  <c r="AK946" i="7"/>
  <c r="AL946" i="7"/>
  <c r="Q947" i="7"/>
  <c r="T946" i="7"/>
  <c r="AE947" i="7"/>
  <c r="AI946" i="7"/>
  <c r="AM947" i="7" l="1"/>
  <c r="AN947" i="7"/>
  <c r="AK947" i="7"/>
  <c r="AJ947" i="7"/>
  <c r="AL947" i="7"/>
  <c r="AE948" i="7"/>
  <c r="AI947" i="7"/>
  <c r="Q948" i="7"/>
  <c r="T947" i="7"/>
  <c r="AJ948" i="7" l="1"/>
  <c r="AN948" i="7"/>
  <c r="AM948" i="7"/>
  <c r="AL948" i="7"/>
  <c r="AK948" i="7"/>
  <c r="T948" i="7"/>
  <c r="Q949" i="7"/>
  <c r="AI948" i="7"/>
  <c r="AE949" i="7"/>
  <c r="AL949" i="7" l="1"/>
  <c r="AJ949" i="7"/>
  <c r="AN949" i="7"/>
  <c r="AK949" i="7"/>
  <c r="AM949" i="7"/>
  <c r="AE950" i="7"/>
  <c r="AI949" i="7"/>
  <c r="T949" i="7"/>
  <c r="Q950" i="7"/>
  <c r="AK950" i="7" l="1"/>
  <c r="AL950" i="7"/>
  <c r="AM950" i="7"/>
  <c r="AN950" i="7"/>
  <c r="AJ950" i="7"/>
  <c r="Q951" i="7"/>
  <c r="T950" i="7"/>
  <c r="AE951" i="7"/>
  <c r="AI950" i="7"/>
  <c r="AJ951" i="7" l="1"/>
  <c r="AM951" i="7"/>
  <c r="AN951" i="7"/>
  <c r="AL951" i="7"/>
  <c r="AK951" i="7"/>
  <c r="Q952" i="7"/>
  <c r="T951" i="7"/>
  <c r="AE952" i="7"/>
  <c r="AI951" i="7"/>
  <c r="AN952" i="7" l="1"/>
  <c r="AK952" i="7"/>
  <c r="AL952" i="7"/>
  <c r="AJ952" i="7"/>
  <c r="AM952" i="7"/>
  <c r="AE953" i="7"/>
  <c r="AI952" i="7"/>
  <c r="Q953" i="7"/>
  <c r="T952" i="7"/>
  <c r="AL953" i="7" l="1"/>
  <c r="AK953" i="7"/>
  <c r="AJ953" i="7"/>
  <c r="AN953" i="7"/>
  <c r="AM953" i="7"/>
  <c r="Q954" i="7"/>
  <c r="T953" i="7"/>
  <c r="AI953" i="7"/>
  <c r="AE954" i="7"/>
  <c r="AN954" i="7" l="1"/>
  <c r="AM954" i="7"/>
  <c r="AL954" i="7"/>
  <c r="AK954" i="7"/>
  <c r="AJ954" i="7"/>
  <c r="AE955" i="7"/>
  <c r="AI954" i="7"/>
  <c r="T954" i="7"/>
  <c r="Q955" i="7"/>
  <c r="AL955" i="7" l="1"/>
  <c r="AM955" i="7"/>
  <c r="AK955" i="7"/>
  <c r="AJ955" i="7"/>
  <c r="AN955" i="7"/>
  <c r="AE956" i="7"/>
  <c r="AI955" i="7"/>
  <c r="T955" i="7"/>
  <c r="Q956" i="7"/>
  <c r="AM956" i="7" l="1"/>
  <c r="AJ956" i="7"/>
  <c r="AN956" i="7"/>
  <c r="AL956" i="7"/>
  <c r="AK956" i="7"/>
  <c r="Q957" i="7"/>
  <c r="T956" i="7"/>
  <c r="AE957" i="7"/>
  <c r="AI956" i="7"/>
  <c r="AL957" i="7" l="1"/>
  <c r="AN957" i="7"/>
  <c r="AJ957" i="7"/>
  <c r="AK957" i="7"/>
  <c r="AM957" i="7"/>
  <c r="AI957" i="7"/>
  <c r="AE958" i="7"/>
  <c r="Q958" i="7"/>
  <c r="T957" i="7"/>
  <c r="AK958" i="7" l="1"/>
  <c r="AL958" i="7"/>
  <c r="AN958" i="7"/>
  <c r="AJ958" i="7"/>
  <c r="AM958" i="7"/>
  <c r="Q959" i="7"/>
  <c r="T958" i="7"/>
  <c r="AE959" i="7"/>
  <c r="AI958" i="7"/>
  <c r="AM959" i="7" l="1"/>
  <c r="AN959" i="7"/>
  <c r="AK959" i="7"/>
  <c r="AL959" i="7"/>
  <c r="AJ959" i="7"/>
  <c r="AE960" i="7"/>
  <c r="AI959" i="7"/>
  <c r="Q960" i="7"/>
  <c r="T959" i="7"/>
  <c r="AM960" i="7" l="1"/>
  <c r="AK960" i="7"/>
  <c r="AN960" i="7"/>
  <c r="AL960" i="7"/>
  <c r="AJ960" i="7"/>
  <c r="AE961" i="7"/>
  <c r="AI960" i="7"/>
  <c r="T960" i="7"/>
  <c r="Q961" i="7"/>
  <c r="AL961" i="7" l="1"/>
  <c r="AK961" i="7"/>
  <c r="AM961" i="7"/>
  <c r="AN961" i="7"/>
  <c r="AJ961" i="7"/>
  <c r="T961" i="7"/>
  <c r="Q962" i="7"/>
  <c r="AE962" i="7"/>
  <c r="AI961" i="7"/>
  <c r="AM962" i="7" l="1"/>
  <c r="AL962" i="7"/>
  <c r="AN962" i="7"/>
  <c r="AK962" i="7"/>
  <c r="AJ962" i="7"/>
  <c r="AI962" i="7"/>
  <c r="AE963" i="7"/>
  <c r="Q963" i="7"/>
  <c r="T962" i="7"/>
  <c r="AK963" i="7" l="1"/>
  <c r="AM963" i="7"/>
  <c r="AL963" i="7"/>
  <c r="AJ963" i="7"/>
  <c r="AN963" i="7"/>
  <c r="T963" i="7"/>
  <c r="Q964" i="7"/>
  <c r="AE964" i="7"/>
  <c r="AI963" i="7"/>
  <c r="AJ964" i="7" l="1"/>
  <c r="AL964" i="7"/>
  <c r="AM964" i="7"/>
  <c r="AK964" i="7"/>
  <c r="AN964" i="7"/>
  <c r="AE965" i="7"/>
  <c r="AI964" i="7"/>
  <c r="T964" i="7"/>
  <c r="Q965" i="7"/>
  <c r="AL965" i="7" l="1"/>
  <c r="AK965" i="7"/>
  <c r="AM965" i="7"/>
  <c r="AJ965" i="7"/>
  <c r="AN965" i="7"/>
  <c r="Q966" i="7"/>
  <c r="T965" i="7"/>
  <c r="AE966" i="7"/>
  <c r="AI965" i="7"/>
  <c r="AJ966" i="7" l="1"/>
  <c r="AM966" i="7"/>
  <c r="AN966" i="7"/>
  <c r="AK966" i="7"/>
  <c r="AL966" i="7"/>
  <c r="AE967" i="7"/>
  <c r="AI966" i="7"/>
  <c r="Q967" i="7"/>
  <c r="T966" i="7"/>
  <c r="AJ967" i="7" l="1"/>
  <c r="AM967" i="7"/>
  <c r="AL967" i="7"/>
  <c r="AK967" i="7"/>
  <c r="AN967" i="7"/>
  <c r="Q968" i="7"/>
  <c r="T967" i="7"/>
  <c r="AI967" i="7"/>
  <c r="AE968" i="7"/>
  <c r="AJ968" i="7" l="1"/>
  <c r="AM968" i="7"/>
  <c r="AN968" i="7"/>
  <c r="AL968" i="7"/>
  <c r="AK968" i="7"/>
  <c r="AI968" i="7"/>
  <c r="AE969" i="7"/>
  <c r="Q969" i="7"/>
  <c r="T968" i="7"/>
  <c r="AN969" i="7" l="1"/>
  <c r="AM969" i="7"/>
  <c r="AL969" i="7"/>
  <c r="AJ969" i="7"/>
  <c r="AK969" i="7"/>
  <c r="Q970" i="7"/>
  <c r="T969" i="7"/>
  <c r="AE970" i="7"/>
  <c r="AI969" i="7"/>
  <c r="AK970" i="7" l="1"/>
  <c r="AN970" i="7"/>
  <c r="AL970" i="7"/>
  <c r="AJ970" i="7"/>
  <c r="AM970" i="7"/>
  <c r="AE971" i="7"/>
  <c r="AI970" i="7"/>
  <c r="T970" i="7"/>
  <c r="Q971" i="7"/>
  <c r="AL971" i="7" l="1"/>
  <c r="AK971" i="7"/>
  <c r="AM971" i="7"/>
  <c r="AN971" i="7"/>
  <c r="AJ971" i="7"/>
  <c r="T971" i="7"/>
  <c r="Q972" i="7"/>
  <c r="AE972" i="7"/>
  <c r="AI971" i="7"/>
  <c r="AN972" i="7" l="1"/>
  <c r="AL972" i="7"/>
  <c r="AK972" i="7"/>
  <c r="AM972" i="7"/>
  <c r="AJ972" i="7"/>
  <c r="Q973" i="7"/>
  <c r="T972" i="7"/>
  <c r="AE973" i="7"/>
  <c r="AI972" i="7"/>
  <c r="AN973" i="7" l="1"/>
  <c r="AM973" i="7"/>
  <c r="AL973" i="7"/>
  <c r="AJ973" i="7"/>
  <c r="AK973" i="7"/>
  <c r="Q974" i="7"/>
  <c r="T973" i="7"/>
  <c r="AE974" i="7"/>
  <c r="AI973" i="7"/>
  <c r="AM974" i="7" l="1"/>
  <c r="AK974" i="7"/>
  <c r="AJ974" i="7"/>
  <c r="AL974" i="7"/>
  <c r="AN974" i="7"/>
  <c r="AE975" i="7"/>
  <c r="AI974" i="7"/>
  <c r="T974" i="7"/>
  <c r="Q975" i="7"/>
  <c r="AJ975" i="7" l="1"/>
  <c r="AN975" i="7"/>
  <c r="AK975" i="7"/>
  <c r="AL975" i="7"/>
  <c r="AM975" i="7"/>
  <c r="Q976" i="7"/>
  <c r="T975" i="7"/>
  <c r="AE976" i="7"/>
  <c r="AI975" i="7"/>
  <c r="AN976" i="7" l="1"/>
  <c r="AL976" i="7"/>
  <c r="AK976" i="7"/>
  <c r="AJ976" i="7"/>
  <c r="AM976" i="7"/>
  <c r="T976" i="7"/>
  <c r="Q977" i="7"/>
  <c r="AE977" i="7"/>
  <c r="AI976" i="7"/>
  <c r="AK977" i="7" l="1"/>
  <c r="AL977" i="7"/>
  <c r="AN977" i="7"/>
  <c r="AM977" i="7"/>
  <c r="AJ977" i="7"/>
  <c r="AE978" i="7"/>
  <c r="AI977" i="7"/>
  <c r="T977" i="7"/>
  <c r="Q978" i="7"/>
  <c r="AL978" i="7" l="1"/>
  <c r="AK978" i="7"/>
  <c r="AM978" i="7"/>
  <c r="AN978" i="7"/>
  <c r="AJ978" i="7"/>
  <c r="Q979" i="7"/>
  <c r="T978" i="7"/>
  <c r="AE979" i="7"/>
  <c r="AI978" i="7"/>
  <c r="AK979" i="7" l="1"/>
  <c r="AL979" i="7"/>
  <c r="AM979" i="7"/>
  <c r="AN979" i="7"/>
  <c r="AJ979" i="7"/>
  <c r="AE980" i="7"/>
  <c r="AI979" i="7"/>
  <c r="T979" i="7"/>
  <c r="Q980" i="7"/>
  <c r="AL980" i="7" l="1"/>
  <c r="AM980" i="7"/>
  <c r="AK980" i="7"/>
  <c r="AJ980" i="7"/>
  <c r="AN980" i="7"/>
  <c r="T980" i="7"/>
  <c r="Q981" i="7"/>
  <c r="AI980" i="7"/>
  <c r="AE981" i="7"/>
  <c r="AK981" i="7" l="1"/>
  <c r="AM981" i="7"/>
  <c r="AJ981" i="7"/>
  <c r="AN981" i="7"/>
  <c r="AL981" i="7"/>
  <c r="AI981" i="7"/>
  <c r="AE982" i="7"/>
  <c r="T981" i="7"/>
  <c r="Q982" i="7"/>
  <c r="AL982" i="7" l="1"/>
  <c r="AN982" i="7"/>
  <c r="AM982" i="7"/>
  <c r="AK982" i="7"/>
  <c r="AJ982" i="7"/>
  <c r="Q983" i="7"/>
  <c r="T982" i="7"/>
  <c r="AE983" i="7"/>
  <c r="AI982" i="7"/>
  <c r="AJ983" i="7" l="1"/>
  <c r="AL983" i="7"/>
  <c r="AM983" i="7"/>
  <c r="AN983" i="7"/>
  <c r="AK983" i="7"/>
  <c r="AE984" i="7"/>
  <c r="AI983" i="7"/>
  <c r="Q984" i="7"/>
  <c r="T983" i="7"/>
  <c r="AM984" i="7" l="1"/>
  <c r="AL984" i="7"/>
  <c r="AN984" i="7"/>
  <c r="AJ984" i="7"/>
  <c r="AK984" i="7"/>
  <c r="Q985" i="7"/>
  <c r="T984" i="7"/>
  <c r="AI984" i="7"/>
  <c r="AE985" i="7"/>
  <c r="AM985" i="7" l="1"/>
  <c r="AK985" i="7"/>
  <c r="AL985" i="7"/>
  <c r="AJ985" i="7"/>
  <c r="AN985" i="7"/>
  <c r="AI985" i="7"/>
  <c r="AE986" i="7"/>
  <c r="Q986" i="7"/>
  <c r="T985" i="7"/>
  <c r="AL986" i="7" l="1"/>
  <c r="AM986" i="7"/>
  <c r="AJ986" i="7"/>
  <c r="AK986" i="7"/>
  <c r="AN986" i="7"/>
  <c r="AE987" i="7"/>
  <c r="AI986" i="7"/>
  <c r="T986" i="7"/>
  <c r="Q987" i="7"/>
  <c r="AL987" i="7" l="1"/>
  <c r="AM987" i="7"/>
  <c r="AJ987" i="7"/>
  <c r="AN987" i="7"/>
  <c r="AK987" i="7"/>
  <c r="Q988" i="7"/>
  <c r="T987" i="7"/>
  <c r="AE988" i="7"/>
  <c r="AI987" i="7"/>
  <c r="AN988" i="7" l="1"/>
  <c r="AJ988" i="7"/>
  <c r="AK988" i="7"/>
  <c r="AM988" i="7"/>
  <c r="AL988" i="7"/>
  <c r="Q989" i="7"/>
  <c r="T988" i="7"/>
  <c r="AE989" i="7"/>
  <c r="AI988" i="7"/>
  <c r="AK989" i="7" l="1"/>
  <c r="AJ989" i="7"/>
  <c r="AM989" i="7"/>
  <c r="AL989" i="7"/>
  <c r="AN989" i="7"/>
  <c r="AE990" i="7"/>
  <c r="AI989" i="7"/>
  <c r="Q990" i="7"/>
  <c r="T989" i="7"/>
  <c r="AM990" i="7" l="1"/>
  <c r="AN990" i="7"/>
  <c r="AK990" i="7"/>
  <c r="AL990" i="7"/>
  <c r="AJ990" i="7"/>
  <c r="T990" i="7"/>
  <c r="Q991" i="7"/>
  <c r="AI990" i="7"/>
  <c r="AE991" i="7"/>
  <c r="AL991" i="7" l="1"/>
  <c r="AJ991" i="7"/>
  <c r="AM991" i="7"/>
  <c r="AK991" i="7"/>
  <c r="AN991" i="7"/>
  <c r="AI991" i="7"/>
  <c r="AE992" i="7"/>
  <c r="Q992" i="7"/>
  <c r="T991" i="7"/>
  <c r="AK992" i="7" l="1"/>
  <c r="AM992" i="7"/>
  <c r="AL992" i="7"/>
  <c r="AN992" i="7"/>
  <c r="AJ992" i="7"/>
  <c r="T992" i="7"/>
  <c r="Q993" i="7"/>
  <c r="AE993" i="7"/>
  <c r="AI992" i="7"/>
  <c r="AM993" i="7" l="1"/>
  <c r="AK993" i="7"/>
  <c r="AN993" i="7"/>
  <c r="AJ993" i="7"/>
  <c r="AL993" i="7"/>
  <c r="AE994" i="7"/>
  <c r="AI993" i="7"/>
  <c r="Q994" i="7"/>
  <c r="T993" i="7"/>
  <c r="AK994" i="7" l="1"/>
  <c r="AN994" i="7"/>
  <c r="AM994" i="7"/>
  <c r="AJ994" i="7"/>
  <c r="AL994" i="7"/>
  <c r="Q995" i="7"/>
  <c r="T994" i="7"/>
  <c r="AE995" i="7"/>
  <c r="AI994" i="7"/>
  <c r="AJ995" i="7" l="1"/>
  <c r="AK995" i="7"/>
  <c r="AM995" i="7"/>
  <c r="AN995" i="7"/>
  <c r="AL995" i="7"/>
  <c r="AE996" i="7"/>
  <c r="AI995" i="7"/>
  <c r="T995" i="7"/>
  <c r="Q996" i="7"/>
  <c r="AJ996" i="7" l="1"/>
  <c r="AK996" i="7"/>
  <c r="AL996" i="7"/>
  <c r="AN996" i="7"/>
  <c r="AM996" i="7"/>
  <c r="T996" i="7"/>
  <c r="Q997" i="7"/>
  <c r="AE997" i="7"/>
  <c r="AI996" i="7"/>
  <c r="AK997" i="7" l="1"/>
  <c r="AM997" i="7"/>
  <c r="AJ997" i="7"/>
  <c r="AL997" i="7"/>
  <c r="AN997" i="7"/>
  <c r="AE998" i="7"/>
  <c r="AI997" i="7"/>
  <c r="T997" i="7"/>
  <c r="Q998" i="7"/>
  <c r="AK998" i="7" l="1"/>
  <c r="AL998" i="7"/>
  <c r="AJ998" i="7"/>
  <c r="AN998" i="7"/>
  <c r="AM998" i="7"/>
  <c r="Q999" i="7"/>
  <c r="T998" i="7"/>
  <c r="AE999" i="7"/>
  <c r="AI998" i="7"/>
  <c r="AN999" i="7" l="1"/>
  <c r="AL999" i="7"/>
  <c r="AK999" i="7"/>
  <c r="AJ999" i="7"/>
  <c r="AM999" i="7"/>
  <c r="AE1000" i="7"/>
  <c r="AI999" i="7"/>
  <c r="Q1000" i="7"/>
  <c r="T999" i="7"/>
  <c r="AK1000" i="7" l="1"/>
  <c r="AM1000" i="7"/>
  <c r="AL1000" i="7"/>
  <c r="AN1000" i="7"/>
  <c r="AJ1000" i="7"/>
  <c r="Q1001" i="7"/>
  <c r="T1000" i="7"/>
  <c r="AI1000" i="7"/>
  <c r="AE1001" i="7"/>
  <c r="AK1001" i="7" l="1"/>
  <c r="AM1001" i="7"/>
  <c r="AN1001" i="7"/>
  <c r="AL1001" i="7"/>
  <c r="AJ1001" i="7"/>
  <c r="AI1001" i="7"/>
  <c r="AE1002" i="7"/>
  <c r="Q1002" i="7"/>
  <c r="T1001" i="7"/>
  <c r="AK1002" i="7" l="1"/>
  <c r="AN1002" i="7"/>
  <c r="AM1002" i="7"/>
  <c r="AJ1002" i="7"/>
  <c r="AL1002" i="7"/>
  <c r="T1002" i="7"/>
  <c r="Q1003" i="7"/>
  <c r="AE1003" i="7"/>
  <c r="AI1002" i="7"/>
  <c r="AN1003" i="7" l="1"/>
  <c r="AL1003" i="7"/>
  <c r="AM1003" i="7"/>
  <c r="AJ1003" i="7"/>
  <c r="AK1003" i="7"/>
  <c r="AE1004" i="7"/>
  <c r="AI1003" i="7"/>
  <c r="T1003" i="7"/>
  <c r="Q1004" i="7"/>
  <c r="AK1004" i="7" l="1"/>
  <c r="AM1004" i="7"/>
  <c r="AL1004" i="7"/>
  <c r="AJ1004" i="7"/>
  <c r="AN1004" i="7"/>
  <c r="AE1005" i="7"/>
  <c r="AI1004" i="7"/>
  <c r="Q1005" i="7"/>
  <c r="T1004" i="7"/>
  <c r="AN1005" i="7" l="1"/>
  <c r="AK1005" i="7"/>
  <c r="AJ1005" i="7"/>
  <c r="AL1005" i="7"/>
  <c r="AM1005" i="7"/>
  <c r="Q1006" i="7"/>
  <c r="T1005" i="7"/>
  <c r="AE1006" i="7"/>
  <c r="AI1005" i="7"/>
  <c r="AJ1006" i="7" l="1"/>
  <c r="AM1006" i="7"/>
  <c r="AK1006" i="7"/>
  <c r="AL1006" i="7"/>
  <c r="AN1006" i="7"/>
  <c r="AE1007" i="7"/>
  <c r="AI1006" i="7"/>
  <c r="T1006" i="7"/>
  <c r="Q1007" i="7"/>
  <c r="AN1007" i="7" l="1"/>
  <c r="AK1007" i="7"/>
  <c r="AL1007" i="7"/>
  <c r="AM1007" i="7"/>
  <c r="AJ1007" i="7"/>
  <c r="Q1008" i="7"/>
  <c r="T1007" i="7"/>
  <c r="AE1008" i="7"/>
  <c r="AI1007" i="7"/>
  <c r="AN1008" i="7" l="1"/>
  <c r="AJ1008" i="7"/>
  <c r="AK1008" i="7"/>
  <c r="AM1008" i="7"/>
  <c r="AL1008" i="7"/>
  <c r="T1008" i="7"/>
  <c r="Q1009" i="7"/>
  <c r="AE1009" i="7"/>
  <c r="AI1008" i="7"/>
  <c r="AK1009" i="7" l="1"/>
  <c r="AL1009" i="7"/>
  <c r="AM1009" i="7"/>
  <c r="AN1009" i="7"/>
  <c r="AJ1009" i="7"/>
  <c r="AE1010" i="7"/>
  <c r="AI1009" i="7"/>
  <c r="Q1010" i="7"/>
  <c r="T1009" i="7"/>
  <c r="AL1010" i="7" l="1"/>
  <c r="AJ1010" i="7"/>
  <c r="AM1010" i="7"/>
  <c r="AN1010" i="7"/>
  <c r="AK1010" i="7"/>
  <c r="Q1011" i="7"/>
  <c r="T1010" i="7"/>
  <c r="AE1011" i="7"/>
  <c r="AI1010" i="7"/>
  <c r="AM1011" i="7" l="1"/>
  <c r="AK1011" i="7"/>
  <c r="AL1011" i="7"/>
  <c r="AJ1011" i="7"/>
  <c r="AN1011" i="7"/>
  <c r="AE1012" i="7"/>
  <c r="AI1011" i="7"/>
  <c r="T1011" i="7"/>
  <c r="Q1012" i="7"/>
  <c r="AK1012" i="7" l="1"/>
  <c r="AL1012" i="7"/>
  <c r="AN1012" i="7"/>
  <c r="AJ1012" i="7"/>
  <c r="AM1012" i="7"/>
  <c r="T1012" i="7"/>
  <c r="Q1013" i="7"/>
  <c r="AI1012" i="7"/>
  <c r="AE1013" i="7"/>
  <c r="AL1013" i="7" l="1"/>
  <c r="AK1013" i="7"/>
  <c r="AM1013" i="7"/>
  <c r="AJ1013" i="7"/>
  <c r="AN1013" i="7"/>
  <c r="Q1014" i="7"/>
  <c r="T1013" i="7"/>
  <c r="AE1014" i="7"/>
  <c r="AI1013" i="7"/>
  <c r="AJ1014" i="7" l="1"/>
  <c r="AL1014" i="7"/>
  <c r="AN1014" i="7"/>
  <c r="AK1014" i="7"/>
  <c r="AM1014" i="7"/>
  <c r="Q1015" i="7"/>
  <c r="T1014" i="7"/>
  <c r="AE1015" i="7"/>
  <c r="AI1014" i="7"/>
  <c r="AL1015" i="7" l="1"/>
  <c r="AJ1015" i="7"/>
  <c r="AN1015" i="7"/>
  <c r="AM1015" i="7"/>
  <c r="AK1015" i="7"/>
  <c r="Q1016" i="7"/>
  <c r="T1015" i="7"/>
  <c r="AI1015" i="7"/>
  <c r="AE1016" i="7"/>
  <c r="AK1016" i="7" l="1"/>
  <c r="AJ1016" i="7"/>
  <c r="AM1016" i="7"/>
  <c r="AL1016" i="7"/>
  <c r="AN1016" i="7"/>
  <c r="Q1017" i="7"/>
  <c r="T1016" i="7"/>
  <c r="AI1016" i="7"/>
  <c r="AE1017" i="7"/>
  <c r="AJ1017" i="7" l="1"/>
  <c r="AL1017" i="7"/>
  <c r="AN1017" i="7"/>
  <c r="AM1017" i="7"/>
  <c r="AK1017" i="7"/>
  <c r="AE1018" i="7"/>
  <c r="AI1017" i="7"/>
  <c r="Q1018" i="7"/>
  <c r="T1017" i="7"/>
  <c r="AJ1018" i="7" l="1"/>
  <c r="AM1018" i="7"/>
  <c r="AK1018" i="7"/>
  <c r="AN1018" i="7"/>
  <c r="AL1018" i="7"/>
  <c r="T1018" i="7"/>
  <c r="Q1019" i="7"/>
  <c r="AE1019" i="7"/>
  <c r="AI1018" i="7"/>
  <c r="AK1019" i="7" l="1"/>
  <c r="AJ1019" i="7"/>
  <c r="AM1019" i="7"/>
  <c r="AN1019" i="7"/>
  <c r="AL1019" i="7"/>
  <c r="AE1020" i="7"/>
  <c r="AI1019" i="7"/>
  <c r="Q1020" i="7"/>
  <c r="T1019" i="7"/>
  <c r="AK1020" i="7" l="1"/>
  <c r="AN1020" i="7"/>
  <c r="AJ1020" i="7"/>
  <c r="AL1020" i="7"/>
  <c r="AM1020" i="7"/>
  <c r="Q1021" i="7"/>
  <c r="T1020" i="7"/>
  <c r="AE1021" i="7"/>
  <c r="AI1020" i="7"/>
  <c r="AM1021" i="7" l="1"/>
  <c r="AK1021" i="7"/>
  <c r="AJ1021" i="7"/>
  <c r="AL1021" i="7"/>
  <c r="AN1021" i="7"/>
  <c r="AE1022" i="7"/>
  <c r="AI1021" i="7"/>
  <c r="Q1022" i="7"/>
  <c r="T1021" i="7"/>
  <c r="AL1022" i="7" l="1"/>
  <c r="AM1022" i="7"/>
  <c r="AK1022" i="7"/>
  <c r="AJ1022" i="7"/>
  <c r="AN1022" i="7"/>
  <c r="AI1022" i="7"/>
  <c r="AE1023" i="7"/>
  <c r="Q1023" i="7"/>
  <c r="T1022" i="7"/>
  <c r="AK1023" i="7" l="1"/>
  <c r="AM1023" i="7"/>
  <c r="AN1023" i="7"/>
  <c r="AJ1023" i="7"/>
  <c r="AL1023" i="7"/>
  <c r="Q1024" i="7"/>
  <c r="T1023" i="7"/>
  <c r="AE1024" i="7"/>
  <c r="AI1023" i="7"/>
  <c r="AJ1024" i="7" l="1"/>
  <c r="AN1024" i="7"/>
  <c r="AM1024" i="7"/>
  <c r="AL1024" i="7"/>
  <c r="AK1024" i="7"/>
  <c r="AE1025" i="7"/>
  <c r="AI1024" i="7"/>
  <c r="T1024" i="7"/>
  <c r="Q1025" i="7"/>
  <c r="AL1025" i="7" l="1"/>
  <c r="AM1025" i="7"/>
  <c r="AJ1025" i="7"/>
  <c r="AN1025" i="7"/>
  <c r="AK1025" i="7"/>
  <c r="Q1026" i="7"/>
  <c r="T1025" i="7"/>
  <c r="AE1026" i="7"/>
  <c r="AI1025" i="7"/>
  <c r="AK1026" i="7" l="1"/>
  <c r="AJ1026" i="7"/>
  <c r="AN1026" i="7"/>
  <c r="AL1026" i="7"/>
  <c r="AM1026" i="7"/>
  <c r="AE1027" i="7"/>
  <c r="AI1026" i="7"/>
  <c r="Q1027" i="7"/>
  <c r="T1026" i="7"/>
  <c r="AJ1027" i="7" l="1"/>
  <c r="AL1027" i="7"/>
  <c r="AM1027" i="7"/>
  <c r="AN1027" i="7"/>
  <c r="AK1027" i="7"/>
  <c r="T1027" i="7"/>
  <c r="Q1028" i="7"/>
  <c r="AE1028" i="7"/>
  <c r="AI1027" i="7"/>
  <c r="AL1028" i="7" l="1"/>
  <c r="AM1028" i="7"/>
  <c r="AN1028" i="7"/>
  <c r="AJ1028" i="7"/>
  <c r="AK1028" i="7"/>
  <c r="AI1028" i="7"/>
  <c r="AE1029" i="7"/>
  <c r="T1028" i="7"/>
  <c r="Q1029" i="7"/>
  <c r="AN1029" i="7" l="1"/>
  <c r="AJ1029" i="7"/>
  <c r="AM1029" i="7"/>
  <c r="AK1029" i="7"/>
  <c r="AL1029" i="7"/>
  <c r="Q1030" i="7"/>
  <c r="T1029" i="7"/>
  <c r="AE1030" i="7"/>
  <c r="AI1029" i="7"/>
  <c r="AN1030" i="7" l="1"/>
  <c r="AM1030" i="7"/>
  <c r="AJ1030" i="7"/>
  <c r="AL1030" i="7"/>
  <c r="AK1030" i="7"/>
  <c r="AE1031" i="7"/>
  <c r="AI1030" i="7"/>
  <c r="Q1031" i="7"/>
  <c r="T1030" i="7"/>
  <c r="AJ1031" i="7" l="1"/>
  <c r="AL1031" i="7"/>
  <c r="AN1031" i="7"/>
  <c r="AM1031" i="7"/>
  <c r="AK1031" i="7"/>
  <c r="Q1032" i="7"/>
  <c r="T1031" i="7"/>
  <c r="AI1031" i="7"/>
  <c r="AE1032" i="7"/>
  <c r="AN1032" i="7" l="1"/>
  <c r="AJ1032" i="7"/>
  <c r="AL1032" i="7"/>
  <c r="AK1032" i="7"/>
  <c r="AM1032" i="7"/>
  <c r="AE1033" i="7"/>
  <c r="AI1032" i="7"/>
  <c r="Q1033" i="7"/>
  <c r="T1032" i="7"/>
  <c r="AM1033" i="7" l="1"/>
  <c r="AK1033" i="7"/>
  <c r="AN1033" i="7"/>
  <c r="AJ1033" i="7"/>
  <c r="AL1033" i="7"/>
  <c r="T1033" i="7"/>
  <c r="Q1034" i="7"/>
  <c r="AE1034" i="7"/>
  <c r="AI1033" i="7"/>
  <c r="AN1034" i="7" l="1"/>
  <c r="AJ1034" i="7"/>
  <c r="AM1034" i="7"/>
  <c r="AL1034" i="7"/>
  <c r="AK1034" i="7"/>
  <c r="AE1035" i="7"/>
  <c r="AI1034" i="7"/>
  <c r="Q1035" i="7"/>
  <c r="T1034" i="7"/>
  <c r="AJ1035" i="7" l="1"/>
  <c r="AN1035" i="7"/>
  <c r="AM1035" i="7"/>
  <c r="AK1035" i="7"/>
  <c r="AL1035" i="7"/>
  <c r="Q1036" i="7"/>
  <c r="T1035" i="7"/>
  <c r="AE1036" i="7"/>
  <c r="AI1035" i="7"/>
  <c r="AL1036" i="7" l="1"/>
  <c r="AJ1036" i="7"/>
  <c r="AK1036" i="7"/>
  <c r="AM1036" i="7"/>
  <c r="AN1036" i="7"/>
  <c r="AE1037" i="7"/>
  <c r="AI1036" i="7"/>
  <c r="T1036" i="7"/>
  <c r="Q1037" i="7"/>
  <c r="AM1037" i="7" l="1"/>
  <c r="AK1037" i="7"/>
  <c r="AL1037" i="7"/>
  <c r="AJ1037" i="7"/>
  <c r="AN1037" i="7"/>
  <c r="T1037" i="7"/>
  <c r="Q1038" i="7"/>
  <c r="AI1037" i="7"/>
  <c r="AE1038" i="7"/>
  <c r="AM1038" i="7" l="1"/>
  <c r="AL1038" i="7"/>
  <c r="AN1038" i="7"/>
  <c r="AK1038" i="7"/>
  <c r="AJ1038" i="7"/>
  <c r="AI1038" i="7"/>
  <c r="AE1039" i="7"/>
  <c r="T1038" i="7"/>
  <c r="Q1039" i="7"/>
  <c r="AJ1039" i="7" l="1"/>
  <c r="AL1039" i="7"/>
  <c r="AN1039" i="7"/>
  <c r="AK1039" i="7"/>
  <c r="AM1039" i="7"/>
  <c r="Q1040" i="7"/>
  <c r="T1039" i="7"/>
  <c r="AE1040" i="7"/>
  <c r="AI1039" i="7"/>
  <c r="AL1040" i="7" l="1"/>
  <c r="AN1040" i="7"/>
  <c r="AK1040" i="7"/>
  <c r="AJ1040" i="7"/>
  <c r="AM1040" i="7"/>
  <c r="AE1041" i="7"/>
  <c r="AI1040" i="7"/>
  <c r="Q1041" i="7"/>
  <c r="T1040" i="7"/>
  <c r="AN1041" i="7" l="1"/>
  <c r="AM1041" i="7"/>
  <c r="AK1041" i="7"/>
  <c r="AL1041" i="7"/>
  <c r="AJ1041" i="7"/>
  <c r="T1041" i="7"/>
  <c r="Q1042" i="7"/>
  <c r="AI1041" i="7"/>
  <c r="AE1042" i="7"/>
  <c r="AL1042" i="7" l="1"/>
  <c r="AN1042" i="7"/>
  <c r="AJ1042" i="7"/>
  <c r="AM1042" i="7"/>
  <c r="AK1042" i="7"/>
  <c r="AE1043" i="7"/>
  <c r="AI1042" i="7"/>
  <c r="Q1043" i="7"/>
  <c r="T1042" i="7"/>
  <c r="AK1043" i="7" l="1"/>
  <c r="AN1043" i="7"/>
  <c r="AL1043" i="7"/>
  <c r="AJ1043" i="7"/>
  <c r="AM1043" i="7"/>
  <c r="Q1044" i="7"/>
  <c r="T1043" i="7"/>
  <c r="AE1044" i="7"/>
  <c r="AI1043" i="7"/>
  <c r="AK1044" i="7" l="1"/>
  <c r="AN1044" i="7"/>
  <c r="AM1044" i="7"/>
  <c r="AL1044" i="7"/>
  <c r="AJ1044" i="7"/>
  <c r="AE1045" i="7"/>
  <c r="AI1044" i="7"/>
  <c r="T1044" i="7"/>
  <c r="Q1045" i="7"/>
  <c r="AM1045" i="7" l="1"/>
  <c r="AL1045" i="7"/>
  <c r="AK1045" i="7"/>
  <c r="AJ1045" i="7"/>
  <c r="AN1045" i="7"/>
  <c r="Q1046" i="7"/>
  <c r="T1045" i="7"/>
  <c r="AI1045" i="7"/>
  <c r="AE1046" i="7"/>
  <c r="AK1046" i="7" l="1"/>
  <c r="AL1046" i="7"/>
  <c r="AJ1046" i="7"/>
  <c r="AN1046" i="7"/>
  <c r="AM1046" i="7"/>
  <c r="AE1047" i="7"/>
  <c r="AI1046" i="7"/>
  <c r="T1046" i="7"/>
  <c r="Q1047" i="7"/>
  <c r="AL1047" i="7" l="1"/>
  <c r="AJ1047" i="7"/>
  <c r="AN1047" i="7"/>
  <c r="AK1047" i="7"/>
  <c r="AM1047" i="7"/>
  <c r="T1047" i="7"/>
  <c r="Q1048" i="7"/>
  <c r="AE1048" i="7"/>
  <c r="AI1047" i="7"/>
  <c r="AJ1048" i="7" l="1"/>
  <c r="AL1048" i="7"/>
  <c r="AK1048" i="7"/>
  <c r="AN1048" i="7"/>
  <c r="AM1048" i="7"/>
  <c r="AI1048" i="7"/>
  <c r="AE1049" i="7"/>
  <c r="Q1049" i="7"/>
  <c r="T1048" i="7"/>
  <c r="AN1049" i="7" l="1"/>
  <c r="AJ1049" i="7"/>
  <c r="AM1049" i="7"/>
  <c r="AK1049" i="7"/>
  <c r="AL1049" i="7"/>
  <c r="Q1050" i="7"/>
  <c r="T1049" i="7"/>
  <c r="AE1050" i="7"/>
  <c r="AI1049" i="7"/>
  <c r="AL1050" i="7" l="1"/>
  <c r="AM1050" i="7"/>
  <c r="AK1050" i="7"/>
  <c r="AN1050" i="7"/>
  <c r="AJ1050" i="7"/>
  <c r="AE1051" i="7"/>
  <c r="AI1050" i="7"/>
  <c r="Q1051" i="7"/>
  <c r="T1050" i="7"/>
  <c r="AJ1051" i="7" l="1"/>
  <c r="AK1051" i="7"/>
  <c r="AN1051" i="7"/>
  <c r="AL1051" i="7"/>
  <c r="AM1051" i="7"/>
  <c r="Q1052" i="7"/>
  <c r="T1051" i="7"/>
  <c r="AE1052" i="7"/>
  <c r="AI1051" i="7"/>
  <c r="AJ1052" i="7" l="1"/>
  <c r="AK1052" i="7"/>
  <c r="AN1052" i="7"/>
  <c r="AL1052" i="7"/>
  <c r="AM1052" i="7"/>
  <c r="AE1053" i="7"/>
  <c r="AI1052" i="7"/>
  <c r="Q1053" i="7"/>
  <c r="T1052" i="7"/>
  <c r="AL1053" i="7" l="1"/>
  <c r="AN1053" i="7"/>
  <c r="AM1053" i="7"/>
  <c r="AK1053" i="7"/>
  <c r="AJ1053" i="7"/>
  <c r="T1053" i="7"/>
  <c r="Q1054" i="7"/>
  <c r="AI1053" i="7"/>
  <c r="AE1054" i="7"/>
  <c r="AK1054" i="7" l="1"/>
  <c r="AJ1054" i="7"/>
  <c r="AL1054" i="7"/>
  <c r="AM1054" i="7"/>
  <c r="AN1054" i="7"/>
  <c r="AI1054" i="7"/>
  <c r="AE1055" i="7"/>
  <c r="T1054" i="7"/>
  <c r="Q1055" i="7"/>
  <c r="AN1055" i="7" l="1"/>
  <c r="AL1055" i="7"/>
  <c r="AM1055" i="7"/>
  <c r="AK1055" i="7"/>
  <c r="AJ1055" i="7"/>
  <c r="T1055" i="7"/>
  <c r="Q1056" i="7"/>
  <c r="AE1056" i="7"/>
  <c r="AI1055" i="7"/>
  <c r="AK1056" i="7" l="1"/>
  <c r="AJ1056" i="7"/>
  <c r="AN1056" i="7"/>
  <c r="AL1056" i="7"/>
  <c r="AM1056" i="7"/>
  <c r="AE1057" i="7"/>
  <c r="AI1056" i="7"/>
  <c r="Q1057" i="7"/>
  <c r="T1056" i="7"/>
  <c r="AK1057" i="7" l="1"/>
  <c r="AN1057" i="7"/>
  <c r="AJ1057" i="7"/>
  <c r="AM1057" i="7"/>
  <c r="AL1057" i="7"/>
  <c r="AI1057" i="7"/>
  <c r="AE1058" i="7"/>
  <c r="T1057" i="7"/>
  <c r="Q1058" i="7"/>
  <c r="AN1058" i="7" l="1"/>
  <c r="AK1058" i="7"/>
  <c r="AM1058" i="7"/>
  <c r="AJ1058" i="7"/>
  <c r="AL1058" i="7"/>
  <c r="Q1059" i="7"/>
  <c r="T1058" i="7"/>
  <c r="AI1058" i="7"/>
  <c r="AE1059" i="7"/>
  <c r="AK1059" i="7" l="1"/>
  <c r="AL1059" i="7"/>
  <c r="AM1059" i="7"/>
  <c r="AN1059" i="7"/>
  <c r="AJ1059" i="7"/>
  <c r="AI1059" i="7"/>
  <c r="AE1060" i="7"/>
  <c r="Q1060" i="7"/>
  <c r="T1059" i="7"/>
  <c r="AL1060" i="7" l="1"/>
  <c r="AJ1060" i="7"/>
  <c r="AK1060" i="7"/>
  <c r="AN1060" i="7"/>
  <c r="AM1060" i="7"/>
  <c r="Q1061" i="7"/>
  <c r="T1060" i="7"/>
  <c r="AE1061" i="7"/>
  <c r="AI1060" i="7"/>
  <c r="AL1061" i="7" l="1"/>
  <c r="AJ1061" i="7"/>
  <c r="AN1061" i="7"/>
  <c r="AK1061" i="7"/>
  <c r="AM1061" i="7"/>
  <c r="AI1061" i="7"/>
  <c r="AE1062" i="7"/>
  <c r="Q1062" i="7"/>
  <c r="T1061" i="7"/>
  <c r="AK1062" i="7" l="1"/>
  <c r="AN1062" i="7"/>
  <c r="AM1062" i="7"/>
  <c r="AJ1062" i="7"/>
  <c r="AL1062" i="7"/>
  <c r="T1062" i="7"/>
  <c r="Q1063" i="7"/>
  <c r="AE1063" i="7"/>
  <c r="AI1062" i="7"/>
  <c r="AJ1063" i="7" l="1"/>
  <c r="AK1063" i="7"/>
  <c r="AM1063" i="7"/>
  <c r="AN1063" i="7"/>
  <c r="AL1063" i="7"/>
  <c r="AE1064" i="7"/>
  <c r="AI1063" i="7"/>
  <c r="T1063" i="7"/>
  <c r="Q1064" i="7"/>
  <c r="AJ1064" i="7" l="1"/>
  <c r="AN1064" i="7"/>
  <c r="AK1064" i="7"/>
  <c r="AL1064" i="7"/>
  <c r="AM1064" i="7"/>
  <c r="Q1065" i="7"/>
  <c r="T1064" i="7"/>
  <c r="AI1064" i="7"/>
  <c r="AE1065" i="7"/>
  <c r="AL1065" i="7" l="1"/>
  <c r="AM1065" i="7"/>
  <c r="AN1065" i="7"/>
  <c r="AJ1065" i="7"/>
  <c r="AK1065" i="7"/>
  <c r="AE1066" i="7"/>
  <c r="AI1065" i="7"/>
  <c r="T1065" i="7"/>
  <c r="Q1066" i="7"/>
  <c r="AM1066" i="7" l="1"/>
  <c r="AJ1066" i="7"/>
  <c r="AL1066" i="7"/>
  <c r="AK1066" i="7"/>
  <c r="AN1066" i="7"/>
  <c r="T1066" i="7"/>
  <c r="Q1067" i="7"/>
  <c r="AE1067" i="7"/>
  <c r="AI1066" i="7"/>
  <c r="AL1067" i="7" l="1"/>
  <c r="AN1067" i="7"/>
  <c r="AM1067" i="7"/>
  <c r="AJ1067" i="7"/>
  <c r="AK1067" i="7"/>
  <c r="AE1068" i="7"/>
  <c r="AI1067" i="7"/>
  <c r="Q1068" i="7"/>
  <c r="T1067" i="7"/>
  <c r="AJ1068" i="7" l="1"/>
  <c r="AK1068" i="7"/>
  <c r="AM1068" i="7"/>
  <c r="AN1068" i="7"/>
  <c r="AL1068" i="7"/>
  <c r="Q1069" i="7"/>
  <c r="T1068" i="7"/>
  <c r="AE1069" i="7"/>
  <c r="AI1068" i="7"/>
  <c r="AJ1069" i="7" l="1"/>
  <c r="AM1069" i="7"/>
  <c r="AK1069" i="7"/>
  <c r="AL1069" i="7"/>
  <c r="AN1069" i="7"/>
  <c r="AI1069" i="7"/>
  <c r="AE1070" i="7"/>
  <c r="T1069" i="7"/>
  <c r="Q1070" i="7"/>
  <c r="AM1070" i="7" l="1"/>
  <c r="AK1070" i="7"/>
  <c r="AL1070" i="7"/>
  <c r="AN1070" i="7"/>
  <c r="AJ1070" i="7"/>
  <c r="T1070" i="7"/>
  <c r="Q1071" i="7"/>
  <c r="AE1071" i="7"/>
  <c r="AI1070" i="7"/>
  <c r="AL1071" i="7" l="1"/>
  <c r="AJ1071" i="7"/>
  <c r="AN1071" i="7"/>
  <c r="AM1071" i="7"/>
  <c r="AK1071" i="7"/>
  <c r="AE1072" i="7"/>
  <c r="AI1071" i="7"/>
  <c r="Q1072" i="7"/>
  <c r="T1071" i="7"/>
  <c r="AL1072" i="7" l="1"/>
  <c r="AK1072" i="7"/>
  <c r="AJ1072" i="7"/>
  <c r="AM1072" i="7"/>
  <c r="AN1072" i="7"/>
  <c r="Q1073" i="7"/>
  <c r="T1072" i="7"/>
  <c r="AE1073" i="7"/>
  <c r="AI1072" i="7"/>
  <c r="AL1073" i="7" l="1"/>
  <c r="AM1073" i="7"/>
  <c r="AJ1073" i="7"/>
  <c r="AN1073" i="7"/>
  <c r="AK1073" i="7"/>
  <c r="AI1073" i="7"/>
  <c r="AE1074" i="7"/>
  <c r="Q1074" i="7"/>
  <c r="T1073" i="7"/>
  <c r="AN1074" i="7" l="1"/>
  <c r="AM1074" i="7"/>
  <c r="AJ1074" i="7"/>
  <c r="AL1074" i="7"/>
  <c r="AK1074" i="7"/>
  <c r="AE1075" i="7"/>
  <c r="AI1074" i="7"/>
  <c r="Q1075" i="7"/>
  <c r="T1074" i="7"/>
  <c r="AJ1075" i="7" l="1"/>
  <c r="AM1075" i="7"/>
  <c r="AK1075" i="7"/>
  <c r="AL1075" i="7"/>
  <c r="AN1075" i="7"/>
  <c r="Q1076" i="7"/>
  <c r="T1075" i="7"/>
  <c r="AE1076" i="7"/>
  <c r="AI1075" i="7"/>
  <c r="AL1076" i="7" l="1"/>
  <c r="AK1076" i="7"/>
  <c r="AJ1076" i="7"/>
  <c r="AM1076" i="7"/>
  <c r="AN1076" i="7"/>
  <c r="AE1077" i="7"/>
  <c r="AI1076" i="7"/>
  <c r="Q1077" i="7"/>
  <c r="T1076" i="7"/>
  <c r="AJ1077" i="7" l="1"/>
  <c r="AL1077" i="7"/>
  <c r="AK1077" i="7"/>
  <c r="AM1077" i="7"/>
  <c r="AN1077" i="7"/>
  <c r="Q1078" i="7"/>
  <c r="T1077" i="7"/>
  <c r="AE1078" i="7"/>
  <c r="AI1077" i="7"/>
  <c r="AM1078" i="7" l="1"/>
  <c r="AJ1078" i="7"/>
  <c r="AL1078" i="7"/>
  <c r="AN1078" i="7"/>
  <c r="AK1078" i="7"/>
  <c r="AE1079" i="7"/>
  <c r="AI1078" i="7"/>
  <c r="T1078" i="7"/>
  <c r="Q1079" i="7"/>
  <c r="AJ1079" i="7" l="1"/>
  <c r="AL1079" i="7"/>
  <c r="AM1079" i="7"/>
  <c r="AN1079" i="7"/>
  <c r="AK1079" i="7"/>
  <c r="Q1080" i="7"/>
  <c r="T1079" i="7"/>
  <c r="AE1080" i="7"/>
  <c r="AI1079" i="7"/>
  <c r="AJ1080" i="7" l="1"/>
  <c r="AL1080" i="7"/>
  <c r="AK1080" i="7"/>
  <c r="AN1080" i="7"/>
  <c r="AM1080" i="7"/>
  <c r="AI1080" i="7"/>
  <c r="AE1081" i="7"/>
  <c r="Q1081" i="7"/>
  <c r="T1080" i="7"/>
  <c r="AJ1081" i="7" l="1"/>
  <c r="AL1081" i="7"/>
  <c r="AK1081" i="7"/>
  <c r="AM1081" i="7"/>
  <c r="AN1081" i="7"/>
  <c r="Q1082" i="7"/>
  <c r="T1081" i="7"/>
  <c r="AE1082" i="7"/>
  <c r="AI1081" i="7"/>
  <c r="AK1082" i="7" l="1"/>
  <c r="AM1082" i="7"/>
  <c r="AJ1082" i="7"/>
  <c r="AN1082" i="7"/>
  <c r="AL1082" i="7"/>
  <c r="AE1083" i="7"/>
  <c r="AI1082" i="7"/>
  <c r="T1082" i="7"/>
  <c r="Q1083" i="7"/>
  <c r="AK1083" i="7" l="1"/>
  <c r="AJ1083" i="7"/>
  <c r="AL1083" i="7"/>
  <c r="AN1083" i="7"/>
  <c r="AM1083" i="7"/>
  <c r="Q1084" i="7"/>
  <c r="T1083" i="7"/>
  <c r="AE1084" i="7"/>
  <c r="AI1083" i="7"/>
  <c r="AL1084" i="7" l="1"/>
  <c r="AM1084" i="7"/>
  <c r="AN1084" i="7"/>
  <c r="AJ1084" i="7"/>
  <c r="AK1084" i="7"/>
  <c r="AE1085" i="7"/>
  <c r="AI1084" i="7"/>
  <c r="Q1085" i="7"/>
  <c r="T1084" i="7"/>
  <c r="AJ1085" i="7" l="1"/>
  <c r="AN1085" i="7"/>
  <c r="AL1085" i="7"/>
  <c r="AM1085" i="7"/>
  <c r="AK1085" i="7"/>
  <c r="T1085" i="7"/>
  <c r="Q1086" i="7"/>
  <c r="AE1086" i="7"/>
  <c r="AI1085" i="7"/>
  <c r="AI1086" i="7" l="1"/>
  <c r="AE1087" i="7"/>
  <c r="T1086" i="7"/>
  <c r="Q1087" i="7"/>
  <c r="AM1086" i="7"/>
  <c r="AN1086" i="7"/>
  <c r="AK1086" i="7"/>
  <c r="AL1086" i="7"/>
  <c r="AJ1086" i="7"/>
  <c r="AN1087" i="7" l="1"/>
  <c r="AK1087" i="7"/>
  <c r="AJ1087" i="7"/>
  <c r="AM1087" i="7"/>
  <c r="AL1087" i="7"/>
  <c r="T1087" i="7"/>
  <c r="Q1088" i="7"/>
  <c r="T1088" i="7" s="1"/>
  <c r="AI1087" i="7"/>
  <c r="AE1088" i="7"/>
  <c r="AI1088" i="7" s="1"/>
  <c r="AL1088" i="7" l="1"/>
  <c r="AN1088" i="7"/>
  <c r="AM1088" i="7"/>
  <c r="AJ1088" i="7"/>
  <c r="AK1088" i="7"/>
</calcChain>
</file>

<file path=xl/sharedStrings.xml><?xml version="1.0" encoding="utf-8"?>
<sst xmlns="http://schemas.openxmlformats.org/spreadsheetml/2006/main" count="2034" uniqueCount="41">
  <si>
    <t>Merval</t>
  </si>
  <si>
    <t>Indice</t>
  </si>
  <si>
    <t>MERVAL Index</t>
  </si>
  <si>
    <t>Dates</t>
  </si>
  <si>
    <t>End Date</t>
  </si>
  <si>
    <t>Start Date</t>
  </si>
  <si>
    <t>Fecha</t>
  </si>
  <si>
    <t>Mkt Cap</t>
  </si>
  <si>
    <t>Indice EW</t>
  </si>
  <si>
    <t>Retornos</t>
  </si>
  <si>
    <t>Ret EW</t>
  </si>
  <si>
    <t>Indice MktCap W</t>
  </si>
  <si>
    <t>Ret MktCap W</t>
  </si>
  <si>
    <t>Ratio</t>
  </si>
  <si>
    <t>Q10</t>
  </si>
  <si>
    <t>Q25</t>
  </si>
  <si>
    <t>Q50</t>
  </si>
  <si>
    <t>Q75</t>
  </si>
  <si>
    <t>Q90</t>
  </si>
  <si>
    <t>YPFD AR Equity</t>
  </si>
  <si>
    <t>PAMP AR Equity</t>
  </si>
  <si>
    <t>COME AR Equity</t>
  </si>
  <si>
    <t>Ratio y percentiles</t>
  </si>
  <si>
    <t>CURRENT_EV_TO_T12M_EBITDA</t>
  </si>
  <si>
    <t>RETURN_ON_INV_CAPITAL</t>
  </si>
  <si>
    <t>ROC_WACC_RATIO</t>
  </si>
  <si>
    <t>TOT_DEBT_TO_TOT_CAP</t>
  </si>
  <si>
    <t>NET_DEBT_TO_EBITDA</t>
  </si>
  <si>
    <t>TOTAL_PAYOUT_RATIO</t>
  </si>
  <si>
    <t>EBITDA_MARGIN</t>
  </si>
  <si>
    <t>TRAIL_12M_OPER_MARGIN</t>
  </si>
  <si>
    <t>PX_LAST</t>
  </si>
  <si>
    <t>CUR_MKT_CAP</t>
  </si>
  <si>
    <t>#N/A N/A</t>
  </si>
  <si>
    <t>EV/EBITDA Sectorial</t>
  </si>
  <si>
    <t>Z Score</t>
  </si>
  <si>
    <t>TGSU2 AR Equity</t>
  </si>
  <si>
    <t>ALUA AR Equity</t>
  </si>
  <si>
    <t>TXAR AR Equity</t>
  </si>
  <si>
    <t>LOMA AR Equity</t>
  </si>
  <si>
    <t>Materiales / Merval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</si>
</sst>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43" formatCode="_-* #,##0.00_-;\-* #,##0.00_-;_-* &quot;-&quot;??_-;_-@_-"/>
    <numFmt numFmtId="164" formatCode="_-* #,##0_-;\-* #,##0_-;_-* &quot;-&quot;??_-;_-@_-"/>
    <numFmt numFmtId="165" formatCode="0.0%"/>
    <numFmt numFmtId="166" formatCode="_-* #,##0.0000_-;\-* #,##0.0000_-;_-* &quot;-&quot;??_-;_-@_-"/>
    <numFmt numFmtId="171" formatCode="d/m/yyyy"/>
  </numFmts>
  <fonts count="6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9"/>
      <name val="Calibri"/>
      <family val="2"/>
    </font>
    <font>
      <b/>
      <sz val="9"/>
      <name val="Calibri"/>
      <family val="2"/>
    </font>
    <font>
      <sz val="6"/>
      <name val="Calibri"/>
      <family val="2"/>
    </font>
  </fonts>
  <fills count="5">
    <fill>
      <patternFill patternType="none"/>
    </fill>
    <fill>
      <patternFill patternType="gray125"/>
    </fill>
    <fill>
      <patternFill patternType="solid">
        <fgColor rgb="FFB8C2AD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0"/>
        <bgColor indexed="64"/>
      </patternFill>
    </fill>
  </fills>
  <borders count="9">
    <border>
      <left/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/>
      <top style="thin">
        <color indexed="64"/>
      </top>
      <bottom/>
      <diagonal/>
    </border>
  </borders>
  <cellStyleXfs count="7">
    <xf numFmtId="0" fontId="0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3" fillId="0" borderId="0"/>
    <xf numFmtId="0" fontId="3" fillId="0" borderId="0"/>
    <xf numFmtId="0" fontId="4" fillId="2" borderId="0">
      <alignment horizontal="center"/>
    </xf>
    <xf numFmtId="0" fontId="5" fillId="0" borderId="0">
      <alignment vertical="top" wrapText="1"/>
    </xf>
  </cellStyleXfs>
  <cellXfs count="42">
    <xf numFmtId="0" fontId="0" fillId="0" borderId="0" xfId="0"/>
    <xf numFmtId="14" fontId="0" fillId="0" borderId="0" xfId="0" applyNumberFormat="1"/>
    <xf numFmtId="164" fontId="0" fillId="0" borderId="0" xfId="1" applyNumberFormat="1" applyFont="1"/>
    <xf numFmtId="0" fontId="2" fillId="0" borderId="0" xfId="0" applyFont="1"/>
    <xf numFmtId="0" fontId="0" fillId="0" borderId="0" xfId="0" applyAlignment="1">
      <alignment horizontal="center"/>
    </xf>
    <xf numFmtId="0" fontId="0" fillId="0" borderId="6" xfId="0" applyBorder="1"/>
    <xf numFmtId="0" fontId="0" fillId="0" borderId="1" xfId="0" applyBorder="1"/>
    <xf numFmtId="0" fontId="2" fillId="0" borderId="6" xfId="0" applyFont="1" applyBorder="1"/>
    <xf numFmtId="0" fontId="2" fillId="0" borderId="1" xfId="0" applyFont="1" applyBorder="1"/>
    <xf numFmtId="14" fontId="0" fillId="0" borderId="6" xfId="0" applyNumberFormat="1" applyBorder="1"/>
    <xf numFmtId="164" fontId="0" fillId="0" borderId="0" xfId="1" applyNumberFormat="1" applyFont="1" applyBorder="1"/>
    <xf numFmtId="0" fontId="0" fillId="0" borderId="7" xfId="0" applyBorder="1"/>
    <xf numFmtId="0" fontId="2" fillId="3" borderId="7" xfId="0" applyFont="1" applyFill="1" applyBorder="1" applyAlignment="1">
      <alignment horizontal="center" vertical="center"/>
    </xf>
    <xf numFmtId="165" fontId="0" fillId="0" borderId="7" xfId="2" applyNumberFormat="1" applyFont="1" applyBorder="1"/>
    <xf numFmtId="9" fontId="0" fillId="0" borderId="6" xfId="2" applyFont="1" applyBorder="1"/>
    <xf numFmtId="9" fontId="0" fillId="0" borderId="0" xfId="2" applyFont="1" applyBorder="1"/>
    <xf numFmtId="165" fontId="0" fillId="0" borderId="1" xfId="2" applyNumberFormat="1" applyFont="1" applyBorder="1"/>
    <xf numFmtId="0" fontId="0" fillId="3" borderId="2" xfId="0" applyFill="1" applyBorder="1"/>
    <xf numFmtId="14" fontId="0" fillId="3" borderId="3" xfId="0" applyNumberFormat="1" applyFill="1" applyBorder="1"/>
    <xf numFmtId="0" fontId="0" fillId="3" borderId="4" xfId="0" applyFill="1" applyBorder="1"/>
    <xf numFmtId="0" fontId="0" fillId="3" borderId="5" xfId="0" applyFill="1" applyBorder="1"/>
    <xf numFmtId="0" fontId="2" fillId="3" borderId="7" xfId="0" applyFont="1" applyFill="1" applyBorder="1"/>
    <xf numFmtId="0" fontId="2" fillId="4" borderId="0" xfId="0" applyFont="1" applyFill="1"/>
    <xf numFmtId="0" fontId="2" fillId="0" borderId="7" xfId="0" applyFont="1" applyBorder="1"/>
    <xf numFmtId="10" fontId="0" fillId="0" borderId="7" xfId="2" applyNumberFormat="1" applyFont="1" applyFill="1" applyBorder="1"/>
    <xf numFmtId="0" fontId="2" fillId="3" borderId="0" xfId="0" applyFont="1" applyFill="1"/>
    <xf numFmtId="14" fontId="0" fillId="0" borderId="2" xfId="0" applyNumberFormat="1" applyBorder="1"/>
    <xf numFmtId="0" fontId="0" fillId="0" borderId="8" xfId="0" applyBorder="1"/>
    <xf numFmtId="0" fontId="0" fillId="0" borderId="2" xfId="0" applyBorder="1"/>
    <xf numFmtId="43" fontId="0" fillId="0" borderId="0" xfId="0" applyNumberFormat="1"/>
    <xf numFmtId="166" fontId="0" fillId="0" borderId="0" xfId="1" applyNumberFormat="1" applyFont="1"/>
    <xf numFmtId="0" fontId="2" fillId="3" borderId="6" xfId="0" applyFont="1" applyFill="1" applyBorder="1" applyAlignment="1">
      <alignment horizontal="center"/>
    </xf>
    <xf numFmtId="0" fontId="2" fillId="3" borderId="0" xfId="0" applyFont="1" applyFill="1" applyAlignment="1">
      <alignment horizontal="center"/>
    </xf>
    <xf numFmtId="0" fontId="2" fillId="3" borderId="1" xfId="0" applyFont="1" applyFill="1" applyBorder="1" applyAlignment="1">
      <alignment horizontal="center"/>
    </xf>
    <xf numFmtId="0" fontId="0" fillId="3" borderId="6" xfId="0" applyFill="1" applyBorder="1" applyAlignment="1">
      <alignment horizontal="center"/>
    </xf>
    <xf numFmtId="0" fontId="0" fillId="3" borderId="0" xfId="0" applyFill="1" applyAlignment="1">
      <alignment horizontal="center"/>
    </xf>
    <xf numFmtId="0" fontId="0" fillId="3" borderId="1" xfId="0" applyFill="1" applyBorder="1" applyAlignment="1">
      <alignment horizontal="center"/>
    </xf>
    <xf numFmtId="171" fontId="0" fillId="0" borderId="0" xfId="0" applyNumberFormat="1"/>
    <xf numFmtId="0" fontId="0" fillId="0" borderId="0" xfId="0" applyFill="1"/>
    <xf numFmtId="0" fontId="2" fillId="0" borderId="0" xfId="0" applyFont="1" applyFill="1" applyAlignment="1">
      <alignment horizontal="center"/>
    </xf>
    <xf numFmtId="14" fontId="0" fillId="0" borderId="0" xfId="0" applyNumberFormat="1" applyFill="1"/>
    <xf numFmtId="43" fontId="0" fillId="0" borderId="0" xfId="1" applyFont="1" applyFill="1"/>
  </cellXfs>
  <cellStyles count="7">
    <cellStyle name="Comma" xfId="1" builtinId="3"/>
    <cellStyle name="defaultsheetstyle" xfId="4" xr:uid="{50475C19-6468-4E3B-A7E2-8DD878F8F5ED}"/>
    <cellStyle name="disclaimer" xfId="6" xr:uid="{F32471C7-FD80-47A5-A1B0-0DE5418CB3CF}"/>
    <cellStyle name="Normal" xfId="0" builtinId="0"/>
    <cellStyle name="Percent" xfId="2" builtinId="5"/>
    <cellStyle name="plainText" xfId="3" xr:uid="{6A267E03-0445-4D5A-9D92-727B35711E26}"/>
    <cellStyle name="tablesubHeader" xfId="5" xr:uid="{B16C45C1-9913-45BD-A21D-9A4093601FE4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volatileDependencies.xml><?xml version="1.0" encoding="utf-8"?>
<volTypes xmlns="http://schemas.openxmlformats.org/spreadsheetml/2006/main">
  <volType type="realTimeData">
    <main first="bofaddin.rtdserver">
      <tp t="e">
        <v>#N/A</v>
        <stp/>
        <stp>BDH|10003436742571156123</stp>
        <tr r="AJ6" s="20"/>
      </tp>
      <tp t="s">
        <v>#N/A N/A</v>
        <stp/>
        <stp>BDH|10749943098171380559</stp>
        <tr r="D6" s="7"/>
      </tp>
      <tp t="s">
        <v>#N/A N/A</v>
        <stp/>
        <stp>BDH|12394052870310978062</stp>
        <tr r="Y6" s="7"/>
      </tp>
      <tp t="e">
        <v>#N/A</v>
        <stp/>
        <stp>BDH|13399499967311438536</stp>
        <tr r="M6" s="20"/>
      </tp>
    </main>
    <main first="bofaddin.rtdserver">
      <tp t="e">
        <v>#N/A</v>
        <stp/>
        <stp>BDH|2178390428058963759</stp>
        <tr r="A6" s="20"/>
      </tp>
      <tp t="e">
        <v>#N/A</v>
        <stp/>
        <stp>BDH|5659473753648873370</stp>
        <tr r="G6" s="7"/>
      </tp>
      <tp t="s">
        <v>#N/A N/A</v>
        <stp/>
        <stp>BDH|3098882104416855258</stp>
        <tr r="B6" s="7"/>
      </tp>
      <tp t="s">
        <v>#N/A N/A</v>
        <stp/>
        <stp>BDH|9935548848133012421</stp>
        <tr r="E6" s="7"/>
      </tp>
      <tp t="s">
        <v>#N/A N/A</v>
        <stp/>
        <stp>BDH|4416451219031462996</stp>
        <tr r="X6" s="7"/>
      </tp>
      <tp t="e">
        <v>#N/A</v>
        <stp/>
        <stp>BDH|1961534204863388030</stp>
        <tr r="Y6" s="20"/>
      </tp>
      <tp t="s">
        <v>#N/A N/A</v>
        <stp/>
        <stp>BDH|4094893634018706705</stp>
        <tr r="V6" s="7"/>
      </tp>
    </main>
  </volType>
</volTypes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chartsheet" Target="chartsheets/sheet1.xml"/><Relationship Id="rId7" Type="http://schemas.microsoft.com/office/2017/10/relationships/person" Target="persons/perso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Relationship Id="rId9" Type="http://schemas.openxmlformats.org/officeDocument/2006/relationships/volatileDependencies" Target="volatileDependenci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AR"/>
              <a:t>Materiales/</a:t>
            </a:r>
            <a:r>
              <a:rPr lang="es-AR" baseline="0"/>
              <a:t> Merval (mkt.cap w%)</a:t>
            </a:r>
          </a:p>
          <a:p>
            <a:pPr>
              <a:defRPr/>
            </a:pPr>
            <a:r>
              <a:rPr lang="es-AR" baseline="0"/>
              <a:t>- ALUA, TXAR, LOMA -</a:t>
            </a:r>
            <a:endParaRPr lang="es-AR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>
        <c:manualLayout>
          <c:layoutTarget val="inner"/>
          <c:xMode val="edge"/>
          <c:yMode val="edge"/>
          <c:x val="5.6272355577726724E-2"/>
          <c:y val="8.6906241187833869E-2"/>
          <c:w val="0.92371994663151769"/>
          <c:h val="0.72914992080580421"/>
        </c:manualLayout>
      </c:layout>
      <c:lineChart>
        <c:grouping val="standard"/>
        <c:varyColors val="0"/>
        <c:ser>
          <c:idx val="0"/>
          <c:order val="0"/>
          <c:tx>
            <c:strRef>
              <c:f>Indice!$AI$5</c:f>
              <c:strCache>
                <c:ptCount val="1"/>
                <c:pt idx="0">
                  <c:v>Ratio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Indice!$AH$58:$AH$1500</c:f>
              <c:numCache>
                <c:formatCode>m/d/yyyy</c:formatCode>
                <c:ptCount val="1443"/>
                <c:pt idx="0">
                  <c:v>39087</c:v>
                </c:pt>
                <c:pt idx="1">
                  <c:v>39094</c:v>
                </c:pt>
                <c:pt idx="2">
                  <c:v>39101</c:v>
                </c:pt>
                <c:pt idx="3">
                  <c:v>39108</c:v>
                </c:pt>
                <c:pt idx="4">
                  <c:v>39115</c:v>
                </c:pt>
                <c:pt idx="5">
                  <c:v>39122</c:v>
                </c:pt>
                <c:pt idx="6">
                  <c:v>39129</c:v>
                </c:pt>
                <c:pt idx="7">
                  <c:v>39136</c:v>
                </c:pt>
                <c:pt idx="8">
                  <c:v>39143</c:v>
                </c:pt>
                <c:pt idx="9">
                  <c:v>39150</c:v>
                </c:pt>
                <c:pt idx="10">
                  <c:v>39157</c:v>
                </c:pt>
                <c:pt idx="11">
                  <c:v>39164</c:v>
                </c:pt>
                <c:pt idx="12">
                  <c:v>39171</c:v>
                </c:pt>
                <c:pt idx="13">
                  <c:v>39178</c:v>
                </c:pt>
                <c:pt idx="14">
                  <c:v>39185</c:v>
                </c:pt>
                <c:pt idx="15">
                  <c:v>39192</c:v>
                </c:pt>
                <c:pt idx="16">
                  <c:v>39199</c:v>
                </c:pt>
                <c:pt idx="17">
                  <c:v>39206</c:v>
                </c:pt>
                <c:pt idx="18">
                  <c:v>39213</c:v>
                </c:pt>
                <c:pt idx="19">
                  <c:v>39220</c:v>
                </c:pt>
                <c:pt idx="20">
                  <c:v>39227</c:v>
                </c:pt>
                <c:pt idx="21">
                  <c:v>39234</c:v>
                </c:pt>
                <c:pt idx="22">
                  <c:v>39241</c:v>
                </c:pt>
                <c:pt idx="23">
                  <c:v>39248</c:v>
                </c:pt>
                <c:pt idx="24">
                  <c:v>39255</c:v>
                </c:pt>
                <c:pt idx="25">
                  <c:v>39262</c:v>
                </c:pt>
                <c:pt idx="26">
                  <c:v>39269</c:v>
                </c:pt>
                <c:pt idx="27">
                  <c:v>39276</c:v>
                </c:pt>
                <c:pt idx="28">
                  <c:v>39283</c:v>
                </c:pt>
                <c:pt idx="29">
                  <c:v>39290</c:v>
                </c:pt>
                <c:pt idx="30">
                  <c:v>39297</c:v>
                </c:pt>
                <c:pt idx="31">
                  <c:v>39304</c:v>
                </c:pt>
                <c:pt idx="32">
                  <c:v>39311</c:v>
                </c:pt>
                <c:pt idx="33">
                  <c:v>39318</c:v>
                </c:pt>
                <c:pt idx="34">
                  <c:v>39325</c:v>
                </c:pt>
                <c:pt idx="35">
                  <c:v>39332</c:v>
                </c:pt>
                <c:pt idx="36">
                  <c:v>39339</c:v>
                </c:pt>
                <c:pt idx="37">
                  <c:v>39346</c:v>
                </c:pt>
                <c:pt idx="38">
                  <c:v>39353</c:v>
                </c:pt>
                <c:pt idx="39">
                  <c:v>39360</c:v>
                </c:pt>
                <c:pt idx="40">
                  <c:v>39367</c:v>
                </c:pt>
                <c:pt idx="41">
                  <c:v>39374</c:v>
                </c:pt>
                <c:pt idx="42">
                  <c:v>39381</c:v>
                </c:pt>
                <c:pt idx="43">
                  <c:v>39388</c:v>
                </c:pt>
                <c:pt idx="44">
                  <c:v>39395</c:v>
                </c:pt>
                <c:pt idx="45">
                  <c:v>39402</c:v>
                </c:pt>
                <c:pt idx="46">
                  <c:v>39409</c:v>
                </c:pt>
                <c:pt idx="47">
                  <c:v>39416</c:v>
                </c:pt>
                <c:pt idx="48">
                  <c:v>39423</c:v>
                </c:pt>
                <c:pt idx="49">
                  <c:v>39430</c:v>
                </c:pt>
                <c:pt idx="50">
                  <c:v>39437</c:v>
                </c:pt>
                <c:pt idx="51">
                  <c:v>39444</c:v>
                </c:pt>
                <c:pt idx="52">
                  <c:v>39451</c:v>
                </c:pt>
                <c:pt idx="53">
                  <c:v>39458</c:v>
                </c:pt>
                <c:pt idx="54">
                  <c:v>39465</c:v>
                </c:pt>
                <c:pt idx="55">
                  <c:v>39472</c:v>
                </c:pt>
                <c:pt idx="56">
                  <c:v>39479</c:v>
                </c:pt>
                <c:pt idx="57">
                  <c:v>39486</c:v>
                </c:pt>
                <c:pt idx="58">
                  <c:v>39493</c:v>
                </c:pt>
                <c:pt idx="59">
                  <c:v>39500</c:v>
                </c:pt>
                <c:pt idx="60">
                  <c:v>39507</c:v>
                </c:pt>
                <c:pt idx="61">
                  <c:v>39514</c:v>
                </c:pt>
                <c:pt idx="62">
                  <c:v>39521</c:v>
                </c:pt>
                <c:pt idx="63">
                  <c:v>39528</c:v>
                </c:pt>
                <c:pt idx="64">
                  <c:v>39535</c:v>
                </c:pt>
                <c:pt idx="65">
                  <c:v>39542</c:v>
                </c:pt>
                <c:pt idx="66">
                  <c:v>39549</c:v>
                </c:pt>
                <c:pt idx="67">
                  <c:v>39556</c:v>
                </c:pt>
                <c:pt idx="68">
                  <c:v>39563</c:v>
                </c:pt>
                <c:pt idx="69">
                  <c:v>39570</c:v>
                </c:pt>
                <c:pt idx="70">
                  <c:v>39577</c:v>
                </c:pt>
                <c:pt idx="71">
                  <c:v>39584</c:v>
                </c:pt>
                <c:pt idx="72">
                  <c:v>39591</c:v>
                </c:pt>
                <c:pt idx="73">
                  <c:v>39598</c:v>
                </c:pt>
                <c:pt idx="74">
                  <c:v>39605</c:v>
                </c:pt>
                <c:pt idx="75">
                  <c:v>39612</c:v>
                </c:pt>
                <c:pt idx="76">
                  <c:v>39619</c:v>
                </c:pt>
                <c:pt idx="77">
                  <c:v>39626</c:v>
                </c:pt>
                <c:pt idx="78">
                  <c:v>39633</c:v>
                </c:pt>
                <c:pt idx="79">
                  <c:v>39640</c:v>
                </c:pt>
                <c:pt idx="80">
                  <c:v>39647</c:v>
                </c:pt>
                <c:pt idx="81">
                  <c:v>39654</c:v>
                </c:pt>
                <c:pt idx="82">
                  <c:v>39661</c:v>
                </c:pt>
                <c:pt idx="83">
                  <c:v>39668</c:v>
                </c:pt>
                <c:pt idx="84">
                  <c:v>39675</c:v>
                </c:pt>
                <c:pt idx="85">
                  <c:v>39682</c:v>
                </c:pt>
                <c:pt idx="86">
                  <c:v>39689</c:v>
                </c:pt>
                <c:pt idx="87">
                  <c:v>39696</c:v>
                </c:pt>
                <c:pt idx="88">
                  <c:v>39703</c:v>
                </c:pt>
                <c:pt idx="89">
                  <c:v>39710</c:v>
                </c:pt>
                <c:pt idx="90">
                  <c:v>39717</c:v>
                </c:pt>
                <c:pt idx="91">
                  <c:v>39724</c:v>
                </c:pt>
                <c:pt idx="92">
                  <c:v>39731</c:v>
                </c:pt>
                <c:pt idx="93">
                  <c:v>39738</c:v>
                </c:pt>
                <c:pt idx="94">
                  <c:v>39745</c:v>
                </c:pt>
                <c:pt idx="95">
                  <c:v>39752</c:v>
                </c:pt>
                <c:pt idx="96">
                  <c:v>39759</c:v>
                </c:pt>
                <c:pt idx="97">
                  <c:v>39766</c:v>
                </c:pt>
                <c:pt idx="98">
                  <c:v>39773</c:v>
                </c:pt>
                <c:pt idx="99">
                  <c:v>39780</c:v>
                </c:pt>
                <c:pt idx="100">
                  <c:v>39787</c:v>
                </c:pt>
                <c:pt idx="101">
                  <c:v>39794</c:v>
                </c:pt>
                <c:pt idx="102">
                  <c:v>39801</c:v>
                </c:pt>
                <c:pt idx="103">
                  <c:v>39808</c:v>
                </c:pt>
                <c:pt idx="104">
                  <c:v>39815</c:v>
                </c:pt>
                <c:pt idx="105">
                  <c:v>39822</c:v>
                </c:pt>
                <c:pt idx="106">
                  <c:v>39829</c:v>
                </c:pt>
                <c:pt idx="107">
                  <c:v>39836</c:v>
                </c:pt>
                <c:pt idx="108">
                  <c:v>39843</c:v>
                </c:pt>
                <c:pt idx="109">
                  <c:v>39850</c:v>
                </c:pt>
                <c:pt idx="110">
                  <c:v>39857</c:v>
                </c:pt>
                <c:pt idx="111">
                  <c:v>39864</c:v>
                </c:pt>
                <c:pt idx="112">
                  <c:v>39871</c:v>
                </c:pt>
                <c:pt idx="113">
                  <c:v>39878</c:v>
                </c:pt>
                <c:pt idx="114">
                  <c:v>39885</c:v>
                </c:pt>
                <c:pt idx="115">
                  <c:v>39892</c:v>
                </c:pt>
                <c:pt idx="116">
                  <c:v>39899</c:v>
                </c:pt>
                <c:pt idx="117">
                  <c:v>39906</c:v>
                </c:pt>
                <c:pt idx="118">
                  <c:v>39913</c:v>
                </c:pt>
                <c:pt idx="119">
                  <c:v>39920</c:v>
                </c:pt>
                <c:pt idx="120">
                  <c:v>39927</c:v>
                </c:pt>
                <c:pt idx="121">
                  <c:v>39934</c:v>
                </c:pt>
                <c:pt idx="122">
                  <c:v>39941</c:v>
                </c:pt>
                <c:pt idx="123">
                  <c:v>39948</c:v>
                </c:pt>
                <c:pt idx="124">
                  <c:v>39955</c:v>
                </c:pt>
                <c:pt idx="125">
                  <c:v>39962</c:v>
                </c:pt>
                <c:pt idx="126">
                  <c:v>39969</c:v>
                </c:pt>
                <c:pt idx="127">
                  <c:v>39976</c:v>
                </c:pt>
                <c:pt idx="128">
                  <c:v>39983</c:v>
                </c:pt>
                <c:pt idx="129">
                  <c:v>39990</c:v>
                </c:pt>
                <c:pt idx="130">
                  <c:v>39997</c:v>
                </c:pt>
                <c:pt idx="131">
                  <c:v>40004</c:v>
                </c:pt>
                <c:pt idx="132">
                  <c:v>40011</c:v>
                </c:pt>
                <c:pt idx="133">
                  <c:v>40018</c:v>
                </c:pt>
                <c:pt idx="134">
                  <c:v>40025</c:v>
                </c:pt>
                <c:pt idx="135">
                  <c:v>40032</c:v>
                </c:pt>
                <c:pt idx="136">
                  <c:v>40039</c:v>
                </c:pt>
                <c:pt idx="137">
                  <c:v>40046</c:v>
                </c:pt>
                <c:pt idx="138">
                  <c:v>40053</c:v>
                </c:pt>
                <c:pt idx="139">
                  <c:v>40060</c:v>
                </c:pt>
                <c:pt idx="140">
                  <c:v>40067</c:v>
                </c:pt>
                <c:pt idx="141">
                  <c:v>40074</c:v>
                </c:pt>
                <c:pt idx="142">
                  <c:v>40081</c:v>
                </c:pt>
                <c:pt idx="143">
                  <c:v>40088</c:v>
                </c:pt>
                <c:pt idx="144">
                  <c:v>40095</c:v>
                </c:pt>
                <c:pt idx="145">
                  <c:v>40102</c:v>
                </c:pt>
                <c:pt idx="146">
                  <c:v>40109</c:v>
                </c:pt>
                <c:pt idx="147">
                  <c:v>40116</c:v>
                </c:pt>
                <c:pt idx="148">
                  <c:v>40123</c:v>
                </c:pt>
                <c:pt idx="149">
                  <c:v>40130</c:v>
                </c:pt>
                <c:pt idx="150">
                  <c:v>40137</c:v>
                </c:pt>
                <c:pt idx="151">
                  <c:v>40144</c:v>
                </c:pt>
                <c:pt idx="152">
                  <c:v>40151</c:v>
                </c:pt>
                <c:pt idx="153">
                  <c:v>40158</c:v>
                </c:pt>
                <c:pt idx="154">
                  <c:v>40165</c:v>
                </c:pt>
                <c:pt idx="155">
                  <c:v>40172</c:v>
                </c:pt>
                <c:pt idx="156">
                  <c:v>40179</c:v>
                </c:pt>
                <c:pt idx="157">
                  <c:v>40186</c:v>
                </c:pt>
                <c:pt idx="158">
                  <c:v>40193</c:v>
                </c:pt>
                <c:pt idx="159">
                  <c:v>40200</c:v>
                </c:pt>
                <c:pt idx="160">
                  <c:v>40207</c:v>
                </c:pt>
                <c:pt idx="161">
                  <c:v>40214</c:v>
                </c:pt>
                <c:pt idx="162">
                  <c:v>40221</c:v>
                </c:pt>
                <c:pt idx="163">
                  <c:v>40228</c:v>
                </c:pt>
                <c:pt idx="164">
                  <c:v>40235</c:v>
                </c:pt>
                <c:pt idx="165">
                  <c:v>40242</c:v>
                </c:pt>
                <c:pt idx="166">
                  <c:v>40249</c:v>
                </c:pt>
                <c:pt idx="167">
                  <c:v>40256</c:v>
                </c:pt>
                <c:pt idx="168">
                  <c:v>40263</c:v>
                </c:pt>
                <c:pt idx="169">
                  <c:v>40270</c:v>
                </c:pt>
                <c:pt idx="170">
                  <c:v>40277</c:v>
                </c:pt>
                <c:pt idx="171">
                  <c:v>40284</c:v>
                </c:pt>
                <c:pt idx="172">
                  <c:v>40291</c:v>
                </c:pt>
                <c:pt idx="173">
                  <c:v>40298</c:v>
                </c:pt>
                <c:pt idx="174">
                  <c:v>40305</c:v>
                </c:pt>
                <c:pt idx="175">
                  <c:v>40312</c:v>
                </c:pt>
                <c:pt idx="176">
                  <c:v>40319</c:v>
                </c:pt>
                <c:pt idx="177">
                  <c:v>40326</c:v>
                </c:pt>
                <c:pt idx="178">
                  <c:v>40333</c:v>
                </c:pt>
                <c:pt idx="179">
                  <c:v>40340</c:v>
                </c:pt>
                <c:pt idx="180">
                  <c:v>40347</c:v>
                </c:pt>
                <c:pt idx="181">
                  <c:v>40354</c:v>
                </c:pt>
                <c:pt idx="182">
                  <c:v>40361</c:v>
                </c:pt>
                <c:pt idx="183">
                  <c:v>40368</c:v>
                </c:pt>
                <c:pt idx="184">
                  <c:v>40375</c:v>
                </c:pt>
                <c:pt idx="185">
                  <c:v>40382</c:v>
                </c:pt>
                <c:pt idx="186">
                  <c:v>40389</c:v>
                </c:pt>
                <c:pt idx="187">
                  <c:v>40396</c:v>
                </c:pt>
                <c:pt idx="188">
                  <c:v>40403</c:v>
                </c:pt>
                <c:pt idx="189">
                  <c:v>40410</c:v>
                </c:pt>
                <c:pt idx="190">
                  <c:v>40417</c:v>
                </c:pt>
                <c:pt idx="191">
                  <c:v>40424</c:v>
                </c:pt>
                <c:pt idx="192">
                  <c:v>40431</c:v>
                </c:pt>
                <c:pt idx="193">
                  <c:v>40438</c:v>
                </c:pt>
                <c:pt idx="194">
                  <c:v>40445</c:v>
                </c:pt>
                <c:pt idx="195">
                  <c:v>40452</c:v>
                </c:pt>
                <c:pt idx="196">
                  <c:v>40459</c:v>
                </c:pt>
                <c:pt idx="197">
                  <c:v>40466</c:v>
                </c:pt>
                <c:pt idx="198">
                  <c:v>40473</c:v>
                </c:pt>
                <c:pt idx="199">
                  <c:v>40480</c:v>
                </c:pt>
                <c:pt idx="200">
                  <c:v>40487</c:v>
                </c:pt>
                <c:pt idx="201">
                  <c:v>40494</c:v>
                </c:pt>
                <c:pt idx="202">
                  <c:v>40501</c:v>
                </c:pt>
                <c:pt idx="203">
                  <c:v>40508</c:v>
                </c:pt>
                <c:pt idx="204">
                  <c:v>40515</c:v>
                </c:pt>
                <c:pt idx="205">
                  <c:v>40522</c:v>
                </c:pt>
                <c:pt idx="206">
                  <c:v>40529</c:v>
                </c:pt>
                <c:pt idx="207">
                  <c:v>40536</c:v>
                </c:pt>
                <c:pt idx="208">
                  <c:v>40543</c:v>
                </c:pt>
                <c:pt idx="209">
                  <c:v>40550</c:v>
                </c:pt>
                <c:pt idx="210">
                  <c:v>40557</c:v>
                </c:pt>
                <c:pt idx="211">
                  <c:v>40564</c:v>
                </c:pt>
                <c:pt idx="212">
                  <c:v>40571</c:v>
                </c:pt>
                <c:pt idx="213">
                  <c:v>40578</c:v>
                </c:pt>
                <c:pt idx="214">
                  <c:v>40585</c:v>
                </c:pt>
                <c:pt idx="215">
                  <c:v>40592</c:v>
                </c:pt>
                <c:pt idx="216">
                  <c:v>40599</c:v>
                </c:pt>
                <c:pt idx="217">
                  <c:v>40606</c:v>
                </c:pt>
                <c:pt idx="218">
                  <c:v>40613</c:v>
                </c:pt>
                <c:pt idx="219">
                  <c:v>40620</c:v>
                </c:pt>
                <c:pt idx="220">
                  <c:v>40627</c:v>
                </c:pt>
                <c:pt idx="221">
                  <c:v>40634</c:v>
                </c:pt>
                <c:pt idx="222">
                  <c:v>40641</c:v>
                </c:pt>
                <c:pt idx="223">
                  <c:v>40648</c:v>
                </c:pt>
                <c:pt idx="224">
                  <c:v>40655</c:v>
                </c:pt>
                <c:pt idx="225">
                  <c:v>40662</c:v>
                </c:pt>
                <c:pt idx="226">
                  <c:v>40669</c:v>
                </c:pt>
                <c:pt idx="227">
                  <c:v>40676</c:v>
                </c:pt>
                <c:pt idx="228">
                  <c:v>40683</c:v>
                </c:pt>
                <c:pt idx="229">
                  <c:v>40690</c:v>
                </c:pt>
                <c:pt idx="230">
                  <c:v>40697</c:v>
                </c:pt>
                <c:pt idx="231">
                  <c:v>40704</c:v>
                </c:pt>
                <c:pt idx="232">
                  <c:v>40711</c:v>
                </c:pt>
                <c:pt idx="233">
                  <c:v>40718</c:v>
                </c:pt>
                <c:pt idx="234">
                  <c:v>40725</c:v>
                </c:pt>
                <c:pt idx="235">
                  <c:v>40732</c:v>
                </c:pt>
                <c:pt idx="236">
                  <c:v>40739</c:v>
                </c:pt>
                <c:pt idx="237">
                  <c:v>40746</c:v>
                </c:pt>
                <c:pt idx="238">
                  <c:v>40753</c:v>
                </c:pt>
                <c:pt idx="239">
                  <c:v>40760</c:v>
                </c:pt>
                <c:pt idx="240">
                  <c:v>40767</c:v>
                </c:pt>
                <c:pt idx="241">
                  <c:v>40774</c:v>
                </c:pt>
                <c:pt idx="242">
                  <c:v>40781</c:v>
                </c:pt>
                <c:pt idx="243">
                  <c:v>40788</c:v>
                </c:pt>
                <c:pt idx="244">
                  <c:v>40795</c:v>
                </c:pt>
                <c:pt idx="245">
                  <c:v>40802</c:v>
                </c:pt>
                <c:pt idx="246">
                  <c:v>40809</c:v>
                </c:pt>
                <c:pt idx="247">
                  <c:v>40816</c:v>
                </c:pt>
                <c:pt idx="248">
                  <c:v>40823</c:v>
                </c:pt>
                <c:pt idx="249">
                  <c:v>40830</c:v>
                </c:pt>
                <c:pt idx="250">
                  <c:v>40837</c:v>
                </c:pt>
                <c:pt idx="251">
                  <c:v>40844</c:v>
                </c:pt>
                <c:pt idx="252">
                  <c:v>40851</c:v>
                </c:pt>
                <c:pt idx="253">
                  <c:v>40858</c:v>
                </c:pt>
                <c:pt idx="254">
                  <c:v>40865</c:v>
                </c:pt>
                <c:pt idx="255">
                  <c:v>40872</c:v>
                </c:pt>
                <c:pt idx="256">
                  <c:v>40879</c:v>
                </c:pt>
                <c:pt idx="257">
                  <c:v>40886</c:v>
                </c:pt>
                <c:pt idx="258">
                  <c:v>40893</c:v>
                </c:pt>
                <c:pt idx="259">
                  <c:v>40900</c:v>
                </c:pt>
                <c:pt idx="260">
                  <c:v>40907</c:v>
                </c:pt>
                <c:pt idx="261">
                  <c:v>40914</c:v>
                </c:pt>
                <c:pt idx="262">
                  <c:v>40921</c:v>
                </c:pt>
                <c:pt idx="263">
                  <c:v>40928</c:v>
                </c:pt>
                <c:pt idx="264">
                  <c:v>40935</c:v>
                </c:pt>
                <c:pt idx="265">
                  <c:v>40942</c:v>
                </c:pt>
                <c:pt idx="266">
                  <c:v>40949</c:v>
                </c:pt>
                <c:pt idx="267">
                  <c:v>40956</c:v>
                </c:pt>
                <c:pt idx="268">
                  <c:v>40963</c:v>
                </c:pt>
                <c:pt idx="269">
                  <c:v>40970</c:v>
                </c:pt>
                <c:pt idx="270">
                  <c:v>40977</c:v>
                </c:pt>
                <c:pt idx="271">
                  <c:v>40984</c:v>
                </c:pt>
                <c:pt idx="272">
                  <c:v>40991</c:v>
                </c:pt>
                <c:pt idx="273">
                  <c:v>40998</c:v>
                </c:pt>
                <c:pt idx="274">
                  <c:v>41005</c:v>
                </c:pt>
                <c:pt idx="275">
                  <c:v>41012</c:v>
                </c:pt>
                <c:pt idx="276">
                  <c:v>41019</c:v>
                </c:pt>
                <c:pt idx="277">
                  <c:v>41026</c:v>
                </c:pt>
                <c:pt idx="278">
                  <c:v>41033</c:v>
                </c:pt>
                <c:pt idx="279">
                  <c:v>41040</c:v>
                </c:pt>
                <c:pt idx="280">
                  <c:v>41047</c:v>
                </c:pt>
                <c:pt idx="281">
                  <c:v>41054</c:v>
                </c:pt>
                <c:pt idx="282">
                  <c:v>41061</c:v>
                </c:pt>
                <c:pt idx="283">
                  <c:v>41068</c:v>
                </c:pt>
                <c:pt idx="284">
                  <c:v>41075</c:v>
                </c:pt>
                <c:pt idx="285">
                  <c:v>41082</c:v>
                </c:pt>
                <c:pt idx="286">
                  <c:v>41089</c:v>
                </c:pt>
                <c:pt idx="287">
                  <c:v>41096</c:v>
                </c:pt>
                <c:pt idx="288">
                  <c:v>41103</c:v>
                </c:pt>
                <c:pt idx="289">
                  <c:v>41110</c:v>
                </c:pt>
                <c:pt idx="290">
                  <c:v>41117</c:v>
                </c:pt>
                <c:pt idx="291">
                  <c:v>41124</c:v>
                </c:pt>
                <c:pt idx="292">
                  <c:v>41131</c:v>
                </c:pt>
                <c:pt idx="293">
                  <c:v>41138</c:v>
                </c:pt>
                <c:pt idx="294">
                  <c:v>41145</c:v>
                </c:pt>
                <c:pt idx="295">
                  <c:v>41152</c:v>
                </c:pt>
                <c:pt idx="296">
                  <c:v>41159</c:v>
                </c:pt>
                <c:pt idx="297">
                  <c:v>41166</c:v>
                </c:pt>
                <c:pt idx="298">
                  <c:v>41173</c:v>
                </c:pt>
                <c:pt idx="299">
                  <c:v>41180</c:v>
                </c:pt>
                <c:pt idx="300">
                  <c:v>41187</c:v>
                </c:pt>
                <c:pt idx="301">
                  <c:v>41194</c:v>
                </c:pt>
                <c:pt idx="302">
                  <c:v>41201</c:v>
                </c:pt>
                <c:pt idx="303">
                  <c:v>41208</c:v>
                </c:pt>
                <c:pt idx="304">
                  <c:v>41215</c:v>
                </c:pt>
                <c:pt idx="305">
                  <c:v>41222</c:v>
                </c:pt>
                <c:pt idx="306">
                  <c:v>41229</c:v>
                </c:pt>
                <c:pt idx="307">
                  <c:v>41236</c:v>
                </c:pt>
                <c:pt idx="308">
                  <c:v>41243</c:v>
                </c:pt>
                <c:pt idx="309">
                  <c:v>41250</c:v>
                </c:pt>
                <c:pt idx="310">
                  <c:v>41257</c:v>
                </c:pt>
                <c:pt idx="311">
                  <c:v>41264</c:v>
                </c:pt>
                <c:pt idx="312">
                  <c:v>41271</c:v>
                </c:pt>
                <c:pt idx="313">
                  <c:v>41278</c:v>
                </c:pt>
                <c:pt idx="314">
                  <c:v>41285</c:v>
                </c:pt>
                <c:pt idx="315">
                  <c:v>41292</c:v>
                </c:pt>
                <c:pt idx="316">
                  <c:v>41299</c:v>
                </c:pt>
                <c:pt idx="317">
                  <c:v>41306</c:v>
                </c:pt>
                <c:pt idx="318">
                  <c:v>41313</c:v>
                </c:pt>
                <c:pt idx="319">
                  <c:v>41320</c:v>
                </c:pt>
                <c:pt idx="320">
                  <c:v>41327</c:v>
                </c:pt>
                <c:pt idx="321">
                  <c:v>41334</c:v>
                </c:pt>
                <c:pt idx="322">
                  <c:v>41341</c:v>
                </c:pt>
                <c:pt idx="323">
                  <c:v>41348</c:v>
                </c:pt>
                <c:pt idx="324">
                  <c:v>41355</c:v>
                </c:pt>
                <c:pt idx="325">
                  <c:v>41362</c:v>
                </c:pt>
                <c:pt idx="326">
                  <c:v>41369</c:v>
                </c:pt>
                <c:pt idx="327">
                  <c:v>41376</c:v>
                </c:pt>
                <c:pt idx="328">
                  <c:v>41383</c:v>
                </c:pt>
                <c:pt idx="329">
                  <c:v>41390</c:v>
                </c:pt>
                <c:pt idx="330">
                  <c:v>41397</c:v>
                </c:pt>
                <c:pt idx="331">
                  <c:v>41404</c:v>
                </c:pt>
                <c:pt idx="332">
                  <c:v>41411</c:v>
                </c:pt>
                <c:pt idx="333">
                  <c:v>41418</c:v>
                </c:pt>
                <c:pt idx="334">
                  <c:v>41425</c:v>
                </c:pt>
                <c:pt idx="335">
                  <c:v>41432</c:v>
                </c:pt>
                <c:pt idx="336">
                  <c:v>41439</c:v>
                </c:pt>
                <c:pt idx="337">
                  <c:v>41446</c:v>
                </c:pt>
                <c:pt idx="338">
                  <c:v>41453</c:v>
                </c:pt>
                <c:pt idx="339">
                  <c:v>41460</c:v>
                </c:pt>
                <c:pt idx="340">
                  <c:v>41467</c:v>
                </c:pt>
                <c:pt idx="341">
                  <c:v>41474</c:v>
                </c:pt>
                <c:pt idx="342">
                  <c:v>41481</c:v>
                </c:pt>
                <c:pt idx="343">
                  <c:v>41488</c:v>
                </c:pt>
                <c:pt idx="344">
                  <c:v>41495</c:v>
                </c:pt>
                <c:pt idx="345">
                  <c:v>41502</c:v>
                </c:pt>
                <c:pt idx="346">
                  <c:v>41509</c:v>
                </c:pt>
                <c:pt idx="347">
                  <c:v>41516</c:v>
                </c:pt>
                <c:pt idx="348">
                  <c:v>41523</c:v>
                </c:pt>
                <c:pt idx="349">
                  <c:v>41530</c:v>
                </c:pt>
                <c:pt idx="350">
                  <c:v>41537</c:v>
                </c:pt>
                <c:pt idx="351">
                  <c:v>41544</c:v>
                </c:pt>
                <c:pt idx="352">
                  <c:v>41551</c:v>
                </c:pt>
                <c:pt idx="353">
                  <c:v>41558</c:v>
                </c:pt>
                <c:pt idx="354">
                  <c:v>41565</c:v>
                </c:pt>
                <c:pt idx="355">
                  <c:v>41572</c:v>
                </c:pt>
                <c:pt idx="356">
                  <c:v>41579</c:v>
                </c:pt>
                <c:pt idx="357">
                  <c:v>41586</c:v>
                </c:pt>
                <c:pt idx="358">
                  <c:v>41593</c:v>
                </c:pt>
                <c:pt idx="359">
                  <c:v>41600</c:v>
                </c:pt>
                <c:pt idx="360">
                  <c:v>41607</c:v>
                </c:pt>
                <c:pt idx="361">
                  <c:v>41614</c:v>
                </c:pt>
                <c:pt idx="362">
                  <c:v>41621</c:v>
                </c:pt>
                <c:pt idx="363">
                  <c:v>41628</c:v>
                </c:pt>
                <c:pt idx="364">
                  <c:v>41635</c:v>
                </c:pt>
                <c:pt idx="365">
                  <c:v>41642</c:v>
                </c:pt>
                <c:pt idx="366">
                  <c:v>41649</c:v>
                </c:pt>
                <c:pt idx="367">
                  <c:v>41656</c:v>
                </c:pt>
                <c:pt idx="368">
                  <c:v>41663</c:v>
                </c:pt>
                <c:pt idx="369">
                  <c:v>41670</c:v>
                </c:pt>
                <c:pt idx="370">
                  <c:v>41677</c:v>
                </c:pt>
                <c:pt idx="371">
                  <c:v>41684</c:v>
                </c:pt>
                <c:pt idx="372">
                  <c:v>41691</c:v>
                </c:pt>
                <c:pt idx="373">
                  <c:v>41698</c:v>
                </c:pt>
                <c:pt idx="374">
                  <c:v>41705</c:v>
                </c:pt>
                <c:pt idx="375">
                  <c:v>41712</c:v>
                </c:pt>
                <c:pt idx="376">
                  <c:v>41719</c:v>
                </c:pt>
                <c:pt idx="377">
                  <c:v>41726</c:v>
                </c:pt>
                <c:pt idx="378">
                  <c:v>41733</c:v>
                </c:pt>
                <c:pt idx="379">
                  <c:v>41740</c:v>
                </c:pt>
                <c:pt idx="380">
                  <c:v>41747</c:v>
                </c:pt>
                <c:pt idx="381">
                  <c:v>41754</c:v>
                </c:pt>
                <c:pt idx="382">
                  <c:v>41761</c:v>
                </c:pt>
                <c:pt idx="383">
                  <c:v>41768</c:v>
                </c:pt>
                <c:pt idx="384">
                  <c:v>41775</c:v>
                </c:pt>
                <c:pt idx="385">
                  <c:v>41782</c:v>
                </c:pt>
                <c:pt idx="386">
                  <c:v>41789</c:v>
                </c:pt>
                <c:pt idx="387">
                  <c:v>41796</c:v>
                </c:pt>
                <c:pt idx="388">
                  <c:v>41803</c:v>
                </c:pt>
                <c:pt idx="389">
                  <c:v>41810</c:v>
                </c:pt>
                <c:pt idx="390">
                  <c:v>41817</c:v>
                </c:pt>
                <c:pt idx="391">
                  <c:v>41824</c:v>
                </c:pt>
                <c:pt idx="392">
                  <c:v>41831</c:v>
                </c:pt>
                <c:pt idx="393">
                  <c:v>41838</c:v>
                </c:pt>
                <c:pt idx="394">
                  <c:v>41845</c:v>
                </c:pt>
                <c:pt idx="395">
                  <c:v>41852</c:v>
                </c:pt>
                <c:pt idx="396">
                  <c:v>41859</c:v>
                </c:pt>
                <c:pt idx="397">
                  <c:v>41866</c:v>
                </c:pt>
                <c:pt idx="398">
                  <c:v>41873</c:v>
                </c:pt>
                <c:pt idx="399">
                  <c:v>41880</c:v>
                </c:pt>
                <c:pt idx="400">
                  <c:v>41887</c:v>
                </c:pt>
                <c:pt idx="401">
                  <c:v>41894</c:v>
                </c:pt>
                <c:pt idx="402">
                  <c:v>41901</c:v>
                </c:pt>
                <c:pt idx="403">
                  <c:v>41908</c:v>
                </c:pt>
                <c:pt idx="404">
                  <c:v>41915</c:v>
                </c:pt>
                <c:pt idx="405">
                  <c:v>41922</c:v>
                </c:pt>
                <c:pt idx="406">
                  <c:v>41929</c:v>
                </c:pt>
                <c:pt idx="407">
                  <c:v>41936</c:v>
                </c:pt>
                <c:pt idx="408">
                  <c:v>41943</c:v>
                </c:pt>
                <c:pt idx="409">
                  <c:v>41950</c:v>
                </c:pt>
                <c:pt idx="410">
                  <c:v>41957</c:v>
                </c:pt>
                <c:pt idx="411">
                  <c:v>41964</c:v>
                </c:pt>
                <c:pt idx="412">
                  <c:v>41971</c:v>
                </c:pt>
                <c:pt idx="413">
                  <c:v>41978</c:v>
                </c:pt>
                <c:pt idx="414">
                  <c:v>41985</c:v>
                </c:pt>
                <c:pt idx="415">
                  <c:v>41992</c:v>
                </c:pt>
                <c:pt idx="416">
                  <c:v>41999</c:v>
                </c:pt>
                <c:pt idx="417">
                  <c:v>42006</c:v>
                </c:pt>
                <c:pt idx="418">
                  <c:v>42013</c:v>
                </c:pt>
                <c:pt idx="419">
                  <c:v>42020</c:v>
                </c:pt>
                <c:pt idx="420">
                  <c:v>42027</c:v>
                </c:pt>
                <c:pt idx="421">
                  <c:v>42034</c:v>
                </c:pt>
                <c:pt idx="422">
                  <c:v>42041</c:v>
                </c:pt>
                <c:pt idx="423">
                  <c:v>42048</c:v>
                </c:pt>
                <c:pt idx="424">
                  <c:v>42055</c:v>
                </c:pt>
                <c:pt idx="425">
                  <c:v>42062</c:v>
                </c:pt>
                <c:pt idx="426">
                  <c:v>42069</c:v>
                </c:pt>
                <c:pt idx="427">
                  <c:v>42076</c:v>
                </c:pt>
                <c:pt idx="428">
                  <c:v>42083</c:v>
                </c:pt>
                <c:pt idx="429">
                  <c:v>42090</c:v>
                </c:pt>
                <c:pt idx="430">
                  <c:v>42097</c:v>
                </c:pt>
                <c:pt idx="431">
                  <c:v>42104</c:v>
                </c:pt>
                <c:pt idx="432">
                  <c:v>42111</c:v>
                </c:pt>
                <c:pt idx="433">
                  <c:v>42118</c:v>
                </c:pt>
                <c:pt idx="434">
                  <c:v>42125</c:v>
                </c:pt>
                <c:pt idx="435">
                  <c:v>42132</c:v>
                </c:pt>
                <c:pt idx="436">
                  <c:v>42139</c:v>
                </c:pt>
                <c:pt idx="437">
                  <c:v>42146</c:v>
                </c:pt>
                <c:pt idx="438">
                  <c:v>42153</c:v>
                </c:pt>
                <c:pt idx="439">
                  <c:v>42160</c:v>
                </c:pt>
                <c:pt idx="440">
                  <c:v>42167</c:v>
                </c:pt>
                <c:pt idx="441">
                  <c:v>42174</c:v>
                </c:pt>
                <c:pt idx="442">
                  <c:v>42181</c:v>
                </c:pt>
                <c:pt idx="443">
                  <c:v>42188</c:v>
                </c:pt>
                <c:pt idx="444">
                  <c:v>42195</c:v>
                </c:pt>
                <c:pt idx="445">
                  <c:v>42202</c:v>
                </c:pt>
                <c:pt idx="446">
                  <c:v>42209</c:v>
                </c:pt>
                <c:pt idx="447">
                  <c:v>42216</c:v>
                </c:pt>
                <c:pt idx="448">
                  <c:v>42223</c:v>
                </c:pt>
                <c:pt idx="449">
                  <c:v>42230</c:v>
                </c:pt>
                <c:pt idx="450">
                  <c:v>42237</c:v>
                </c:pt>
                <c:pt idx="451">
                  <c:v>42244</c:v>
                </c:pt>
                <c:pt idx="452">
                  <c:v>42251</c:v>
                </c:pt>
                <c:pt idx="453">
                  <c:v>42258</c:v>
                </c:pt>
                <c:pt idx="454">
                  <c:v>42265</c:v>
                </c:pt>
                <c:pt idx="455">
                  <c:v>42272</c:v>
                </c:pt>
                <c:pt idx="456">
                  <c:v>42279</c:v>
                </c:pt>
                <c:pt idx="457">
                  <c:v>42286</c:v>
                </c:pt>
                <c:pt idx="458">
                  <c:v>42293</c:v>
                </c:pt>
                <c:pt idx="459">
                  <c:v>42300</c:v>
                </c:pt>
                <c:pt idx="460">
                  <c:v>42307</c:v>
                </c:pt>
                <c:pt idx="461">
                  <c:v>42314</c:v>
                </c:pt>
                <c:pt idx="462">
                  <c:v>42321</c:v>
                </c:pt>
                <c:pt idx="463">
                  <c:v>42328</c:v>
                </c:pt>
                <c:pt idx="464">
                  <c:v>42335</c:v>
                </c:pt>
                <c:pt idx="465">
                  <c:v>42342</c:v>
                </c:pt>
                <c:pt idx="466">
                  <c:v>42349</c:v>
                </c:pt>
                <c:pt idx="467">
                  <c:v>42356</c:v>
                </c:pt>
                <c:pt idx="468">
                  <c:v>42363</c:v>
                </c:pt>
                <c:pt idx="469">
                  <c:v>42370</c:v>
                </c:pt>
                <c:pt idx="470">
                  <c:v>42377</c:v>
                </c:pt>
                <c:pt idx="471">
                  <c:v>42384</c:v>
                </c:pt>
                <c:pt idx="472">
                  <c:v>42391</c:v>
                </c:pt>
                <c:pt idx="473">
                  <c:v>42398</c:v>
                </c:pt>
                <c:pt idx="474">
                  <c:v>42405</c:v>
                </c:pt>
                <c:pt idx="475">
                  <c:v>42412</c:v>
                </c:pt>
                <c:pt idx="476">
                  <c:v>42419</c:v>
                </c:pt>
                <c:pt idx="477">
                  <c:v>42426</c:v>
                </c:pt>
                <c:pt idx="478">
                  <c:v>42433</c:v>
                </c:pt>
                <c:pt idx="479">
                  <c:v>42440</c:v>
                </c:pt>
                <c:pt idx="480">
                  <c:v>42447</c:v>
                </c:pt>
                <c:pt idx="481">
                  <c:v>42454</c:v>
                </c:pt>
                <c:pt idx="482">
                  <c:v>42461</c:v>
                </c:pt>
                <c:pt idx="483">
                  <c:v>42468</c:v>
                </c:pt>
                <c:pt idx="484">
                  <c:v>42475</c:v>
                </c:pt>
                <c:pt idx="485">
                  <c:v>42482</c:v>
                </c:pt>
                <c:pt idx="486">
                  <c:v>42489</c:v>
                </c:pt>
                <c:pt idx="487">
                  <c:v>42496</c:v>
                </c:pt>
                <c:pt idx="488">
                  <c:v>42503</c:v>
                </c:pt>
                <c:pt idx="489">
                  <c:v>42510</c:v>
                </c:pt>
                <c:pt idx="490">
                  <c:v>42517</c:v>
                </c:pt>
                <c:pt idx="491">
                  <c:v>42524</c:v>
                </c:pt>
                <c:pt idx="492">
                  <c:v>42531</c:v>
                </c:pt>
                <c:pt idx="493">
                  <c:v>42538</c:v>
                </c:pt>
                <c:pt idx="494">
                  <c:v>42545</c:v>
                </c:pt>
                <c:pt idx="495">
                  <c:v>42552</c:v>
                </c:pt>
                <c:pt idx="496">
                  <c:v>42559</c:v>
                </c:pt>
                <c:pt idx="497">
                  <c:v>42566</c:v>
                </c:pt>
                <c:pt idx="498">
                  <c:v>42573</c:v>
                </c:pt>
                <c:pt idx="499">
                  <c:v>42580</c:v>
                </c:pt>
                <c:pt idx="500">
                  <c:v>42587</c:v>
                </c:pt>
                <c:pt idx="501">
                  <c:v>42594</c:v>
                </c:pt>
                <c:pt idx="502">
                  <c:v>42601</c:v>
                </c:pt>
                <c:pt idx="503">
                  <c:v>42608</c:v>
                </c:pt>
                <c:pt idx="504">
                  <c:v>42615</c:v>
                </c:pt>
                <c:pt idx="505">
                  <c:v>42622</c:v>
                </c:pt>
                <c:pt idx="506">
                  <c:v>42629</c:v>
                </c:pt>
                <c:pt idx="507">
                  <c:v>42636</c:v>
                </c:pt>
                <c:pt idx="508">
                  <c:v>42643</c:v>
                </c:pt>
                <c:pt idx="509">
                  <c:v>42650</c:v>
                </c:pt>
                <c:pt idx="510">
                  <c:v>42657</c:v>
                </c:pt>
                <c:pt idx="511">
                  <c:v>42664</c:v>
                </c:pt>
                <c:pt idx="512">
                  <c:v>42671</c:v>
                </c:pt>
                <c:pt idx="513">
                  <c:v>42678</c:v>
                </c:pt>
                <c:pt idx="514">
                  <c:v>42685</c:v>
                </c:pt>
                <c:pt idx="515">
                  <c:v>42692</c:v>
                </c:pt>
                <c:pt idx="516">
                  <c:v>42699</c:v>
                </c:pt>
                <c:pt idx="517">
                  <c:v>42706</c:v>
                </c:pt>
                <c:pt idx="518">
                  <c:v>42713</c:v>
                </c:pt>
                <c:pt idx="519">
                  <c:v>42720</c:v>
                </c:pt>
                <c:pt idx="520">
                  <c:v>42727</c:v>
                </c:pt>
                <c:pt idx="521">
                  <c:v>42734</c:v>
                </c:pt>
                <c:pt idx="522">
                  <c:v>42741</c:v>
                </c:pt>
                <c:pt idx="523">
                  <c:v>42748</c:v>
                </c:pt>
                <c:pt idx="524">
                  <c:v>42755</c:v>
                </c:pt>
                <c:pt idx="525">
                  <c:v>42762</c:v>
                </c:pt>
                <c:pt idx="526">
                  <c:v>42769</c:v>
                </c:pt>
                <c:pt idx="527">
                  <c:v>42776</c:v>
                </c:pt>
                <c:pt idx="528">
                  <c:v>42783</c:v>
                </c:pt>
                <c:pt idx="529">
                  <c:v>42790</c:v>
                </c:pt>
                <c:pt idx="530">
                  <c:v>42797</c:v>
                </c:pt>
                <c:pt idx="531">
                  <c:v>42804</c:v>
                </c:pt>
                <c:pt idx="532">
                  <c:v>42811</c:v>
                </c:pt>
                <c:pt idx="533">
                  <c:v>42818</c:v>
                </c:pt>
                <c:pt idx="534">
                  <c:v>42825</c:v>
                </c:pt>
                <c:pt idx="535">
                  <c:v>42832</c:v>
                </c:pt>
                <c:pt idx="536">
                  <c:v>42839</c:v>
                </c:pt>
                <c:pt idx="537">
                  <c:v>42846</c:v>
                </c:pt>
                <c:pt idx="538">
                  <c:v>42853</c:v>
                </c:pt>
                <c:pt idx="539">
                  <c:v>42860</c:v>
                </c:pt>
                <c:pt idx="540">
                  <c:v>42867</c:v>
                </c:pt>
                <c:pt idx="541">
                  <c:v>42874</c:v>
                </c:pt>
                <c:pt idx="542">
                  <c:v>42881</c:v>
                </c:pt>
                <c:pt idx="543">
                  <c:v>42888</c:v>
                </c:pt>
                <c:pt idx="544">
                  <c:v>42895</c:v>
                </c:pt>
                <c:pt idx="545">
                  <c:v>42902</c:v>
                </c:pt>
                <c:pt idx="546">
                  <c:v>42909</c:v>
                </c:pt>
                <c:pt idx="547">
                  <c:v>42916</c:v>
                </c:pt>
                <c:pt idx="548">
                  <c:v>42923</c:v>
                </c:pt>
                <c:pt idx="549">
                  <c:v>42930</c:v>
                </c:pt>
                <c:pt idx="550">
                  <c:v>42937</c:v>
                </c:pt>
                <c:pt idx="551">
                  <c:v>42944</c:v>
                </c:pt>
                <c:pt idx="552">
                  <c:v>42951</c:v>
                </c:pt>
                <c:pt idx="553">
                  <c:v>42958</c:v>
                </c:pt>
                <c:pt idx="554">
                  <c:v>42965</c:v>
                </c:pt>
                <c:pt idx="555">
                  <c:v>42972</c:v>
                </c:pt>
                <c:pt idx="556">
                  <c:v>42979</c:v>
                </c:pt>
                <c:pt idx="557">
                  <c:v>42986</c:v>
                </c:pt>
                <c:pt idx="558">
                  <c:v>42993</c:v>
                </c:pt>
                <c:pt idx="559">
                  <c:v>43000</c:v>
                </c:pt>
                <c:pt idx="560">
                  <c:v>43007</c:v>
                </c:pt>
                <c:pt idx="561">
                  <c:v>43014</c:v>
                </c:pt>
                <c:pt idx="562">
                  <c:v>43021</c:v>
                </c:pt>
                <c:pt idx="563">
                  <c:v>43028</c:v>
                </c:pt>
                <c:pt idx="564">
                  <c:v>43035</c:v>
                </c:pt>
                <c:pt idx="565">
                  <c:v>43042</c:v>
                </c:pt>
                <c:pt idx="566">
                  <c:v>43049</c:v>
                </c:pt>
                <c:pt idx="567">
                  <c:v>43056</c:v>
                </c:pt>
                <c:pt idx="568">
                  <c:v>43063</c:v>
                </c:pt>
                <c:pt idx="569">
                  <c:v>43070</c:v>
                </c:pt>
                <c:pt idx="570">
                  <c:v>43077</c:v>
                </c:pt>
                <c:pt idx="571">
                  <c:v>43084</c:v>
                </c:pt>
                <c:pt idx="572">
                  <c:v>43091</c:v>
                </c:pt>
                <c:pt idx="573">
                  <c:v>43098</c:v>
                </c:pt>
                <c:pt idx="574">
                  <c:v>43105</c:v>
                </c:pt>
                <c:pt idx="575">
                  <c:v>43112</c:v>
                </c:pt>
                <c:pt idx="576">
                  <c:v>43119</c:v>
                </c:pt>
                <c:pt idx="577">
                  <c:v>43126</c:v>
                </c:pt>
                <c:pt idx="578">
                  <c:v>43133</c:v>
                </c:pt>
                <c:pt idx="579">
                  <c:v>43140</c:v>
                </c:pt>
                <c:pt idx="580">
                  <c:v>43147</c:v>
                </c:pt>
                <c:pt idx="581">
                  <c:v>43154</c:v>
                </c:pt>
                <c:pt idx="582">
                  <c:v>43161</c:v>
                </c:pt>
                <c:pt idx="583">
                  <c:v>43168</c:v>
                </c:pt>
                <c:pt idx="584">
                  <c:v>43175</c:v>
                </c:pt>
                <c:pt idx="585">
                  <c:v>43182</c:v>
                </c:pt>
                <c:pt idx="586">
                  <c:v>43189</c:v>
                </c:pt>
                <c:pt idx="587">
                  <c:v>43196</c:v>
                </c:pt>
                <c:pt idx="588">
                  <c:v>43203</c:v>
                </c:pt>
                <c:pt idx="589">
                  <c:v>43210</c:v>
                </c:pt>
                <c:pt idx="590">
                  <c:v>43217</c:v>
                </c:pt>
                <c:pt idx="591">
                  <c:v>43224</c:v>
                </c:pt>
                <c:pt idx="592">
                  <c:v>43231</c:v>
                </c:pt>
                <c:pt idx="593">
                  <c:v>43238</c:v>
                </c:pt>
                <c:pt idx="594">
                  <c:v>43245</c:v>
                </c:pt>
                <c:pt idx="595">
                  <c:v>43252</c:v>
                </c:pt>
                <c:pt idx="596">
                  <c:v>43259</c:v>
                </c:pt>
                <c:pt idx="597">
                  <c:v>43266</c:v>
                </c:pt>
                <c:pt idx="598">
                  <c:v>43273</c:v>
                </c:pt>
                <c:pt idx="599">
                  <c:v>43280</c:v>
                </c:pt>
                <c:pt idx="600">
                  <c:v>43287</c:v>
                </c:pt>
                <c:pt idx="601">
                  <c:v>43294</c:v>
                </c:pt>
                <c:pt idx="602">
                  <c:v>43301</c:v>
                </c:pt>
                <c:pt idx="603">
                  <c:v>43308</c:v>
                </c:pt>
                <c:pt idx="604">
                  <c:v>43315</c:v>
                </c:pt>
                <c:pt idx="605">
                  <c:v>43322</c:v>
                </c:pt>
                <c:pt idx="606">
                  <c:v>43329</c:v>
                </c:pt>
                <c:pt idx="607">
                  <c:v>43336</c:v>
                </c:pt>
                <c:pt idx="608">
                  <c:v>43343</c:v>
                </c:pt>
                <c:pt idx="609">
                  <c:v>43350</c:v>
                </c:pt>
                <c:pt idx="610">
                  <c:v>43357</c:v>
                </c:pt>
                <c:pt idx="611">
                  <c:v>43364</c:v>
                </c:pt>
                <c:pt idx="612">
                  <c:v>43371</c:v>
                </c:pt>
                <c:pt idx="613">
                  <c:v>43378</c:v>
                </c:pt>
                <c:pt idx="614">
                  <c:v>43385</c:v>
                </c:pt>
                <c:pt idx="615">
                  <c:v>43392</c:v>
                </c:pt>
                <c:pt idx="616">
                  <c:v>43399</c:v>
                </c:pt>
                <c:pt idx="617">
                  <c:v>43406</c:v>
                </c:pt>
                <c:pt idx="618">
                  <c:v>43413</c:v>
                </c:pt>
                <c:pt idx="619">
                  <c:v>43420</c:v>
                </c:pt>
                <c:pt idx="620">
                  <c:v>43427</c:v>
                </c:pt>
                <c:pt idx="621">
                  <c:v>43434</c:v>
                </c:pt>
                <c:pt idx="622">
                  <c:v>43441</c:v>
                </c:pt>
                <c:pt idx="623">
                  <c:v>43448</c:v>
                </c:pt>
                <c:pt idx="624">
                  <c:v>43455</c:v>
                </c:pt>
                <c:pt idx="625">
                  <c:v>43462</c:v>
                </c:pt>
                <c:pt idx="626">
                  <c:v>43469</c:v>
                </c:pt>
                <c:pt idx="627">
                  <c:v>43476</c:v>
                </c:pt>
                <c:pt idx="628">
                  <c:v>43483</c:v>
                </c:pt>
                <c:pt idx="629">
                  <c:v>43490</c:v>
                </c:pt>
                <c:pt idx="630">
                  <c:v>43497</c:v>
                </c:pt>
                <c:pt idx="631">
                  <c:v>43504</c:v>
                </c:pt>
                <c:pt idx="632">
                  <c:v>43511</c:v>
                </c:pt>
                <c:pt idx="633">
                  <c:v>43518</c:v>
                </c:pt>
                <c:pt idx="634">
                  <c:v>43525</c:v>
                </c:pt>
                <c:pt idx="635">
                  <c:v>43532</c:v>
                </c:pt>
                <c:pt idx="636">
                  <c:v>43539</c:v>
                </c:pt>
                <c:pt idx="637">
                  <c:v>43546</c:v>
                </c:pt>
                <c:pt idx="638">
                  <c:v>43553</c:v>
                </c:pt>
                <c:pt idx="639">
                  <c:v>43560</c:v>
                </c:pt>
                <c:pt idx="640">
                  <c:v>43567</c:v>
                </c:pt>
                <c:pt idx="641">
                  <c:v>43574</c:v>
                </c:pt>
                <c:pt idx="642">
                  <c:v>43581</c:v>
                </c:pt>
                <c:pt idx="643">
                  <c:v>43588</c:v>
                </c:pt>
                <c:pt idx="644">
                  <c:v>43595</c:v>
                </c:pt>
                <c:pt idx="645">
                  <c:v>43602</c:v>
                </c:pt>
                <c:pt idx="646">
                  <c:v>43609</c:v>
                </c:pt>
                <c:pt idx="647">
                  <c:v>43616</c:v>
                </c:pt>
                <c:pt idx="648">
                  <c:v>43623</c:v>
                </c:pt>
                <c:pt idx="649">
                  <c:v>43630</c:v>
                </c:pt>
                <c:pt idx="650">
                  <c:v>43637</c:v>
                </c:pt>
                <c:pt idx="651">
                  <c:v>43644</c:v>
                </c:pt>
                <c:pt idx="652">
                  <c:v>43651</c:v>
                </c:pt>
                <c:pt idx="653">
                  <c:v>43658</c:v>
                </c:pt>
                <c:pt idx="654">
                  <c:v>43665</c:v>
                </c:pt>
                <c:pt idx="655">
                  <c:v>43672</c:v>
                </c:pt>
                <c:pt idx="656">
                  <c:v>43679</c:v>
                </c:pt>
                <c:pt idx="657">
                  <c:v>43686</c:v>
                </c:pt>
                <c:pt idx="658">
                  <c:v>43693</c:v>
                </c:pt>
                <c:pt idx="659">
                  <c:v>43700</c:v>
                </c:pt>
                <c:pt idx="660">
                  <c:v>43707</c:v>
                </c:pt>
                <c:pt idx="661">
                  <c:v>43714</c:v>
                </c:pt>
                <c:pt idx="662">
                  <c:v>43721</c:v>
                </c:pt>
                <c:pt idx="663">
                  <c:v>43728</c:v>
                </c:pt>
                <c:pt idx="664">
                  <c:v>43735</c:v>
                </c:pt>
                <c:pt idx="665">
                  <c:v>43742</c:v>
                </c:pt>
                <c:pt idx="666">
                  <c:v>43749</c:v>
                </c:pt>
                <c:pt idx="667">
                  <c:v>43756</c:v>
                </c:pt>
                <c:pt idx="668">
                  <c:v>43763</c:v>
                </c:pt>
                <c:pt idx="669">
                  <c:v>43770</c:v>
                </c:pt>
                <c:pt idx="670">
                  <c:v>43777</c:v>
                </c:pt>
                <c:pt idx="671">
                  <c:v>43784</c:v>
                </c:pt>
                <c:pt idx="672">
                  <c:v>43791</c:v>
                </c:pt>
                <c:pt idx="673">
                  <c:v>43798</c:v>
                </c:pt>
                <c:pt idx="674">
                  <c:v>43805</c:v>
                </c:pt>
                <c:pt idx="675">
                  <c:v>43812</c:v>
                </c:pt>
                <c:pt idx="676">
                  <c:v>43819</c:v>
                </c:pt>
                <c:pt idx="677">
                  <c:v>43826</c:v>
                </c:pt>
                <c:pt idx="678">
                  <c:v>43833</c:v>
                </c:pt>
                <c:pt idx="679">
                  <c:v>43840</c:v>
                </c:pt>
                <c:pt idx="680">
                  <c:v>43847</c:v>
                </c:pt>
                <c:pt idx="681">
                  <c:v>43854</c:v>
                </c:pt>
                <c:pt idx="682">
                  <c:v>43861</c:v>
                </c:pt>
                <c:pt idx="683">
                  <c:v>43868</c:v>
                </c:pt>
                <c:pt idx="684">
                  <c:v>43875</c:v>
                </c:pt>
                <c:pt idx="685">
                  <c:v>43882</c:v>
                </c:pt>
                <c:pt idx="686">
                  <c:v>43889</c:v>
                </c:pt>
                <c:pt idx="687">
                  <c:v>43896</c:v>
                </c:pt>
                <c:pt idx="688">
                  <c:v>43903</c:v>
                </c:pt>
                <c:pt idx="689">
                  <c:v>43910</c:v>
                </c:pt>
                <c:pt idx="690">
                  <c:v>43917</c:v>
                </c:pt>
                <c:pt idx="691">
                  <c:v>43924</c:v>
                </c:pt>
                <c:pt idx="692">
                  <c:v>43931</c:v>
                </c:pt>
                <c:pt idx="693">
                  <c:v>43938</c:v>
                </c:pt>
                <c:pt idx="694">
                  <c:v>43945</c:v>
                </c:pt>
                <c:pt idx="695">
                  <c:v>43952</c:v>
                </c:pt>
                <c:pt idx="696">
                  <c:v>43959</c:v>
                </c:pt>
                <c:pt idx="697">
                  <c:v>43966</c:v>
                </c:pt>
                <c:pt idx="698">
                  <c:v>43973</c:v>
                </c:pt>
                <c:pt idx="699">
                  <c:v>43980</c:v>
                </c:pt>
                <c:pt idx="700">
                  <c:v>43987</c:v>
                </c:pt>
                <c:pt idx="701">
                  <c:v>43994</c:v>
                </c:pt>
                <c:pt idx="702">
                  <c:v>44001</c:v>
                </c:pt>
                <c:pt idx="703">
                  <c:v>44008</c:v>
                </c:pt>
                <c:pt idx="704">
                  <c:v>44015</c:v>
                </c:pt>
                <c:pt idx="705">
                  <c:v>44022</c:v>
                </c:pt>
                <c:pt idx="706">
                  <c:v>44029</c:v>
                </c:pt>
                <c:pt idx="707">
                  <c:v>44036</c:v>
                </c:pt>
                <c:pt idx="708">
                  <c:v>44043</c:v>
                </c:pt>
                <c:pt idx="709">
                  <c:v>44050</c:v>
                </c:pt>
                <c:pt idx="710">
                  <c:v>44057</c:v>
                </c:pt>
                <c:pt idx="711">
                  <c:v>44064</c:v>
                </c:pt>
                <c:pt idx="712">
                  <c:v>44071</c:v>
                </c:pt>
                <c:pt idx="713">
                  <c:v>44078</c:v>
                </c:pt>
                <c:pt idx="714">
                  <c:v>44085</c:v>
                </c:pt>
                <c:pt idx="715">
                  <c:v>44092</c:v>
                </c:pt>
                <c:pt idx="716">
                  <c:v>44099</c:v>
                </c:pt>
                <c:pt idx="717">
                  <c:v>44106</c:v>
                </c:pt>
                <c:pt idx="718">
                  <c:v>44113</c:v>
                </c:pt>
                <c:pt idx="719">
                  <c:v>44120</c:v>
                </c:pt>
                <c:pt idx="720">
                  <c:v>44127</c:v>
                </c:pt>
                <c:pt idx="721">
                  <c:v>44134</c:v>
                </c:pt>
                <c:pt idx="722">
                  <c:v>44141</c:v>
                </c:pt>
                <c:pt idx="723">
                  <c:v>44148</c:v>
                </c:pt>
                <c:pt idx="724">
                  <c:v>44155</c:v>
                </c:pt>
                <c:pt idx="725">
                  <c:v>44162</c:v>
                </c:pt>
                <c:pt idx="726">
                  <c:v>44169</c:v>
                </c:pt>
                <c:pt idx="727">
                  <c:v>44176</c:v>
                </c:pt>
                <c:pt idx="728">
                  <c:v>44183</c:v>
                </c:pt>
                <c:pt idx="729">
                  <c:v>44190</c:v>
                </c:pt>
                <c:pt idx="730">
                  <c:v>44197</c:v>
                </c:pt>
                <c:pt idx="731">
                  <c:v>44204</c:v>
                </c:pt>
                <c:pt idx="732">
                  <c:v>44211</c:v>
                </c:pt>
                <c:pt idx="733">
                  <c:v>44218</c:v>
                </c:pt>
                <c:pt idx="734">
                  <c:v>44225</c:v>
                </c:pt>
                <c:pt idx="735">
                  <c:v>44232</c:v>
                </c:pt>
                <c:pt idx="736">
                  <c:v>44239</c:v>
                </c:pt>
                <c:pt idx="737">
                  <c:v>44246</c:v>
                </c:pt>
                <c:pt idx="738">
                  <c:v>44253</c:v>
                </c:pt>
                <c:pt idx="739">
                  <c:v>44260</c:v>
                </c:pt>
                <c:pt idx="740">
                  <c:v>44267</c:v>
                </c:pt>
                <c:pt idx="741">
                  <c:v>44274</c:v>
                </c:pt>
                <c:pt idx="742">
                  <c:v>44281</c:v>
                </c:pt>
                <c:pt idx="743">
                  <c:v>44288</c:v>
                </c:pt>
                <c:pt idx="744">
                  <c:v>44295</c:v>
                </c:pt>
                <c:pt idx="745">
                  <c:v>44302</c:v>
                </c:pt>
                <c:pt idx="746">
                  <c:v>44309</c:v>
                </c:pt>
                <c:pt idx="747">
                  <c:v>44316</c:v>
                </c:pt>
                <c:pt idx="748">
                  <c:v>44323</c:v>
                </c:pt>
                <c:pt idx="749">
                  <c:v>44330</c:v>
                </c:pt>
                <c:pt idx="750">
                  <c:v>44337</c:v>
                </c:pt>
                <c:pt idx="751">
                  <c:v>44344</c:v>
                </c:pt>
                <c:pt idx="752">
                  <c:v>44351</c:v>
                </c:pt>
                <c:pt idx="753">
                  <c:v>44358</c:v>
                </c:pt>
                <c:pt idx="754">
                  <c:v>44365</c:v>
                </c:pt>
                <c:pt idx="755">
                  <c:v>44372</c:v>
                </c:pt>
                <c:pt idx="756">
                  <c:v>44379</c:v>
                </c:pt>
                <c:pt idx="757">
                  <c:v>44386</c:v>
                </c:pt>
                <c:pt idx="758">
                  <c:v>44393</c:v>
                </c:pt>
                <c:pt idx="759">
                  <c:v>44400</c:v>
                </c:pt>
                <c:pt idx="760">
                  <c:v>44407</c:v>
                </c:pt>
                <c:pt idx="761">
                  <c:v>44414</c:v>
                </c:pt>
                <c:pt idx="762">
                  <c:v>44421</c:v>
                </c:pt>
                <c:pt idx="763">
                  <c:v>44428</c:v>
                </c:pt>
                <c:pt idx="764">
                  <c:v>44435</c:v>
                </c:pt>
                <c:pt idx="765">
                  <c:v>44442</c:v>
                </c:pt>
                <c:pt idx="766">
                  <c:v>44449</c:v>
                </c:pt>
                <c:pt idx="767">
                  <c:v>44456</c:v>
                </c:pt>
                <c:pt idx="768">
                  <c:v>44463</c:v>
                </c:pt>
                <c:pt idx="769">
                  <c:v>44470</c:v>
                </c:pt>
                <c:pt idx="770">
                  <c:v>44477</c:v>
                </c:pt>
                <c:pt idx="771">
                  <c:v>44484</c:v>
                </c:pt>
                <c:pt idx="772">
                  <c:v>44491</c:v>
                </c:pt>
                <c:pt idx="773">
                  <c:v>44498</c:v>
                </c:pt>
                <c:pt idx="774">
                  <c:v>44505</c:v>
                </c:pt>
                <c:pt idx="775">
                  <c:v>44512</c:v>
                </c:pt>
                <c:pt idx="776">
                  <c:v>44519</c:v>
                </c:pt>
                <c:pt idx="777">
                  <c:v>44526</c:v>
                </c:pt>
                <c:pt idx="778">
                  <c:v>44533</c:v>
                </c:pt>
                <c:pt idx="779">
                  <c:v>44540</c:v>
                </c:pt>
                <c:pt idx="780">
                  <c:v>44547</c:v>
                </c:pt>
                <c:pt idx="781">
                  <c:v>44554</c:v>
                </c:pt>
                <c:pt idx="782">
                  <c:v>44561</c:v>
                </c:pt>
                <c:pt idx="783">
                  <c:v>44568</c:v>
                </c:pt>
                <c:pt idx="784">
                  <c:v>44575</c:v>
                </c:pt>
                <c:pt idx="785">
                  <c:v>44582</c:v>
                </c:pt>
                <c:pt idx="786">
                  <c:v>44589</c:v>
                </c:pt>
                <c:pt idx="787">
                  <c:v>44596</c:v>
                </c:pt>
                <c:pt idx="788">
                  <c:v>44603</c:v>
                </c:pt>
                <c:pt idx="789">
                  <c:v>44610</c:v>
                </c:pt>
                <c:pt idx="790">
                  <c:v>44617</c:v>
                </c:pt>
                <c:pt idx="791">
                  <c:v>44624</c:v>
                </c:pt>
                <c:pt idx="792">
                  <c:v>44631</c:v>
                </c:pt>
                <c:pt idx="793">
                  <c:v>44638</c:v>
                </c:pt>
                <c:pt idx="794">
                  <c:v>44645</c:v>
                </c:pt>
                <c:pt idx="795">
                  <c:v>44652</c:v>
                </c:pt>
                <c:pt idx="796">
                  <c:v>44659</c:v>
                </c:pt>
                <c:pt idx="797">
                  <c:v>44666</c:v>
                </c:pt>
                <c:pt idx="798">
                  <c:v>44673</c:v>
                </c:pt>
                <c:pt idx="799">
                  <c:v>44680</c:v>
                </c:pt>
                <c:pt idx="800">
                  <c:v>44687</c:v>
                </c:pt>
                <c:pt idx="801">
                  <c:v>44694</c:v>
                </c:pt>
                <c:pt idx="802">
                  <c:v>44701</c:v>
                </c:pt>
                <c:pt idx="803">
                  <c:v>44708</c:v>
                </c:pt>
                <c:pt idx="804">
                  <c:v>44715</c:v>
                </c:pt>
                <c:pt idx="805">
                  <c:v>44722</c:v>
                </c:pt>
                <c:pt idx="806">
                  <c:v>44729</c:v>
                </c:pt>
                <c:pt idx="807">
                  <c:v>44736</c:v>
                </c:pt>
                <c:pt idx="808">
                  <c:v>44743</c:v>
                </c:pt>
                <c:pt idx="809">
                  <c:v>44750</c:v>
                </c:pt>
                <c:pt idx="810">
                  <c:v>44757</c:v>
                </c:pt>
                <c:pt idx="811">
                  <c:v>44764</c:v>
                </c:pt>
                <c:pt idx="812">
                  <c:v>44771</c:v>
                </c:pt>
                <c:pt idx="813">
                  <c:v>44778</c:v>
                </c:pt>
                <c:pt idx="814">
                  <c:v>44785</c:v>
                </c:pt>
                <c:pt idx="815">
                  <c:v>44792</c:v>
                </c:pt>
                <c:pt idx="816">
                  <c:v>44799</c:v>
                </c:pt>
                <c:pt idx="817">
                  <c:v>44806</c:v>
                </c:pt>
                <c:pt idx="818">
                  <c:v>44813</c:v>
                </c:pt>
                <c:pt idx="819">
                  <c:v>44820</c:v>
                </c:pt>
                <c:pt idx="820">
                  <c:v>44827</c:v>
                </c:pt>
                <c:pt idx="821">
                  <c:v>44834</c:v>
                </c:pt>
                <c:pt idx="822">
                  <c:v>44841</c:v>
                </c:pt>
                <c:pt idx="823">
                  <c:v>44848</c:v>
                </c:pt>
                <c:pt idx="824">
                  <c:v>44855</c:v>
                </c:pt>
                <c:pt idx="825">
                  <c:v>44862</c:v>
                </c:pt>
                <c:pt idx="826">
                  <c:v>44869</c:v>
                </c:pt>
                <c:pt idx="827">
                  <c:v>44876</c:v>
                </c:pt>
                <c:pt idx="828">
                  <c:v>44883</c:v>
                </c:pt>
                <c:pt idx="829">
                  <c:v>44890</c:v>
                </c:pt>
                <c:pt idx="830">
                  <c:v>44897</c:v>
                </c:pt>
                <c:pt idx="831">
                  <c:v>44904</c:v>
                </c:pt>
                <c:pt idx="832">
                  <c:v>44911</c:v>
                </c:pt>
                <c:pt idx="833">
                  <c:v>44918</c:v>
                </c:pt>
                <c:pt idx="834">
                  <c:v>44925</c:v>
                </c:pt>
                <c:pt idx="835">
                  <c:v>44932</c:v>
                </c:pt>
                <c:pt idx="836">
                  <c:v>44939</c:v>
                </c:pt>
                <c:pt idx="837">
                  <c:v>44946</c:v>
                </c:pt>
                <c:pt idx="838">
                  <c:v>44953</c:v>
                </c:pt>
                <c:pt idx="839">
                  <c:v>44960</c:v>
                </c:pt>
                <c:pt idx="840">
                  <c:v>44967</c:v>
                </c:pt>
                <c:pt idx="841">
                  <c:v>44974</c:v>
                </c:pt>
                <c:pt idx="842">
                  <c:v>44981</c:v>
                </c:pt>
                <c:pt idx="843">
                  <c:v>44988</c:v>
                </c:pt>
                <c:pt idx="844">
                  <c:v>44995</c:v>
                </c:pt>
                <c:pt idx="845">
                  <c:v>45002</c:v>
                </c:pt>
                <c:pt idx="846">
                  <c:v>45009</c:v>
                </c:pt>
                <c:pt idx="847">
                  <c:v>45016</c:v>
                </c:pt>
                <c:pt idx="848">
                  <c:v>45023</c:v>
                </c:pt>
                <c:pt idx="849">
                  <c:v>45030</c:v>
                </c:pt>
                <c:pt idx="850">
                  <c:v>45037</c:v>
                </c:pt>
                <c:pt idx="851">
                  <c:v>45044</c:v>
                </c:pt>
                <c:pt idx="852">
                  <c:v>45051</c:v>
                </c:pt>
                <c:pt idx="853">
                  <c:v>45058</c:v>
                </c:pt>
                <c:pt idx="854">
                  <c:v>45065</c:v>
                </c:pt>
                <c:pt idx="855">
                  <c:v>45072</c:v>
                </c:pt>
                <c:pt idx="856">
                  <c:v>45079</c:v>
                </c:pt>
                <c:pt idx="857">
                  <c:v>45086</c:v>
                </c:pt>
                <c:pt idx="858">
                  <c:v>45093</c:v>
                </c:pt>
                <c:pt idx="859">
                  <c:v>45100</c:v>
                </c:pt>
                <c:pt idx="860">
                  <c:v>45107</c:v>
                </c:pt>
                <c:pt idx="861">
                  <c:v>45114</c:v>
                </c:pt>
                <c:pt idx="862">
                  <c:v>45121</c:v>
                </c:pt>
                <c:pt idx="863">
                  <c:v>45128</c:v>
                </c:pt>
                <c:pt idx="864">
                  <c:v>45135</c:v>
                </c:pt>
                <c:pt idx="865">
                  <c:v>45142</c:v>
                </c:pt>
                <c:pt idx="866">
                  <c:v>45149</c:v>
                </c:pt>
                <c:pt idx="867">
                  <c:v>45156</c:v>
                </c:pt>
                <c:pt idx="868">
                  <c:v>45163</c:v>
                </c:pt>
                <c:pt idx="869">
                  <c:v>45170</c:v>
                </c:pt>
                <c:pt idx="870">
                  <c:v>45177</c:v>
                </c:pt>
                <c:pt idx="871">
                  <c:v>45184</c:v>
                </c:pt>
                <c:pt idx="872">
                  <c:v>45191</c:v>
                </c:pt>
                <c:pt idx="873">
                  <c:v>45198</c:v>
                </c:pt>
                <c:pt idx="874">
                  <c:v>45205</c:v>
                </c:pt>
                <c:pt idx="875">
                  <c:v>45212</c:v>
                </c:pt>
                <c:pt idx="876">
                  <c:v>45219</c:v>
                </c:pt>
                <c:pt idx="877">
                  <c:v>45226</c:v>
                </c:pt>
                <c:pt idx="878">
                  <c:v>45233</c:v>
                </c:pt>
                <c:pt idx="879">
                  <c:v>45240</c:v>
                </c:pt>
                <c:pt idx="880">
                  <c:v>45247</c:v>
                </c:pt>
                <c:pt idx="881">
                  <c:v>45254</c:v>
                </c:pt>
                <c:pt idx="882">
                  <c:v>45261</c:v>
                </c:pt>
                <c:pt idx="883">
                  <c:v>45268</c:v>
                </c:pt>
                <c:pt idx="884">
                  <c:v>45275</c:v>
                </c:pt>
                <c:pt idx="885">
                  <c:v>45282</c:v>
                </c:pt>
                <c:pt idx="886">
                  <c:v>45289</c:v>
                </c:pt>
                <c:pt idx="887">
                  <c:v>45296</c:v>
                </c:pt>
                <c:pt idx="888">
                  <c:v>45303</c:v>
                </c:pt>
                <c:pt idx="889">
                  <c:v>45310</c:v>
                </c:pt>
                <c:pt idx="890">
                  <c:v>45317</c:v>
                </c:pt>
                <c:pt idx="891">
                  <c:v>45324</c:v>
                </c:pt>
                <c:pt idx="892">
                  <c:v>45331</c:v>
                </c:pt>
                <c:pt idx="893">
                  <c:v>45338</c:v>
                </c:pt>
                <c:pt idx="894">
                  <c:v>45345</c:v>
                </c:pt>
                <c:pt idx="895">
                  <c:v>45352</c:v>
                </c:pt>
                <c:pt idx="896">
                  <c:v>45359</c:v>
                </c:pt>
                <c:pt idx="897">
                  <c:v>45366</c:v>
                </c:pt>
                <c:pt idx="898">
                  <c:v>45373</c:v>
                </c:pt>
                <c:pt idx="899">
                  <c:v>45380</c:v>
                </c:pt>
                <c:pt idx="900">
                  <c:v>45387</c:v>
                </c:pt>
                <c:pt idx="901">
                  <c:v>45394</c:v>
                </c:pt>
                <c:pt idx="902">
                  <c:v>45401</c:v>
                </c:pt>
                <c:pt idx="903">
                  <c:v>45408</c:v>
                </c:pt>
                <c:pt idx="904">
                  <c:v>45415</c:v>
                </c:pt>
                <c:pt idx="905">
                  <c:v>45422</c:v>
                </c:pt>
                <c:pt idx="906">
                  <c:v>45429</c:v>
                </c:pt>
                <c:pt idx="907">
                  <c:v>45436</c:v>
                </c:pt>
                <c:pt idx="908">
                  <c:v>45443</c:v>
                </c:pt>
                <c:pt idx="909">
                  <c:v>45450</c:v>
                </c:pt>
                <c:pt idx="910">
                  <c:v>45457</c:v>
                </c:pt>
                <c:pt idx="911">
                  <c:v>45464</c:v>
                </c:pt>
                <c:pt idx="912">
                  <c:v>45471</c:v>
                </c:pt>
                <c:pt idx="913">
                  <c:v>45478</c:v>
                </c:pt>
                <c:pt idx="914">
                  <c:v>45485</c:v>
                </c:pt>
                <c:pt idx="915">
                  <c:v>45492</c:v>
                </c:pt>
                <c:pt idx="916">
                  <c:v>45499</c:v>
                </c:pt>
                <c:pt idx="917">
                  <c:v>45506</c:v>
                </c:pt>
                <c:pt idx="918">
                  <c:v>45513</c:v>
                </c:pt>
                <c:pt idx="919">
                  <c:v>45520</c:v>
                </c:pt>
                <c:pt idx="920">
                  <c:v>45527</c:v>
                </c:pt>
                <c:pt idx="921">
                  <c:v>45534</c:v>
                </c:pt>
                <c:pt idx="922">
                  <c:v>45541</c:v>
                </c:pt>
                <c:pt idx="923">
                  <c:v>45548</c:v>
                </c:pt>
                <c:pt idx="924">
                  <c:v>45555</c:v>
                </c:pt>
                <c:pt idx="925">
                  <c:v>45562</c:v>
                </c:pt>
                <c:pt idx="926">
                  <c:v>45569</c:v>
                </c:pt>
                <c:pt idx="927">
                  <c:v>45576</c:v>
                </c:pt>
                <c:pt idx="928">
                  <c:v>45583</c:v>
                </c:pt>
                <c:pt idx="929">
                  <c:v>45590</c:v>
                </c:pt>
                <c:pt idx="930">
                  <c:v>45597</c:v>
                </c:pt>
                <c:pt idx="931">
                  <c:v>45604</c:v>
                </c:pt>
                <c:pt idx="932">
                  <c:v>45611</c:v>
                </c:pt>
                <c:pt idx="933">
                  <c:v>45618</c:v>
                </c:pt>
                <c:pt idx="934">
                  <c:v>45625</c:v>
                </c:pt>
                <c:pt idx="935">
                  <c:v>45632</c:v>
                </c:pt>
                <c:pt idx="936">
                  <c:v>45639</c:v>
                </c:pt>
                <c:pt idx="937">
                  <c:v>45646</c:v>
                </c:pt>
                <c:pt idx="938">
                  <c:v>45653</c:v>
                </c:pt>
                <c:pt idx="939">
                  <c:v>45660</c:v>
                </c:pt>
                <c:pt idx="940">
                  <c:v>45667</c:v>
                </c:pt>
                <c:pt idx="941">
                  <c:v>45674</c:v>
                </c:pt>
                <c:pt idx="942">
                  <c:v>45681</c:v>
                </c:pt>
                <c:pt idx="943">
                  <c:v>45688</c:v>
                </c:pt>
                <c:pt idx="944">
                  <c:v>45695</c:v>
                </c:pt>
                <c:pt idx="945">
                  <c:v>45702</c:v>
                </c:pt>
                <c:pt idx="946">
                  <c:v>45709</c:v>
                </c:pt>
                <c:pt idx="947">
                  <c:v>45716</c:v>
                </c:pt>
                <c:pt idx="948">
                  <c:v>45723</c:v>
                </c:pt>
                <c:pt idx="949">
                  <c:v>45730</c:v>
                </c:pt>
                <c:pt idx="950">
                  <c:v>45737</c:v>
                </c:pt>
                <c:pt idx="951">
                  <c:v>45744</c:v>
                </c:pt>
                <c:pt idx="952">
                  <c:v>45751</c:v>
                </c:pt>
                <c:pt idx="953">
                  <c:v>45758</c:v>
                </c:pt>
                <c:pt idx="954">
                  <c:v>45765</c:v>
                </c:pt>
                <c:pt idx="955">
                  <c:v>45772</c:v>
                </c:pt>
                <c:pt idx="956">
                  <c:v>45779</c:v>
                </c:pt>
                <c:pt idx="957">
                  <c:v>45786</c:v>
                </c:pt>
                <c:pt idx="958">
                  <c:v>45793</c:v>
                </c:pt>
                <c:pt idx="959">
                  <c:v>45800</c:v>
                </c:pt>
                <c:pt idx="960">
                  <c:v>45807</c:v>
                </c:pt>
                <c:pt idx="961">
                  <c:v>45814</c:v>
                </c:pt>
                <c:pt idx="962">
                  <c:v>45821</c:v>
                </c:pt>
                <c:pt idx="963">
                  <c:v>45828</c:v>
                </c:pt>
                <c:pt idx="964">
                  <c:v>45835</c:v>
                </c:pt>
                <c:pt idx="965">
                  <c:v>45842</c:v>
                </c:pt>
                <c:pt idx="966">
                  <c:v>45849</c:v>
                </c:pt>
                <c:pt idx="967">
                  <c:v>45856</c:v>
                </c:pt>
                <c:pt idx="968">
                  <c:v>45863</c:v>
                </c:pt>
                <c:pt idx="969">
                  <c:v>45870</c:v>
                </c:pt>
                <c:pt idx="970">
                  <c:v>45877</c:v>
                </c:pt>
                <c:pt idx="971">
                  <c:v>45884</c:v>
                </c:pt>
                <c:pt idx="972">
                  <c:v>45891</c:v>
                </c:pt>
                <c:pt idx="973">
                  <c:v>45898</c:v>
                </c:pt>
                <c:pt idx="974">
                  <c:v>45905</c:v>
                </c:pt>
                <c:pt idx="975">
                  <c:v>45912</c:v>
                </c:pt>
                <c:pt idx="976">
                  <c:v>45919</c:v>
                </c:pt>
                <c:pt idx="977">
                  <c:v>45926</c:v>
                </c:pt>
                <c:pt idx="978">
                  <c:v>45933</c:v>
                </c:pt>
                <c:pt idx="979">
                  <c:v>45940</c:v>
                </c:pt>
                <c:pt idx="980">
                  <c:v>45947</c:v>
                </c:pt>
                <c:pt idx="981">
                  <c:v>45954</c:v>
                </c:pt>
                <c:pt idx="982">
                  <c:v>45961</c:v>
                </c:pt>
                <c:pt idx="983">
                  <c:v>45968</c:v>
                </c:pt>
                <c:pt idx="984">
                  <c:v>45975</c:v>
                </c:pt>
                <c:pt idx="985">
                  <c:v>45982</c:v>
                </c:pt>
                <c:pt idx="986">
                  <c:v>45989</c:v>
                </c:pt>
                <c:pt idx="987">
                  <c:v>45996</c:v>
                </c:pt>
                <c:pt idx="988">
                  <c:v>46003</c:v>
                </c:pt>
                <c:pt idx="989">
                  <c:v>46010</c:v>
                </c:pt>
                <c:pt idx="990">
                  <c:v>46017</c:v>
                </c:pt>
                <c:pt idx="991">
                  <c:v>46024</c:v>
                </c:pt>
                <c:pt idx="992">
                  <c:v>46031</c:v>
                </c:pt>
                <c:pt idx="993">
                  <c:v>46038</c:v>
                </c:pt>
                <c:pt idx="994">
                  <c:v>46045</c:v>
                </c:pt>
                <c:pt idx="995">
                  <c:v>46052</c:v>
                </c:pt>
                <c:pt idx="996">
                  <c:v>46059</c:v>
                </c:pt>
                <c:pt idx="997">
                  <c:v>46066</c:v>
                </c:pt>
                <c:pt idx="998">
                  <c:v>46073</c:v>
                </c:pt>
                <c:pt idx="999">
                  <c:v>46080</c:v>
                </c:pt>
                <c:pt idx="1000">
                  <c:v>46087</c:v>
                </c:pt>
                <c:pt idx="1001">
                  <c:v>46094</c:v>
                </c:pt>
                <c:pt idx="1002">
                  <c:v>46101</c:v>
                </c:pt>
                <c:pt idx="1003">
                  <c:v>46108</c:v>
                </c:pt>
                <c:pt idx="1004">
                  <c:v>46115</c:v>
                </c:pt>
                <c:pt idx="1005">
                  <c:v>46122</c:v>
                </c:pt>
                <c:pt idx="1006">
                  <c:v>46129</c:v>
                </c:pt>
                <c:pt idx="1007">
                  <c:v>46136</c:v>
                </c:pt>
                <c:pt idx="1008">
                  <c:v>46143</c:v>
                </c:pt>
                <c:pt idx="1009">
                  <c:v>46150</c:v>
                </c:pt>
                <c:pt idx="1010">
                  <c:v>46157</c:v>
                </c:pt>
                <c:pt idx="1011">
                  <c:v>46164</c:v>
                </c:pt>
                <c:pt idx="1012">
                  <c:v>46171</c:v>
                </c:pt>
                <c:pt idx="1013">
                  <c:v>46178</c:v>
                </c:pt>
                <c:pt idx="1014">
                  <c:v>46185</c:v>
                </c:pt>
                <c:pt idx="1015">
                  <c:v>46192</c:v>
                </c:pt>
                <c:pt idx="1016">
                  <c:v>46199</c:v>
                </c:pt>
                <c:pt idx="1017">
                  <c:v>46206</c:v>
                </c:pt>
                <c:pt idx="1018">
                  <c:v>46213</c:v>
                </c:pt>
                <c:pt idx="1019">
                  <c:v>46220</c:v>
                </c:pt>
                <c:pt idx="1020">
                  <c:v>46227</c:v>
                </c:pt>
                <c:pt idx="1021">
                  <c:v>46234</c:v>
                </c:pt>
                <c:pt idx="1022">
                  <c:v>46241</c:v>
                </c:pt>
                <c:pt idx="1023">
                  <c:v>46248</c:v>
                </c:pt>
                <c:pt idx="1024">
                  <c:v>46255</c:v>
                </c:pt>
                <c:pt idx="1025">
                  <c:v>46262</c:v>
                </c:pt>
                <c:pt idx="1026">
                  <c:v>46269</c:v>
                </c:pt>
                <c:pt idx="1027">
                  <c:v>46276</c:v>
                </c:pt>
                <c:pt idx="1028">
                  <c:v>46283</c:v>
                </c:pt>
                <c:pt idx="1029">
                  <c:v>46290</c:v>
                </c:pt>
                <c:pt idx="1030">
                  <c:v>46297</c:v>
                </c:pt>
              </c:numCache>
            </c:numRef>
          </c:cat>
          <c:val>
            <c:numRef>
              <c:f>Indice!$AI$58:$AI$1500</c:f>
              <c:numCache>
                <c:formatCode>General</c:formatCode>
                <c:ptCount val="1443"/>
                <c:pt idx="0">
                  <c:v>0.77460807985081614</c:v>
                </c:pt>
                <c:pt idx="1">
                  <c:v>0.76954013101213437</c:v>
                </c:pt>
                <c:pt idx="2">
                  <c:v>0.76095704784532903</c:v>
                </c:pt>
                <c:pt idx="3">
                  <c:v>0.75456625465761229</c:v>
                </c:pt>
                <c:pt idx="4">
                  <c:v>0.75083907914721826</c:v>
                </c:pt>
                <c:pt idx="5">
                  <c:v>0.74312840934096969</c:v>
                </c:pt>
                <c:pt idx="6">
                  <c:v>0.75938378038317178</c:v>
                </c:pt>
                <c:pt idx="7">
                  <c:v>0.75706607705085005</c:v>
                </c:pt>
                <c:pt idx="8">
                  <c:v>0.75987923985205363</c:v>
                </c:pt>
                <c:pt idx="9">
                  <c:v>0.76322613091860647</c:v>
                </c:pt>
                <c:pt idx="10">
                  <c:v>0.78141663862260113</c:v>
                </c:pt>
                <c:pt idx="11">
                  <c:v>0.763314282436372</c:v>
                </c:pt>
                <c:pt idx="12">
                  <c:v>0.76985544840162323</c:v>
                </c:pt>
                <c:pt idx="13">
                  <c:v>0.77334002935591084</c:v>
                </c:pt>
                <c:pt idx="14">
                  <c:v>0.76448024233743095</c:v>
                </c:pt>
                <c:pt idx="15">
                  <c:v>0.76547731467727542</c:v>
                </c:pt>
                <c:pt idx="16">
                  <c:v>0.76229884993583819</c:v>
                </c:pt>
                <c:pt idx="17">
                  <c:v>0.76632429550389225</c:v>
                </c:pt>
                <c:pt idx="18">
                  <c:v>0.78854414972369091</c:v>
                </c:pt>
                <c:pt idx="19">
                  <c:v>0.78992103625380672</c:v>
                </c:pt>
                <c:pt idx="20">
                  <c:v>0.82448845497871104</c:v>
                </c:pt>
                <c:pt idx="21">
                  <c:v>0.85027781427900129</c:v>
                </c:pt>
                <c:pt idx="22">
                  <c:v>0.87565257346498127</c:v>
                </c:pt>
                <c:pt idx="23">
                  <c:v>0.86956890101888318</c:v>
                </c:pt>
                <c:pt idx="24">
                  <c:v>0.87502134102655993</c:v>
                </c:pt>
                <c:pt idx="25">
                  <c:v>0.87587424174822925</c:v>
                </c:pt>
                <c:pt idx="26">
                  <c:v>0.8847275357830896</c:v>
                </c:pt>
                <c:pt idx="27">
                  <c:v>0.86004458860996136</c:v>
                </c:pt>
                <c:pt idx="28">
                  <c:v>0.84177373828123758</c:v>
                </c:pt>
                <c:pt idx="29">
                  <c:v>0.8394168330291677</c:v>
                </c:pt>
                <c:pt idx="30">
                  <c:v>0.87743084327446352</c:v>
                </c:pt>
                <c:pt idx="31">
                  <c:v>0.85409324675036158</c:v>
                </c:pt>
                <c:pt idx="32">
                  <c:v>0.89010515882227736</c:v>
                </c:pt>
                <c:pt idx="33">
                  <c:v>0.88475925256666099</c:v>
                </c:pt>
                <c:pt idx="34">
                  <c:v>0.88472437869364029</c:v>
                </c:pt>
                <c:pt idx="35">
                  <c:v>0.91685877042186159</c:v>
                </c:pt>
                <c:pt idx="36">
                  <c:v>0.92277884282521716</c:v>
                </c:pt>
                <c:pt idx="37">
                  <c:v>0.90134854709734435</c:v>
                </c:pt>
                <c:pt idx="38">
                  <c:v>0.90779680874270918</c:v>
                </c:pt>
                <c:pt idx="39">
                  <c:v>0.91716854765918243</c:v>
                </c:pt>
                <c:pt idx="40">
                  <c:v>0.92076559400509894</c:v>
                </c:pt>
                <c:pt idx="41">
                  <c:v>0.94336158153099214</c:v>
                </c:pt>
                <c:pt idx="42">
                  <c:v>0.94092459769885373</c:v>
                </c:pt>
                <c:pt idx="43">
                  <c:v>0.92487851897091555</c:v>
                </c:pt>
                <c:pt idx="44">
                  <c:v>0.92478834009345667</c:v>
                </c:pt>
                <c:pt idx="45">
                  <c:v>0.92038470828758956</c:v>
                </c:pt>
                <c:pt idx="46">
                  <c:v>0.91173977148207352</c:v>
                </c:pt>
                <c:pt idx="47">
                  <c:v>0.93525049601746524</c:v>
                </c:pt>
                <c:pt idx="48">
                  <c:v>0.93524515555430143</c:v>
                </c:pt>
                <c:pt idx="49">
                  <c:v>0.94339938423355252</c:v>
                </c:pt>
                <c:pt idx="50">
                  <c:v>0.91881373329070215</c:v>
                </c:pt>
                <c:pt idx="51">
                  <c:v>0.91493206202593258</c:v>
                </c:pt>
                <c:pt idx="52">
                  <c:v>0.93337243683327076</c:v>
                </c:pt>
                <c:pt idx="53">
                  <c:v>0.97415777211896226</c:v>
                </c:pt>
                <c:pt idx="54">
                  <c:v>0.99112353687999299</c:v>
                </c:pt>
                <c:pt idx="55">
                  <c:v>1.0172088445816378</c:v>
                </c:pt>
                <c:pt idx="56">
                  <c:v>0.97896379112679965</c:v>
                </c:pt>
                <c:pt idx="57">
                  <c:v>0.99179364005968562</c:v>
                </c:pt>
                <c:pt idx="58">
                  <c:v>0.99197290684497064</c:v>
                </c:pt>
                <c:pt idx="59">
                  <c:v>0.96569582290554001</c:v>
                </c:pt>
                <c:pt idx="60">
                  <c:v>0.94415783432644407</c:v>
                </c:pt>
                <c:pt idx="61">
                  <c:v>0.9556066100317564</c:v>
                </c:pt>
                <c:pt idx="62">
                  <c:v>0.95894428977316848</c:v>
                </c:pt>
                <c:pt idx="63">
                  <c:v>0.97032067159427293</c:v>
                </c:pt>
                <c:pt idx="64">
                  <c:v>0.97043891998765053</c:v>
                </c:pt>
                <c:pt idx="65">
                  <c:v>0.94926894209257107</c:v>
                </c:pt>
                <c:pt idx="66">
                  <c:v>0.92939602845166325</c:v>
                </c:pt>
                <c:pt idx="67">
                  <c:v>0.93521597239552878</c:v>
                </c:pt>
                <c:pt idx="68">
                  <c:v>0.96659434463156002</c:v>
                </c:pt>
                <c:pt idx="69">
                  <c:v>0.95016141670222254</c:v>
                </c:pt>
                <c:pt idx="70">
                  <c:v>0.97275347273635182</c:v>
                </c:pt>
                <c:pt idx="71">
                  <c:v>0.96376914516856182</c:v>
                </c:pt>
                <c:pt idx="72">
                  <c:v>0.99201382175538133</c:v>
                </c:pt>
                <c:pt idx="73">
                  <c:v>1.0047536745440373</c:v>
                </c:pt>
                <c:pt idx="74">
                  <c:v>1.0111489774934896</c:v>
                </c:pt>
                <c:pt idx="75">
                  <c:v>1.0398334519602181</c:v>
                </c:pt>
                <c:pt idx="76">
                  <c:v>1.0123480564095619</c:v>
                </c:pt>
                <c:pt idx="77">
                  <c:v>1.0090838185082855</c:v>
                </c:pt>
                <c:pt idx="78">
                  <c:v>0.98008449937282494</c:v>
                </c:pt>
                <c:pt idx="79">
                  <c:v>0.99355975702260579</c:v>
                </c:pt>
                <c:pt idx="80">
                  <c:v>0.98829310987219021</c:v>
                </c:pt>
                <c:pt idx="81">
                  <c:v>0.96934574044102251</c:v>
                </c:pt>
                <c:pt idx="82">
                  <c:v>0.99483722425611365</c:v>
                </c:pt>
                <c:pt idx="83">
                  <c:v>1.0007555850032643</c:v>
                </c:pt>
                <c:pt idx="84">
                  <c:v>1.015614755880377</c:v>
                </c:pt>
                <c:pt idx="85">
                  <c:v>1.0371904299776427</c:v>
                </c:pt>
                <c:pt idx="86">
                  <c:v>0.97913400880558321</c:v>
                </c:pt>
                <c:pt idx="87">
                  <c:v>1.0452705903313897</c:v>
                </c:pt>
                <c:pt idx="88">
                  <c:v>1.0423952945618804</c:v>
                </c:pt>
                <c:pt idx="89">
                  <c:v>1.049593749048525</c:v>
                </c:pt>
                <c:pt idx="90">
                  <c:v>1.0382945222393514</c:v>
                </c:pt>
                <c:pt idx="91">
                  <c:v>1.0734473275682483</c:v>
                </c:pt>
                <c:pt idx="92">
                  <c:v>1.0849279998518009</c:v>
                </c:pt>
                <c:pt idx="93">
                  <c:v>1.0799953060469587</c:v>
                </c:pt>
                <c:pt idx="94">
                  <c:v>1.226250714993163</c:v>
                </c:pt>
                <c:pt idx="95">
                  <c:v>1.232802114553694</c:v>
                </c:pt>
                <c:pt idx="96">
                  <c:v>1.1954829264840039</c:v>
                </c:pt>
                <c:pt idx="97">
                  <c:v>1.179912191023095</c:v>
                </c:pt>
                <c:pt idx="98">
                  <c:v>1.2517827755948137</c:v>
                </c:pt>
                <c:pt idx="99">
                  <c:v>1.0796584890194065</c:v>
                </c:pt>
                <c:pt idx="100">
                  <c:v>1.0260626785756799</c:v>
                </c:pt>
                <c:pt idx="101">
                  <c:v>1.050489574712886</c:v>
                </c:pt>
                <c:pt idx="102">
                  <c:v>1.0114535939799667</c:v>
                </c:pt>
                <c:pt idx="103">
                  <c:v>0.99325128530446993</c:v>
                </c:pt>
                <c:pt idx="104">
                  <c:v>0.93745237646884561</c:v>
                </c:pt>
                <c:pt idx="105">
                  <c:v>0.86375959547209014</c:v>
                </c:pt>
                <c:pt idx="106">
                  <c:v>0.87049499202592728</c:v>
                </c:pt>
                <c:pt idx="107">
                  <c:v>0.8618778184651178</c:v>
                </c:pt>
                <c:pt idx="108">
                  <c:v>0.86389198398482903</c:v>
                </c:pt>
                <c:pt idx="109">
                  <c:v>0.77722906334895159</c:v>
                </c:pt>
                <c:pt idx="110">
                  <c:v>0.76885174792681321</c:v>
                </c:pt>
                <c:pt idx="111">
                  <c:v>0.73001744090248788</c:v>
                </c:pt>
                <c:pt idx="112">
                  <c:v>0.70435690711036325</c:v>
                </c:pt>
                <c:pt idx="113">
                  <c:v>0.67224541924027525</c:v>
                </c:pt>
                <c:pt idx="114">
                  <c:v>0.61802715710201217</c:v>
                </c:pt>
                <c:pt idx="115">
                  <c:v>0.61092499165232483</c:v>
                </c:pt>
                <c:pt idx="116">
                  <c:v>0.61718271549844939</c:v>
                </c:pt>
                <c:pt idx="117">
                  <c:v>0.59140128253773094</c:v>
                </c:pt>
                <c:pt idx="118">
                  <c:v>0.60145583915896317</c:v>
                </c:pt>
                <c:pt idx="119">
                  <c:v>0.58417516272533487</c:v>
                </c:pt>
                <c:pt idx="120">
                  <c:v>0.54641009203336999</c:v>
                </c:pt>
                <c:pt idx="121">
                  <c:v>0.55340464817230939</c:v>
                </c:pt>
                <c:pt idx="122">
                  <c:v>0.5702634847471183</c:v>
                </c:pt>
                <c:pt idx="123">
                  <c:v>0.58965202045424436</c:v>
                </c:pt>
                <c:pt idx="124">
                  <c:v>0.58255110446306735</c:v>
                </c:pt>
                <c:pt idx="125">
                  <c:v>0.48671756142882705</c:v>
                </c:pt>
                <c:pt idx="126">
                  <c:v>0.50171832518277326</c:v>
                </c:pt>
                <c:pt idx="127">
                  <c:v>0.55325791996788731</c:v>
                </c:pt>
                <c:pt idx="128">
                  <c:v>0.57015788612863172</c:v>
                </c:pt>
                <c:pt idx="129">
                  <c:v>0.58886555047026368</c:v>
                </c:pt>
                <c:pt idx="130">
                  <c:v>0.64292336128248184</c:v>
                </c:pt>
                <c:pt idx="131">
                  <c:v>0.63748449457575918</c:v>
                </c:pt>
                <c:pt idx="132">
                  <c:v>0.61657875455041222</c:v>
                </c:pt>
                <c:pt idx="133">
                  <c:v>0.61061518518261848</c:v>
                </c:pt>
                <c:pt idx="134">
                  <c:v>0.65236305648242299</c:v>
                </c:pt>
                <c:pt idx="135">
                  <c:v>0.66820830517562635</c:v>
                </c:pt>
                <c:pt idx="136">
                  <c:v>0.67185802895534907</c:v>
                </c:pt>
                <c:pt idx="137">
                  <c:v>0.65864169866190692</c:v>
                </c:pt>
                <c:pt idx="138">
                  <c:v>0.66081665224761121</c:v>
                </c:pt>
                <c:pt idx="139">
                  <c:v>0.70029511232908159</c:v>
                </c:pt>
                <c:pt idx="140">
                  <c:v>0.69282385445776595</c:v>
                </c:pt>
                <c:pt idx="141">
                  <c:v>0.71412808616367274</c:v>
                </c:pt>
                <c:pt idx="142">
                  <c:v>0.76861364308759839</c:v>
                </c:pt>
                <c:pt idx="143">
                  <c:v>0.76885280144967083</c:v>
                </c:pt>
                <c:pt idx="144">
                  <c:v>0.72987145487420479</c:v>
                </c:pt>
                <c:pt idx="145">
                  <c:v>0.70952844952057992</c:v>
                </c:pt>
                <c:pt idx="146">
                  <c:v>0.72748289029767199</c:v>
                </c:pt>
                <c:pt idx="147">
                  <c:v>0.70801382716417771</c:v>
                </c:pt>
                <c:pt idx="148">
                  <c:v>0.70656456463421868</c:v>
                </c:pt>
                <c:pt idx="149">
                  <c:v>0.7093085192268791</c:v>
                </c:pt>
                <c:pt idx="150">
                  <c:v>0.70717230207612736</c:v>
                </c:pt>
                <c:pt idx="151">
                  <c:v>0.68943684501200542</c:v>
                </c:pt>
                <c:pt idx="152">
                  <c:v>0.71811852912605156</c:v>
                </c:pt>
                <c:pt idx="153">
                  <c:v>0.72982682677953237</c:v>
                </c:pt>
                <c:pt idx="154">
                  <c:v>0.72036964784200475</c:v>
                </c:pt>
                <c:pt idx="155">
                  <c:v>0.7529885936847498</c:v>
                </c:pt>
                <c:pt idx="156">
                  <c:v>0.81373347299778098</c:v>
                </c:pt>
                <c:pt idx="157">
                  <c:v>0.80924497479778212</c:v>
                </c:pt>
                <c:pt idx="158">
                  <c:v>0.78550704018381867</c:v>
                </c:pt>
                <c:pt idx="159">
                  <c:v>0.79942636433040537</c:v>
                </c:pt>
                <c:pt idx="160">
                  <c:v>0.79373686289797274</c:v>
                </c:pt>
                <c:pt idx="161">
                  <c:v>0.80132860795598304</c:v>
                </c:pt>
                <c:pt idx="162">
                  <c:v>0.78736156505541122</c:v>
                </c:pt>
                <c:pt idx="163">
                  <c:v>0.76242404622167048</c:v>
                </c:pt>
                <c:pt idx="164">
                  <c:v>0.79709165025539974</c:v>
                </c:pt>
                <c:pt idx="165">
                  <c:v>0.79731972187679268</c:v>
                </c:pt>
                <c:pt idx="166">
                  <c:v>0.80033133968067993</c:v>
                </c:pt>
                <c:pt idx="167">
                  <c:v>0.78678675315465874</c:v>
                </c:pt>
                <c:pt idx="168">
                  <c:v>0.79780282537368186</c:v>
                </c:pt>
                <c:pt idx="169">
                  <c:v>0.83850337953297016</c:v>
                </c:pt>
                <c:pt idx="170">
                  <c:v>0.85721353239571396</c:v>
                </c:pt>
                <c:pt idx="171">
                  <c:v>0.86701994671977434</c:v>
                </c:pt>
                <c:pt idx="172">
                  <c:v>0.89467452388439728</c:v>
                </c:pt>
                <c:pt idx="173">
                  <c:v>0.94201274467606333</c:v>
                </c:pt>
                <c:pt idx="174">
                  <c:v>0.88893194186921642</c:v>
                </c:pt>
                <c:pt idx="175">
                  <c:v>0.90692466797935345</c:v>
                </c:pt>
                <c:pt idx="176">
                  <c:v>0.8708787825035712</c:v>
                </c:pt>
                <c:pt idx="177">
                  <c:v>0.87849751635715478</c:v>
                </c:pt>
                <c:pt idx="178">
                  <c:v>0.88580221665237513</c:v>
                </c:pt>
                <c:pt idx="179">
                  <c:v>0.87217578394607187</c:v>
                </c:pt>
                <c:pt idx="180">
                  <c:v>0.88276323603438978</c:v>
                </c:pt>
                <c:pt idx="181">
                  <c:v>0.90173771778458367</c:v>
                </c:pt>
                <c:pt idx="182">
                  <c:v>0.90523609743303957</c:v>
                </c:pt>
                <c:pt idx="183">
                  <c:v>0.88637590243469666</c:v>
                </c:pt>
                <c:pt idx="184">
                  <c:v>0.88230799757824774</c:v>
                </c:pt>
                <c:pt idx="185">
                  <c:v>0.88125792866316621</c:v>
                </c:pt>
                <c:pt idx="186">
                  <c:v>0.8712368633150771</c:v>
                </c:pt>
                <c:pt idx="187">
                  <c:v>0.84753808005338771</c:v>
                </c:pt>
                <c:pt idx="188">
                  <c:v>0.8664919219176348</c:v>
                </c:pt>
                <c:pt idx="189">
                  <c:v>0.87075494614424354</c:v>
                </c:pt>
                <c:pt idx="190">
                  <c:v>0.87259839653763149</c:v>
                </c:pt>
                <c:pt idx="191">
                  <c:v>0.86829023205848621</c:v>
                </c:pt>
                <c:pt idx="192">
                  <c:v>0.83881300255586244</c:v>
                </c:pt>
                <c:pt idx="193">
                  <c:v>0.81867863777010208</c:v>
                </c:pt>
                <c:pt idx="194">
                  <c:v>0.80377099932051088</c:v>
                </c:pt>
                <c:pt idx="195">
                  <c:v>0.79816986572077964</c:v>
                </c:pt>
                <c:pt idx="196">
                  <c:v>0.82383405198059723</c:v>
                </c:pt>
                <c:pt idx="197">
                  <c:v>0.81327745719418454</c:v>
                </c:pt>
                <c:pt idx="198">
                  <c:v>0.79374880505817136</c:v>
                </c:pt>
                <c:pt idx="199">
                  <c:v>0.78130411475039208</c:v>
                </c:pt>
                <c:pt idx="200">
                  <c:v>0.7549856226691517</c:v>
                </c:pt>
                <c:pt idx="201">
                  <c:v>0.78207085369315832</c:v>
                </c:pt>
                <c:pt idx="202">
                  <c:v>0.7758515307981575</c:v>
                </c:pt>
                <c:pt idx="203">
                  <c:v>0.74387361122356999</c:v>
                </c:pt>
                <c:pt idx="204">
                  <c:v>0.71591727418446249</c:v>
                </c:pt>
                <c:pt idx="205">
                  <c:v>0.72591348476222017</c:v>
                </c:pt>
                <c:pt idx="206">
                  <c:v>0.77650871634511243</c:v>
                </c:pt>
                <c:pt idx="207">
                  <c:v>0.78078846618641917</c:v>
                </c:pt>
                <c:pt idx="208">
                  <c:v>0.78392877139244521</c:v>
                </c:pt>
                <c:pt idx="209">
                  <c:v>0.81482345731799799</c:v>
                </c:pt>
                <c:pt idx="210">
                  <c:v>0.81341407540840305</c:v>
                </c:pt>
                <c:pt idx="211">
                  <c:v>0.77716321782355846</c:v>
                </c:pt>
                <c:pt idx="212">
                  <c:v>0.78579165688225971</c:v>
                </c:pt>
                <c:pt idx="213">
                  <c:v>0.78957754223752419</c:v>
                </c:pt>
                <c:pt idx="214">
                  <c:v>0.77079613963441085</c:v>
                </c:pt>
                <c:pt idx="215">
                  <c:v>0.783695816743888</c:v>
                </c:pt>
                <c:pt idx="216">
                  <c:v>0.77256814137975582</c:v>
                </c:pt>
                <c:pt idx="217">
                  <c:v>0.7862233293584574</c:v>
                </c:pt>
                <c:pt idx="218">
                  <c:v>0.78057323612353202</c:v>
                </c:pt>
                <c:pt idx="219">
                  <c:v>0.77497338462703758</c:v>
                </c:pt>
                <c:pt idx="220">
                  <c:v>0.76070939097618806</c:v>
                </c:pt>
                <c:pt idx="221">
                  <c:v>0.75733323325015367</c:v>
                </c:pt>
                <c:pt idx="222">
                  <c:v>0.74967760426439478</c:v>
                </c:pt>
                <c:pt idx="223">
                  <c:v>0.78318012282670446</c:v>
                </c:pt>
                <c:pt idx="224">
                  <c:v>0.76596010869535602</c:v>
                </c:pt>
                <c:pt idx="225">
                  <c:v>0.77535609868419597</c:v>
                </c:pt>
                <c:pt idx="226">
                  <c:v>0.77972132451382625</c:v>
                </c:pt>
                <c:pt idx="227">
                  <c:v>0.76949531199222776</c:v>
                </c:pt>
                <c:pt idx="228">
                  <c:v>0.7650693047334175</c:v>
                </c:pt>
                <c:pt idx="229">
                  <c:v>0.74842406241064341</c:v>
                </c:pt>
                <c:pt idx="230">
                  <c:v>0.73395538368735158</c:v>
                </c:pt>
                <c:pt idx="231">
                  <c:v>0.70310529064533678</c:v>
                </c:pt>
                <c:pt idx="232">
                  <c:v>0.73563661311543149</c:v>
                </c:pt>
                <c:pt idx="233">
                  <c:v>0.74586457430011621</c:v>
                </c:pt>
                <c:pt idx="234">
                  <c:v>0.7392749162399419</c:v>
                </c:pt>
                <c:pt idx="235">
                  <c:v>0.75309283247779246</c:v>
                </c:pt>
                <c:pt idx="236">
                  <c:v>0.75217096419883012</c:v>
                </c:pt>
                <c:pt idx="237">
                  <c:v>0.77337704372578064</c:v>
                </c:pt>
                <c:pt idx="238">
                  <c:v>0.78567469833958703</c:v>
                </c:pt>
                <c:pt idx="239">
                  <c:v>0.76491831976787827</c:v>
                </c:pt>
                <c:pt idx="240">
                  <c:v>0.76970130407908566</c:v>
                </c:pt>
                <c:pt idx="241">
                  <c:v>0.81410743830157406</c:v>
                </c:pt>
                <c:pt idx="242">
                  <c:v>0.82223941942323497</c:v>
                </c:pt>
                <c:pt idx="243">
                  <c:v>0.79718161552301492</c:v>
                </c:pt>
                <c:pt idx="244">
                  <c:v>0.79661129183810575</c:v>
                </c:pt>
                <c:pt idx="245">
                  <c:v>0.7755946838355271</c:v>
                </c:pt>
                <c:pt idx="246">
                  <c:v>0.77487300998952968</c:v>
                </c:pt>
                <c:pt idx="247">
                  <c:v>0.75868122892115619</c:v>
                </c:pt>
                <c:pt idx="248">
                  <c:v>0.75330790365117772</c:v>
                </c:pt>
                <c:pt idx="249">
                  <c:v>0.76600348538457153</c:v>
                </c:pt>
                <c:pt idx="250">
                  <c:v>0.76566740060156702</c:v>
                </c:pt>
                <c:pt idx="251">
                  <c:v>0.77688063626643156</c:v>
                </c:pt>
                <c:pt idx="252">
                  <c:v>0.7664837773419928</c:v>
                </c:pt>
                <c:pt idx="253">
                  <c:v>0.74070618109619113</c:v>
                </c:pt>
                <c:pt idx="254">
                  <c:v>0.75606650966849986</c:v>
                </c:pt>
                <c:pt idx="255">
                  <c:v>0.75551441401905783</c:v>
                </c:pt>
                <c:pt idx="256">
                  <c:v>0.76752108049193568</c:v>
                </c:pt>
                <c:pt idx="257">
                  <c:v>0.76188060595623874</c:v>
                </c:pt>
                <c:pt idx="258">
                  <c:v>0.76886477792094443</c:v>
                </c:pt>
                <c:pt idx="259">
                  <c:v>0.77397161029836381</c:v>
                </c:pt>
                <c:pt idx="260">
                  <c:v>0.77950366150091976</c:v>
                </c:pt>
                <c:pt idx="261">
                  <c:v>0.79308368134175833</c:v>
                </c:pt>
                <c:pt idx="262">
                  <c:v>0.77244354495365775</c:v>
                </c:pt>
                <c:pt idx="263">
                  <c:v>0.77103180692374085</c:v>
                </c:pt>
                <c:pt idx="264">
                  <c:v>0.76108249387233107</c:v>
                </c:pt>
                <c:pt idx="265">
                  <c:v>0.78202592196861365</c:v>
                </c:pt>
                <c:pt idx="266">
                  <c:v>0.79438896368540868</c:v>
                </c:pt>
                <c:pt idx="267">
                  <c:v>0.75286019770104418</c:v>
                </c:pt>
                <c:pt idx="268">
                  <c:v>0.73677177920364467</c:v>
                </c:pt>
                <c:pt idx="269">
                  <c:v>0.73728360901399947</c:v>
                </c:pt>
                <c:pt idx="270">
                  <c:v>0.75820630984458848</c:v>
                </c:pt>
                <c:pt idx="271">
                  <c:v>0.7326246846340716</c:v>
                </c:pt>
                <c:pt idx="272">
                  <c:v>0.72342942827740531</c:v>
                </c:pt>
                <c:pt idx="273">
                  <c:v>0.72304887082227187</c:v>
                </c:pt>
                <c:pt idx="274">
                  <c:v>0.71862932852668449</c:v>
                </c:pt>
                <c:pt idx="275">
                  <c:v>0.70742416783851292</c:v>
                </c:pt>
                <c:pt idx="276">
                  <c:v>0.68306099587632119</c:v>
                </c:pt>
                <c:pt idx="277">
                  <c:v>0.7118807661961627</c:v>
                </c:pt>
                <c:pt idx="278">
                  <c:v>0.69360049027171133</c:v>
                </c:pt>
                <c:pt idx="279">
                  <c:v>0.71577249527224285</c:v>
                </c:pt>
                <c:pt idx="280">
                  <c:v>0.7447082471563865</c:v>
                </c:pt>
                <c:pt idx="281">
                  <c:v>0.83015093980016152</c:v>
                </c:pt>
                <c:pt idx="282">
                  <c:v>0.83601445832522969</c:v>
                </c:pt>
                <c:pt idx="283">
                  <c:v>0.86495536075540924</c:v>
                </c:pt>
                <c:pt idx="284">
                  <c:v>0.84735252763993152</c:v>
                </c:pt>
                <c:pt idx="285">
                  <c:v>0.84392496284633967</c:v>
                </c:pt>
                <c:pt idx="286">
                  <c:v>0.83181547769682673</c:v>
                </c:pt>
                <c:pt idx="287">
                  <c:v>0.82169334448713627</c:v>
                </c:pt>
                <c:pt idx="288">
                  <c:v>0.79164190106261578</c:v>
                </c:pt>
                <c:pt idx="289">
                  <c:v>0.79800761493663619</c:v>
                </c:pt>
                <c:pt idx="290">
                  <c:v>0.79067489578153016</c:v>
                </c:pt>
                <c:pt idx="291">
                  <c:v>0.77409406298509975</c:v>
                </c:pt>
                <c:pt idx="292">
                  <c:v>0.74603924496422225</c:v>
                </c:pt>
                <c:pt idx="293">
                  <c:v>0.71417953169824999</c:v>
                </c:pt>
                <c:pt idx="294">
                  <c:v>0.72083839820216744</c:v>
                </c:pt>
                <c:pt idx="295">
                  <c:v>0.71102334665802613</c:v>
                </c:pt>
                <c:pt idx="296">
                  <c:v>0.64738487935138589</c:v>
                </c:pt>
                <c:pt idx="297">
                  <c:v>0.67366284700865331</c:v>
                </c:pt>
                <c:pt idx="298">
                  <c:v>0.66638943102631776</c:v>
                </c:pt>
                <c:pt idx="299">
                  <c:v>0.6913673816021878</c:v>
                </c:pt>
                <c:pt idx="300">
                  <c:v>0.67294401880376675</c:v>
                </c:pt>
                <c:pt idx="301">
                  <c:v>0.66979923907661298</c:v>
                </c:pt>
                <c:pt idx="302">
                  <c:v>0.65202169638571505</c:v>
                </c:pt>
                <c:pt idx="303">
                  <c:v>0.6599891724394692</c:v>
                </c:pt>
                <c:pt idx="304">
                  <c:v>0.65453184822794142</c:v>
                </c:pt>
                <c:pt idx="305">
                  <c:v>0.64660546485805726</c:v>
                </c:pt>
                <c:pt idx="306">
                  <c:v>0.6473909668999398</c:v>
                </c:pt>
                <c:pt idx="307">
                  <c:v>0.63573836682596196</c:v>
                </c:pt>
                <c:pt idx="308">
                  <c:v>0.60913062690816289</c:v>
                </c:pt>
                <c:pt idx="309">
                  <c:v>0.62835310143058898</c:v>
                </c:pt>
                <c:pt idx="310">
                  <c:v>0.61643656461813456</c:v>
                </c:pt>
                <c:pt idx="311">
                  <c:v>0.63942379907201441</c:v>
                </c:pt>
                <c:pt idx="312">
                  <c:v>0.63260115545512319</c:v>
                </c:pt>
                <c:pt idx="313">
                  <c:v>0.64146888789650003</c:v>
                </c:pt>
                <c:pt idx="314">
                  <c:v>0.61984553687144484</c:v>
                </c:pt>
                <c:pt idx="315">
                  <c:v>0.63227445159986606</c:v>
                </c:pt>
                <c:pt idx="316">
                  <c:v>0.63553849785607852</c:v>
                </c:pt>
                <c:pt idx="317">
                  <c:v>0.62753375196103944</c:v>
                </c:pt>
                <c:pt idx="318">
                  <c:v>0.61178763359611277</c:v>
                </c:pt>
                <c:pt idx="319">
                  <c:v>0.65153769624618407</c:v>
                </c:pt>
                <c:pt idx="320">
                  <c:v>0.65156753419997016</c:v>
                </c:pt>
                <c:pt idx="321">
                  <c:v>0.64159921654023588</c:v>
                </c:pt>
                <c:pt idx="322">
                  <c:v>0.60874893013829146</c:v>
                </c:pt>
                <c:pt idx="323">
                  <c:v>0.60089584354063508</c:v>
                </c:pt>
                <c:pt idx="324">
                  <c:v>0.62255810156579183</c:v>
                </c:pt>
                <c:pt idx="325">
                  <c:v>0.62869766760097123</c:v>
                </c:pt>
                <c:pt idx="326">
                  <c:v>0.64113295747111809</c:v>
                </c:pt>
                <c:pt idx="327">
                  <c:v>0.6362437377310427</c:v>
                </c:pt>
                <c:pt idx="328">
                  <c:v>0.66484285174978874</c:v>
                </c:pt>
                <c:pt idx="329">
                  <c:v>0.70721820070927499</c:v>
                </c:pt>
                <c:pt idx="330">
                  <c:v>0.73360944745953305</c:v>
                </c:pt>
                <c:pt idx="331">
                  <c:v>0.73762783458701975</c:v>
                </c:pt>
                <c:pt idx="332">
                  <c:v>0.7171128612681209</c:v>
                </c:pt>
                <c:pt idx="333">
                  <c:v>0.71571133517900443</c:v>
                </c:pt>
                <c:pt idx="334">
                  <c:v>0.74887542604576585</c:v>
                </c:pt>
                <c:pt idx="335">
                  <c:v>0.72017624474061193</c:v>
                </c:pt>
                <c:pt idx="336">
                  <c:v>0.71144352718274328</c:v>
                </c:pt>
                <c:pt idx="337">
                  <c:v>0.7021724891959904</c:v>
                </c:pt>
                <c:pt idx="338">
                  <c:v>0.72220323249678253</c:v>
                </c:pt>
                <c:pt idx="339">
                  <c:v>0.73646413812397271</c:v>
                </c:pt>
                <c:pt idx="340">
                  <c:v>0.7427482554940894</c:v>
                </c:pt>
                <c:pt idx="341">
                  <c:v>0.71496402613650012</c:v>
                </c:pt>
                <c:pt idx="342">
                  <c:v>0.70004523352948733</c:v>
                </c:pt>
                <c:pt idx="343">
                  <c:v>0.69376357287512258</c:v>
                </c:pt>
                <c:pt idx="344">
                  <c:v>0.72000039992316045</c:v>
                </c:pt>
                <c:pt idx="345">
                  <c:v>0.67332309122013478</c:v>
                </c:pt>
                <c:pt idx="346">
                  <c:v>0.69936800804338817</c:v>
                </c:pt>
                <c:pt idx="347">
                  <c:v>0.71340034310309308</c:v>
                </c:pt>
                <c:pt idx="348">
                  <c:v>0.67826305993243152</c:v>
                </c:pt>
                <c:pt idx="349">
                  <c:v>0.64181386063675128</c:v>
                </c:pt>
                <c:pt idx="350">
                  <c:v>0.63383986866769959</c:v>
                </c:pt>
                <c:pt idx="351">
                  <c:v>0.61525503464793652</c:v>
                </c:pt>
                <c:pt idx="352">
                  <c:v>0.63157336151321253</c:v>
                </c:pt>
                <c:pt idx="353">
                  <c:v>0.60038719953727471</c:v>
                </c:pt>
                <c:pt idx="354">
                  <c:v>0.56753719870754349</c:v>
                </c:pt>
                <c:pt idx="355">
                  <c:v>0.60128530054342666</c:v>
                </c:pt>
                <c:pt idx="356">
                  <c:v>0.60976073229902084</c:v>
                </c:pt>
                <c:pt idx="357">
                  <c:v>0.61935910768810098</c:v>
                </c:pt>
                <c:pt idx="358">
                  <c:v>0.61452964490700801</c:v>
                </c:pt>
                <c:pt idx="359">
                  <c:v>0.59726993747006107</c:v>
                </c:pt>
                <c:pt idx="360">
                  <c:v>0.60221263116721613</c:v>
                </c:pt>
                <c:pt idx="361">
                  <c:v>0.61536555367815593</c:v>
                </c:pt>
                <c:pt idx="362">
                  <c:v>0.62323539314931187</c:v>
                </c:pt>
                <c:pt idx="363">
                  <c:v>0.63526500096545258</c:v>
                </c:pt>
                <c:pt idx="364">
                  <c:v>0.61592047885443357</c:v>
                </c:pt>
                <c:pt idx="365">
                  <c:v>0.60167351571530769</c:v>
                </c:pt>
                <c:pt idx="366">
                  <c:v>0.57520037903722931</c:v>
                </c:pt>
                <c:pt idx="367">
                  <c:v>0.57639197475059656</c:v>
                </c:pt>
                <c:pt idx="368">
                  <c:v>0.69142424604961661</c:v>
                </c:pt>
                <c:pt idx="369">
                  <c:v>0.69864477439361528</c:v>
                </c:pt>
                <c:pt idx="370">
                  <c:v>0.67424169370247933</c:v>
                </c:pt>
                <c:pt idx="371">
                  <c:v>0.65262670492526087</c:v>
                </c:pt>
                <c:pt idx="372">
                  <c:v>0.6513362996121419</c:v>
                </c:pt>
                <c:pt idx="373">
                  <c:v>0.63572038404375142</c:v>
                </c:pt>
                <c:pt idx="374">
                  <c:v>0.61580118705092501</c:v>
                </c:pt>
                <c:pt idx="375">
                  <c:v>0.62500083257357064</c:v>
                </c:pt>
                <c:pt idx="376">
                  <c:v>0.61134929909045221</c:v>
                </c:pt>
                <c:pt idx="377">
                  <c:v>0.59493273137683345</c:v>
                </c:pt>
                <c:pt idx="378">
                  <c:v>0.57895552761511238</c:v>
                </c:pt>
                <c:pt idx="379">
                  <c:v>0.59656910520009998</c:v>
                </c:pt>
                <c:pt idx="380">
                  <c:v>0.57585875624265914</c:v>
                </c:pt>
                <c:pt idx="381">
                  <c:v>0.58428802316109851</c:v>
                </c:pt>
                <c:pt idx="382">
                  <c:v>0.59687170070367901</c:v>
                </c:pt>
                <c:pt idx="383">
                  <c:v>0.56798353701083071</c:v>
                </c:pt>
                <c:pt idx="384">
                  <c:v>0.58147163732146423</c:v>
                </c:pt>
                <c:pt idx="385">
                  <c:v>0.54141016435449374</c:v>
                </c:pt>
                <c:pt idx="386">
                  <c:v>0.5316058556423956</c:v>
                </c:pt>
                <c:pt idx="387">
                  <c:v>0.51191494025217965</c:v>
                </c:pt>
                <c:pt idx="388">
                  <c:v>0.52425112219761405</c:v>
                </c:pt>
                <c:pt idx="389">
                  <c:v>0.51183546809346414</c:v>
                </c:pt>
                <c:pt idx="390">
                  <c:v>0.50109834512182505</c:v>
                </c:pt>
                <c:pt idx="391">
                  <c:v>0.50147816674024726</c:v>
                </c:pt>
                <c:pt idx="392">
                  <c:v>0.48616654023743067</c:v>
                </c:pt>
                <c:pt idx="393">
                  <c:v>0.49094709680211346</c:v>
                </c:pt>
                <c:pt idx="394">
                  <c:v>0.47806439048345939</c:v>
                </c:pt>
                <c:pt idx="395">
                  <c:v>0.48320030411999937</c:v>
                </c:pt>
                <c:pt idx="396">
                  <c:v>0.48722275889919175</c:v>
                </c:pt>
                <c:pt idx="397">
                  <c:v>0.49090385008928367</c:v>
                </c:pt>
                <c:pt idx="398">
                  <c:v>0.54251845793813613</c:v>
                </c:pt>
                <c:pt idx="399">
                  <c:v>0.54551363408211928</c:v>
                </c:pt>
                <c:pt idx="400">
                  <c:v>0.5471603227492271</c:v>
                </c:pt>
                <c:pt idx="401">
                  <c:v>0.56053272730563886</c:v>
                </c:pt>
                <c:pt idx="402">
                  <c:v>0.56499367114924515</c:v>
                </c:pt>
                <c:pt idx="403">
                  <c:v>0.6588884952332883</c:v>
                </c:pt>
                <c:pt idx="404">
                  <c:v>0.65969504998839146</c:v>
                </c:pt>
                <c:pt idx="405">
                  <c:v>0.71225613669374899</c:v>
                </c:pt>
                <c:pt idx="406">
                  <c:v>0.73230383029858059</c:v>
                </c:pt>
                <c:pt idx="407">
                  <c:v>0.74488056069418929</c:v>
                </c:pt>
                <c:pt idx="408">
                  <c:v>0.72152370039053082</c:v>
                </c:pt>
                <c:pt idx="409">
                  <c:v>0.71230356789829219</c:v>
                </c:pt>
                <c:pt idx="410">
                  <c:v>0.70622802243554594</c:v>
                </c:pt>
                <c:pt idx="411">
                  <c:v>0.65420470578818646</c:v>
                </c:pt>
                <c:pt idx="412">
                  <c:v>0.73885842118540268</c:v>
                </c:pt>
                <c:pt idx="413">
                  <c:v>0.78041078859279833</c:v>
                </c:pt>
                <c:pt idx="414">
                  <c:v>0.79936843172929406</c:v>
                </c:pt>
                <c:pt idx="415">
                  <c:v>0.81763346070909659</c:v>
                </c:pt>
                <c:pt idx="416">
                  <c:v>0.85333356877890287</c:v>
                </c:pt>
                <c:pt idx="417">
                  <c:v>0.86556987814825725</c:v>
                </c:pt>
                <c:pt idx="418">
                  <c:v>0.85452395481109933</c:v>
                </c:pt>
                <c:pt idx="419">
                  <c:v>0.8027542141308639</c:v>
                </c:pt>
                <c:pt idx="420">
                  <c:v>0.81263155894326666</c:v>
                </c:pt>
                <c:pt idx="421">
                  <c:v>0.8447173429733642</c:v>
                </c:pt>
                <c:pt idx="422">
                  <c:v>0.87290472958297893</c:v>
                </c:pt>
                <c:pt idx="423">
                  <c:v>0.84660252371871736</c:v>
                </c:pt>
                <c:pt idx="424">
                  <c:v>0.82831084816506229</c:v>
                </c:pt>
                <c:pt idx="425">
                  <c:v>0.84617372018996873</c:v>
                </c:pt>
                <c:pt idx="426">
                  <c:v>0.84346609639069758</c:v>
                </c:pt>
                <c:pt idx="427">
                  <c:v>0.91996929265967609</c:v>
                </c:pt>
                <c:pt idx="428">
                  <c:v>0.86547885890239074</c:v>
                </c:pt>
                <c:pt idx="429">
                  <c:v>0.86464199962869248</c:v>
                </c:pt>
                <c:pt idx="430">
                  <c:v>0.87554601913511443</c:v>
                </c:pt>
                <c:pt idx="431">
                  <c:v>0.78817369433842388</c:v>
                </c:pt>
                <c:pt idx="432">
                  <c:v>0.73460038878116829</c:v>
                </c:pt>
                <c:pt idx="433">
                  <c:v>0.70272933192176334</c:v>
                </c:pt>
                <c:pt idx="434">
                  <c:v>0.75057446290212138</c:v>
                </c:pt>
                <c:pt idx="435">
                  <c:v>0.72909716700771765</c:v>
                </c:pt>
                <c:pt idx="436">
                  <c:v>0.7196307548375751</c:v>
                </c:pt>
                <c:pt idx="437">
                  <c:v>0.74658081452605773</c:v>
                </c:pt>
                <c:pt idx="438">
                  <c:v>0.7723415833715146</c:v>
                </c:pt>
                <c:pt idx="439">
                  <c:v>0.77553507527653087</c:v>
                </c:pt>
                <c:pt idx="440">
                  <c:v>0.74690799128697571</c:v>
                </c:pt>
                <c:pt idx="441">
                  <c:v>0.68354848781187882</c:v>
                </c:pt>
                <c:pt idx="442">
                  <c:v>0.66793846600561935</c:v>
                </c:pt>
                <c:pt idx="443">
                  <c:v>0.69061962718254688</c:v>
                </c:pt>
                <c:pt idx="444">
                  <c:v>0.70002808266891048</c:v>
                </c:pt>
                <c:pt idx="445">
                  <c:v>0.70681364875291963</c:v>
                </c:pt>
                <c:pt idx="446">
                  <c:v>0.71080915814452561</c:v>
                </c:pt>
                <c:pt idx="447">
                  <c:v>0.70688471161550814</c:v>
                </c:pt>
                <c:pt idx="448">
                  <c:v>0.67488551798683949</c:v>
                </c:pt>
                <c:pt idx="449">
                  <c:v>0.66694230667776133</c:v>
                </c:pt>
                <c:pt idx="450">
                  <c:v>0.67285596586690399</c:v>
                </c:pt>
                <c:pt idx="451">
                  <c:v>0.61882000114936142</c:v>
                </c:pt>
                <c:pt idx="452">
                  <c:v>0.62848368708899949</c:v>
                </c:pt>
                <c:pt idx="453">
                  <c:v>0.63621339561167567</c:v>
                </c:pt>
                <c:pt idx="454">
                  <c:v>0.65266993154727004</c:v>
                </c:pt>
                <c:pt idx="455">
                  <c:v>0.70157104279433335</c:v>
                </c:pt>
                <c:pt idx="456">
                  <c:v>0.72586348972387493</c:v>
                </c:pt>
                <c:pt idx="457">
                  <c:v>0.66689424977000766</c:v>
                </c:pt>
                <c:pt idx="458">
                  <c:v>0.66270527970633741</c:v>
                </c:pt>
                <c:pt idx="459">
                  <c:v>0.6742186468668826</c:v>
                </c:pt>
                <c:pt idx="460">
                  <c:v>0.76372067913254604</c:v>
                </c:pt>
                <c:pt idx="461">
                  <c:v>0.79058840682327447</c:v>
                </c:pt>
                <c:pt idx="462">
                  <c:v>0.83725294549958162</c:v>
                </c:pt>
                <c:pt idx="463">
                  <c:v>0.79106861645745252</c:v>
                </c:pt>
                <c:pt idx="464">
                  <c:v>0.87742486158904742</c:v>
                </c:pt>
                <c:pt idx="465">
                  <c:v>0.92592433175635047</c:v>
                </c:pt>
                <c:pt idx="466">
                  <c:v>0.96124689676950992</c:v>
                </c:pt>
                <c:pt idx="467">
                  <c:v>0.92289601275284627</c:v>
                </c:pt>
                <c:pt idx="468">
                  <c:v>0.90598805350120382</c:v>
                </c:pt>
                <c:pt idx="469">
                  <c:v>0.91975219500045768</c:v>
                </c:pt>
                <c:pt idx="470">
                  <c:v>0.85612062732781091</c:v>
                </c:pt>
                <c:pt idx="471">
                  <c:v>0.80767037128407471</c:v>
                </c:pt>
                <c:pt idx="472">
                  <c:v>0.81463147952332471</c:v>
                </c:pt>
                <c:pt idx="473">
                  <c:v>0.82494505027341036</c:v>
                </c:pt>
                <c:pt idx="474">
                  <c:v>0.8029505331465131</c:v>
                </c:pt>
                <c:pt idx="475">
                  <c:v>0.76311478653246512</c:v>
                </c:pt>
                <c:pt idx="476">
                  <c:v>0.74341666289251529</c:v>
                </c:pt>
                <c:pt idx="477">
                  <c:v>0.78754757465114167</c:v>
                </c:pt>
                <c:pt idx="478">
                  <c:v>0.76417253594046974</c:v>
                </c:pt>
                <c:pt idx="479">
                  <c:v>0.70489557394339653</c:v>
                </c:pt>
                <c:pt idx="480">
                  <c:v>0.73774709983804898</c:v>
                </c:pt>
                <c:pt idx="481">
                  <c:v>0.73736917769392474</c:v>
                </c:pt>
                <c:pt idx="482">
                  <c:v>0.74124485877876578</c:v>
                </c:pt>
                <c:pt idx="483">
                  <c:v>0.71976565068686493</c:v>
                </c:pt>
                <c:pt idx="484">
                  <c:v>0.68596508464835471</c:v>
                </c:pt>
                <c:pt idx="485">
                  <c:v>0.68367315975800025</c:v>
                </c:pt>
                <c:pt idx="486">
                  <c:v>0.66794703123029076</c:v>
                </c:pt>
                <c:pt idx="487">
                  <c:v>0.66700024383971646</c:v>
                </c:pt>
                <c:pt idx="488">
                  <c:v>0.64886444665462595</c:v>
                </c:pt>
                <c:pt idx="489">
                  <c:v>0.65738926728114855</c:v>
                </c:pt>
                <c:pt idx="490">
                  <c:v>0.68949363650117101</c:v>
                </c:pt>
                <c:pt idx="491">
                  <c:v>0.6757445876931768</c:v>
                </c:pt>
                <c:pt idx="492">
                  <c:v>0.68983062421033148</c:v>
                </c:pt>
                <c:pt idx="493">
                  <c:v>0.65575332753315585</c:v>
                </c:pt>
                <c:pt idx="494">
                  <c:v>0.65473030040830482</c:v>
                </c:pt>
                <c:pt idx="495">
                  <c:v>0.64439362822521828</c:v>
                </c:pt>
                <c:pt idx="496">
                  <c:v>0.66706949817811889</c:v>
                </c:pt>
                <c:pt idx="497">
                  <c:v>0.60304064015184777</c:v>
                </c:pt>
                <c:pt idx="498">
                  <c:v>0.66152427787571222</c:v>
                </c:pt>
                <c:pt idx="499">
                  <c:v>0.64134393223434361</c:v>
                </c:pt>
                <c:pt idx="500">
                  <c:v>0.62771936041979548</c:v>
                </c:pt>
                <c:pt idx="501">
                  <c:v>0.62100330973834572</c:v>
                </c:pt>
                <c:pt idx="502">
                  <c:v>0.60453087463861166</c:v>
                </c:pt>
                <c:pt idx="503">
                  <c:v>0.59971044157641729</c:v>
                </c:pt>
                <c:pt idx="504">
                  <c:v>0.61534773635306039</c:v>
                </c:pt>
                <c:pt idx="505">
                  <c:v>0.6187149417049379</c:v>
                </c:pt>
                <c:pt idx="506">
                  <c:v>0.61142285526977869</c:v>
                </c:pt>
                <c:pt idx="507">
                  <c:v>0.6317881784830659</c:v>
                </c:pt>
                <c:pt idx="508">
                  <c:v>0.65815954585179992</c:v>
                </c:pt>
                <c:pt idx="509">
                  <c:v>0.6601800942563727</c:v>
                </c:pt>
                <c:pt idx="510">
                  <c:v>0.64060344765144406</c:v>
                </c:pt>
                <c:pt idx="511">
                  <c:v>0.63763429101718483</c:v>
                </c:pt>
                <c:pt idx="512">
                  <c:v>0.63340343530293519</c:v>
                </c:pt>
                <c:pt idx="513">
                  <c:v>0.631211000786147</c:v>
                </c:pt>
                <c:pt idx="514">
                  <c:v>0.62551774492729606</c:v>
                </c:pt>
                <c:pt idx="515">
                  <c:v>0.63231924706047749</c:v>
                </c:pt>
                <c:pt idx="516">
                  <c:v>0.66751383849077928</c:v>
                </c:pt>
                <c:pt idx="517">
                  <c:v>0.64095571705083942</c:v>
                </c:pt>
                <c:pt idx="518">
                  <c:v>0.63295875845471516</c:v>
                </c:pt>
                <c:pt idx="519">
                  <c:v>0.65076913541394654</c:v>
                </c:pt>
                <c:pt idx="520">
                  <c:v>0.65257157417563749</c:v>
                </c:pt>
                <c:pt idx="521">
                  <c:v>0.65052008370392356</c:v>
                </c:pt>
                <c:pt idx="522">
                  <c:v>0.62025062106510942</c:v>
                </c:pt>
                <c:pt idx="523">
                  <c:v>0.60237413832779607</c:v>
                </c:pt>
                <c:pt idx="524">
                  <c:v>0.62873270658587388</c:v>
                </c:pt>
                <c:pt idx="525">
                  <c:v>0.63851541784824317</c:v>
                </c:pt>
                <c:pt idx="526">
                  <c:v>0.61808931530009625</c:v>
                </c:pt>
                <c:pt idx="527">
                  <c:v>0.60575854559262743</c:v>
                </c:pt>
                <c:pt idx="528">
                  <c:v>0.62341080730982079</c:v>
                </c:pt>
                <c:pt idx="529">
                  <c:v>0.62469730603521845</c:v>
                </c:pt>
                <c:pt idx="530">
                  <c:v>0.62773910972026536</c:v>
                </c:pt>
                <c:pt idx="531">
                  <c:v>0.61757628305925494</c:v>
                </c:pt>
                <c:pt idx="532">
                  <c:v>0.62995211891313185</c:v>
                </c:pt>
                <c:pt idx="533">
                  <c:v>0.62128532608095388</c:v>
                </c:pt>
                <c:pt idx="534">
                  <c:v>0.60476333727031006</c:v>
                </c:pt>
                <c:pt idx="535">
                  <c:v>0.61556489979768048</c:v>
                </c:pt>
                <c:pt idx="536">
                  <c:v>0.63547640482579071</c:v>
                </c:pt>
                <c:pt idx="537">
                  <c:v>0.61355802675127313</c:v>
                </c:pt>
                <c:pt idx="538">
                  <c:v>0.641891254047808</c:v>
                </c:pt>
                <c:pt idx="539">
                  <c:v>0.63655188484866487</c:v>
                </c:pt>
                <c:pt idx="540">
                  <c:v>0.60463186476695951</c:v>
                </c:pt>
                <c:pt idx="541">
                  <c:v>0.59053131335357056</c:v>
                </c:pt>
                <c:pt idx="542">
                  <c:v>0.58919608024608872</c:v>
                </c:pt>
                <c:pt idx="543">
                  <c:v>0.59116664105043115</c:v>
                </c:pt>
                <c:pt idx="544">
                  <c:v>0.59978230020432799</c:v>
                </c:pt>
                <c:pt idx="545">
                  <c:v>0.5960940837115819</c:v>
                </c:pt>
                <c:pt idx="546">
                  <c:v>0.58879597543817097</c:v>
                </c:pt>
                <c:pt idx="547">
                  <c:v>0.56502940258234169</c:v>
                </c:pt>
                <c:pt idx="548">
                  <c:v>0.58379403606048008</c:v>
                </c:pt>
                <c:pt idx="549">
                  <c:v>0.5842660194177165</c:v>
                </c:pt>
                <c:pt idx="550">
                  <c:v>0.57124025469571138</c:v>
                </c:pt>
                <c:pt idx="551">
                  <c:v>0.58480779718078968</c:v>
                </c:pt>
                <c:pt idx="552">
                  <c:v>0.59840441794836197</c:v>
                </c:pt>
                <c:pt idx="553">
                  <c:v>0.59307452602717536</c:v>
                </c:pt>
                <c:pt idx="554">
                  <c:v>0.60728534064817874</c:v>
                </c:pt>
                <c:pt idx="555">
                  <c:v>0.59349664454143103</c:v>
                </c:pt>
                <c:pt idx="556">
                  <c:v>0.58648120588570274</c:v>
                </c:pt>
                <c:pt idx="557">
                  <c:v>0.61465471328734556</c:v>
                </c:pt>
                <c:pt idx="558">
                  <c:v>0.60484966710223942</c:v>
                </c:pt>
                <c:pt idx="559">
                  <c:v>0.60485875565959257</c:v>
                </c:pt>
                <c:pt idx="560">
                  <c:v>0.5846993491971193</c:v>
                </c:pt>
                <c:pt idx="561">
                  <c:v>0.56719900541111179</c:v>
                </c:pt>
                <c:pt idx="562">
                  <c:v>0.57541263410829724</c:v>
                </c:pt>
                <c:pt idx="563">
                  <c:v>0.58202833632631312</c:v>
                </c:pt>
                <c:pt idx="564">
                  <c:v>0.56254912542522151</c:v>
                </c:pt>
                <c:pt idx="565">
                  <c:v>0.61545410649228249</c:v>
                </c:pt>
                <c:pt idx="566">
                  <c:v>0.61960533399867679</c:v>
                </c:pt>
                <c:pt idx="567">
                  <c:v>0.61645209857727379</c:v>
                </c:pt>
                <c:pt idx="568">
                  <c:v>0.62084211700826508</c:v>
                </c:pt>
                <c:pt idx="569">
                  <c:v>0.60171779240221845</c:v>
                </c:pt>
                <c:pt idx="570">
                  <c:v>0.59627159124474316</c:v>
                </c:pt>
                <c:pt idx="571">
                  <c:v>0.59214062326568662</c:v>
                </c:pt>
                <c:pt idx="572">
                  <c:v>0.58965852031143606</c:v>
                </c:pt>
                <c:pt idx="573">
                  <c:v>0.60095841735129696</c:v>
                </c:pt>
                <c:pt idx="574">
                  <c:v>0.59739359332542319</c:v>
                </c:pt>
                <c:pt idx="575">
                  <c:v>0.58285339125419366</c:v>
                </c:pt>
                <c:pt idx="576">
                  <c:v>0.60023802997051057</c:v>
                </c:pt>
                <c:pt idx="577">
                  <c:v>0.59028194539987755</c:v>
                </c:pt>
                <c:pt idx="578">
                  <c:v>0.59830541374106294</c:v>
                </c:pt>
                <c:pt idx="579">
                  <c:v>0.63338983456015052</c:v>
                </c:pt>
                <c:pt idx="580">
                  <c:v>0.59917573049830375</c:v>
                </c:pt>
                <c:pt idx="581">
                  <c:v>0.57912442349767834</c:v>
                </c:pt>
                <c:pt idx="582">
                  <c:v>0.54738455644807704</c:v>
                </c:pt>
                <c:pt idx="583">
                  <c:v>0.55693695225888173</c:v>
                </c:pt>
                <c:pt idx="584">
                  <c:v>0.54836216944176264</c:v>
                </c:pt>
                <c:pt idx="585">
                  <c:v>0.56428540363596846</c:v>
                </c:pt>
                <c:pt idx="586">
                  <c:v>0.5626060673036255</c:v>
                </c:pt>
                <c:pt idx="587">
                  <c:v>0.56305691039706374</c:v>
                </c:pt>
                <c:pt idx="588">
                  <c:v>0.58359639267187902</c:v>
                </c:pt>
                <c:pt idx="589">
                  <c:v>0.60079083997721605</c:v>
                </c:pt>
                <c:pt idx="590">
                  <c:v>0.61588969211162758</c:v>
                </c:pt>
                <c:pt idx="591">
                  <c:v>0.63700208443233253</c:v>
                </c:pt>
                <c:pt idx="592">
                  <c:v>0.62546652021462523</c:v>
                </c:pt>
                <c:pt idx="593">
                  <c:v>0.6081625160135905</c:v>
                </c:pt>
                <c:pt idx="594">
                  <c:v>0.57535984232724169</c:v>
                </c:pt>
                <c:pt idx="595">
                  <c:v>0.60789657026369837</c:v>
                </c:pt>
                <c:pt idx="596">
                  <c:v>0.60729041933897632</c:v>
                </c:pt>
                <c:pt idx="597">
                  <c:v>0.64669794518333601</c:v>
                </c:pt>
                <c:pt idx="598">
                  <c:v>0.68046592313177867</c:v>
                </c:pt>
                <c:pt idx="599">
                  <c:v>0.69090976657025993</c:v>
                </c:pt>
                <c:pt idx="600">
                  <c:v>0.7020945804792782</c:v>
                </c:pt>
                <c:pt idx="601">
                  <c:v>0.69877460929403346</c:v>
                </c:pt>
                <c:pt idx="602">
                  <c:v>0.66255500016627866</c:v>
                </c:pt>
                <c:pt idx="603">
                  <c:v>0.65109608490834525</c:v>
                </c:pt>
                <c:pt idx="604">
                  <c:v>0.66226134120171498</c:v>
                </c:pt>
                <c:pt idx="605">
                  <c:v>0.63300156494242976</c:v>
                </c:pt>
                <c:pt idx="606">
                  <c:v>0.64332932101899831</c:v>
                </c:pt>
                <c:pt idx="607">
                  <c:v>0.6500512241646863</c:v>
                </c:pt>
                <c:pt idx="608">
                  <c:v>0.6441561338443581</c:v>
                </c:pt>
                <c:pt idx="609">
                  <c:v>0.60728467441919887</c:v>
                </c:pt>
                <c:pt idx="610">
                  <c:v>0.62104556481918127</c:v>
                </c:pt>
                <c:pt idx="611">
                  <c:v>0.59913644562029222</c:v>
                </c:pt>
                <c:pt idx="612">
                  <c:v>0.64193901797903397</c:v>
                </c:pt>
                <c:pt idx="613">
                  <c:v>0.62091055576847676</c:v>
                </c:pt>
                <c:pt idx="614">
                  <c:v>0.62089514111717492</c:v>
                </c:pt>
                <c:pt idx="615">
                  <c:v>0.63980415765607024</c:v>
                </c:pt>
                <c:pt idx="616">
                  <c:v>0.61394377184463489</c:v>
                </c:pt>
                <c:pt idx="617">
                  <c:v>0.63998196648532646</c:v>
                </c:pt>
                <c:pt idx="618">
                  <c:v>0.65470016325838132</c:v>
                </c:pt>
                <c:pt idx="619">
                  <c:v>0.65580448541215086</c:v>
                </c:pt>
                <c:pt idx="620">
                  <c:v>0.64265181893748335</c:v>
                </c:pt>
                <c:pt idx="621">
                  <c:v>0.63455324844728789</c:v>
                </c:pt>
                <c:pt idx="622">
                  <c:v>0.59881452349285746</c:v>
                </c:pt>
                <c:pt idx="623">
                  <c:v>0.60862138751307016</c:v>
                </c:pt>
                <c:pt idx="624">
                  <c:v>0.63709707069372046</c:v>
                </c:pt>
                <c:pt idx="625">
                  <c:v>0.6170875712226136</c:v>
                </c:pt>
                <c:pt idx="626">
                  <c:v>0.61111437754817544</c:v>
                </c:pt>
                <c:pt idx="627">
                  <c:v>0.63117582804604733</c:v>
                </c:pt>
                <c:pt idx="628">
                  <c:v>0.60036222629657909</c:v>
                </c:pt>
                <c:pt idx="629">
                  <c:v>0.60293670240590458</c:v>
                </c:pt>
                <c:pt idx="630">
                  <c:v>0.5892349090530884</c:v>
                </c:pt>
                <c:pt idx="631">
                  <c:v>0.57220556820051938</c:v>
                </c:pt>
                <c:pt idx="632">
                  <c:v>0.57099976787155793</c:v>
                </c:pt>
                <c:pt idx="633">
                  <c:v>0.57905497261963945</c:v>
                </c:pt>
                <c:pt idx="634">
                  <c:v>0.60516171870941471</c:v>
                </c:pt>
                <c:pt idx="635">
                  <c:v>0.6159709803698431</c:v>
                </c:pt>
                <c:pt idx="636">
                  <c:v>0.63124269558168855</c:v>
                </c:pt>
                <c:pt idx="637">
                  <c:v>0.60851103861104938</c:v>
                </c:pt>
                <c:pt idx="638">
                  <c:v>0.63208906098405926</c:v>
                </c:pt>
                <c:pt idx="639">
                  <c:v>0.63456383496587354</c:v>
                </c:pt>
                <c:pt idx="640">
                  <c:v>0.61699663334341981</c:v>
                </c:pt>
                <c:pt idx="641">
                  <c:v>0.60697283825615411</c:v>
                </c:pt>
                <c:pt idx="642">
                  <c:v>0.6100691613954542</c:v>
                </c:pt>
                <c:pt idx="643">
                  <c:v>0.58857761328118119</c:v>
                </c:pt>
                <c:pt idx="644">
                  <c:v>0.58238871772103795</c:v>
                </c:pt>
                <c:pt idx="645">
                  <c:v>0.56434205712465757</c:v>
                </c:pt>
                <c:pt idx="646">
                  <c:v>0.53217621253815051</c:v>
                </c:pt>
                <c:pt idx="647">
                  <c:v>0.54135197075064079</c:v>
                </c:pt>
                <c:pt idx="648">
                  <c:v>0.52807918465065429</c:v>
                </c:pt>
                <c:pt idx="649">
                  <c:v>0.50244278633034412</c:v>
                </c:pt>
                <c:pt idx="650">
                  <c:v>0.48527063223969941</c:v>
                </c:pt>
                <c:pt idx="651">
                  <c:v>0.50102544955440809</c:v>
                </c:pt>
                <c:pt idx="652">
                  <c:v>0.52017210607354325</c:v>
                </c:pt>
                <c:pt idx="653">
                  <c:v>0.52650829056950144</c:v>
                </c:pt>
                <c:pt idx="654">
                  <c:v>0.53521339763868891</c:v>
                </c:pt>
                <c:pt idx="655">
                  <c:v>0.51078387140095716</c:v>
                </c:pt>
                <c:pt idx="656">
                  <c:v>0.53476459617558092</c:v>
                </c:pt>
                <c:pt idx="657">
                  <c:v>0.51099811548829399</c:v>
                </c:pt>
                <c:pt idx="658">
                  <c:v>0.60741686052662847</c:v>
                </c:pt>
                <c:pt idx="659">
                  <c:v>0.69870029447195003</c:v>
                </c:pt>
                <c:pt idx="660">
                  <c:v>0.72668725725430905</c:v>
                </c:pt>
                <c:pt idx="661">
                  <c:v>0.702070994098414</c:v>
                </c:pt>
                <c:pt idx="662">
                  <c:v>0.73502284406485208</c:v>
                </c:pt>
                <c:pt idx="663">
                  <c:v>0.72908023304289615</c:v>
                </c:pt>
                <c:pt idx="664">
                  <c:v>0.73938362759313425</c:v>
                </c:pt>
                <c:pt idx="665">
                  <c:v>0.73365639291800089</c:v>
                </c:pt>
                <c:pt idx="666">
                  <c:v>0.75998253754007961</c:v>
                </c:pt>
                <c:pt idx="667">
                  <c:v>0.75873177489382937</c:v>
                </c:pt>
                <c:pt idx="668">
                  <c:v>0.79926966289191304</c:v>
                </c:pt>
                <c:pt idx="669">
                  <c:v>0.94879192281762947</c:v>
                </c:pt>
                <c:pt idx="670">
                  <c:v>0.88992323344729984</c:v>
                </c:pt>
                <c:pt idx="671">
                  <c:v>0.94983494889214926</c:v>
                </c:pt>
                <c:pt idx="672">
                  <c:v>0.99410976294510289</c:v>
                </c:pt>
                <c:pt idx="673">
                  <c:v>0.95392553402266733</c:v>
                </c:pt>
                <c:pt idx="674">
                  <c:v>0.84906773269451807</c:v>
                </c:pt>
                <c:pt idx="675">
                  <c:v>0.86706213522295184</c:v>
                </c:pt>
                <c:pt idx="676">
                  <c:v>0.85227903600257271</c:v>
                </c:pt>
                <c:pt idx="677">
                  <c:v>0.82197851035612357</c:v>
                </c:pt>
                <c:pt idx="678">
                  <c:v>0.80268688484748829</c:v>
                </c:pt>
                <c:pt idx="679">
                  <c:v>0.75569655447264461</c:v>
                </c:pt>
                <c:pt idx="680">
                  <c:v>0.83547267098741129</c:v>
                </c:pt>
                <c:pt idx="681">
                  <c:v>0.84273506106984664</c:v>
                </c:pt>
                <c:pt idx="682">
                  <c:v>0.82972624374936921</c:v>
                </c:pt>
                <c:pt idx="683">
                  <c:v>0.804293917624893</c:v>
                </c:pt>
                <c:pt idx="684">
                  <c:v>0.819117096474546</c:v>
                </c:pt>
                <c:pt idx="685">
                  <c:v>0.78145709810892694</c:v>
                </c:pt>
                <c:pt idx="686">
                  <c:v>0.79253133331859982</c:v>
                </c:pt>
                <c:pt idx="687">
                  <c:v>0.78112451199221999</c:v>
                </c:pt>
                <c:pt idx="688">
                  <c:v>0.78995363519843198</c:v>
                </c:pt>
                <c:pt idx="689">
                  <c:v>0.83754391946548346</c:v>
                </c:pt>
                <c:pt idx="690">
                  <c:v>0.85729339413107031</c:v>
                </c:pt>
                <c:pt idx="691">
                  <c:v>0.86213684258508838</c:v>
                </c:pt>
                <c:pt idx="692">
                  <c:v>0.92042382727853778</c:v>
                </c:pt>
                <c:pt idx="693">
                  <c:v>0.9343910982800574</c:v>
                </c:pt>
                <c:pt idx="694">
                  <c:v>0.99197022680268676</c:v>
                </c:pt>
                <c:pt idx="695">
                  <c:v>0.99433774710939704</c:v>
                </c:pt>
                <c:pt idx="696">
                  <c:v>0.92632447288936726</c:v>
                </c:pt>
                <c:pt idx="697">
                  <c:v>0.90258280552018766</c:v>
                </c:pt>
                <c:pt idx="698">
                  <c:v>0.90512322018292291</c:v>
                </c:pt>
                <c:pt idx="699">
                  <c:v>1.0124442192629093</c:v>
                </c:pt>
                <c:pt idx="700">
                  <c:v>0.96943078502719093</c:v>
                </c:pt>
                <c:pt idx="701">
                  <c:v>0.96675790801962369</c:v>
                </c:pt>
                <c:pt idx="702">
                  <c:v>1.0032659718470882</c:v>
                </c:pt>
                <c:pt idx="703">
                  <c:v>1.0224322643265173</c:v>
                </c:pt>
                <c:pt idx="704">
                  <c:v>0.96547992643827008</c:v>
                </c:pt>
                <c:pt idx="705">
                  <c:v>0.88100137225565534</c:v>
                </c:pt>
                <c:pt idx="706">
                  <c:v>0.89244489931401572</c:v>
                </c:pt>
                <c:pt idx="707">
                  <c:v>0.91583950715495432</c:v>
                </c:pt>
                <c:pt idx="708">
                  <c:v>0.96736225805190179</c:v>
                </c:pt>
                <c:pt idx="709">
                  <c:v>0.96584935419775608</c:v>
                </c:pt>
                <c:pt idx="710">
                  <c:v>1.0057860605853854</c:v>
                </c:pt>
                <c:pt idx="711">
                  <c:v>1.036990095401819</c:v>
                </c:pt>
                <c:pt idx="712">
                  <c:v>1.010297467857731</c:v>
                </c:pt>
                <c:pt idx="713">
                  <c:v>1.0514413214884903</c:v>
                </c:pt>
                <c:pt idx="714">
                  <c:v>1.0676896970836314</c:v>
                </c:pt>
                <c:pt idx="715">
                  <c:v>1.0782324687279252</c:v>
                </c:pt>
                <c:pt idx="716">
                  <c:v>1.1269245284957434</c:v>
                </c:pt>
                <c:pt idx="717">
                  <c:v>1.1544550546707513</c:v>
                </c:pt>
                <c:pt idx="718">
                  <c:v>1.2064973759239046</c:v>
                </c:pt>
                <c:pt idx="719">
                  <c:v>1.2027680199700241</c:v>
                </c:pt>
                <c:pt idx="720">
                  <c:v>1.1979319207930854</c:v>
                </c:pt>
                <c:pt idx="721">
                  <c:v>1.3377973263027878</c:v>
                </c:pt>
                <c:pt idx="722">
                  <c:v>1.209458806463845</c:v>
                </c:pt>
                <c:pt idx="723">
                  <c:v>1.1175128157251484</c:v>
                </c:pt>
                <c:pt idx="724">
                  <c:v>1.1020865407852987</c:v>
                </c:pt>
                <c:pt idx="725">
                  <c:v>1.1105116197245239</c:v>
                </c:pt>
                <c:pt idx="726">
                  <c:v>1.1223457325592769</c:v>
                </c:pt>
                <c:pt idx="727">
                  <c:v>1.1273748895243141</c:v>
                </c:pt>
                <c:pt idx="728">
                  <c:v>1.1418484694852842</c:v>
                </c:pt>
                <c:pt idx="729">
                  <c:v>1.1129247397800905</c:v>
                </c:pt>
                <c:pt idx="730">
                  <c:v>1.0937023465585118</c:v>
                </c:pt>
                <c:pt idx="731">
                  <c:v>1.2032376408928744</c:v>
                </c:pt>
                <c:pt idx="732">
                  <c:v>1.1994451645724287</c:v>
                </c:pt>
                <c:pt idx="733">
                  <c:v>1.2343001530107394</c:v>
                </c:pt>
                <c:pt idx="734">
                  <c:v>1.1545023066150766</c:v>
                </c:pt>
                <c:pt idx="735">
                  <c:v>1.1165076709833743</c:v>
                </c:pt>
                <c:pt idx="736">
                  <c:v>1.148832652950375</c:v>
                </c:pt>
                <c:pt idx="737">
                  <c:v>1.1590994785033464</c:v>
                </c:pt>
                <c:pt idx="738">
                  <c:v>1.1985473633419161</c:v>
                </c:pt>
                <c:pt idx="739">
                  <c:v>1.1476725650398574</c:v>
                </c:pt>
                <c:pt idx="740">
                  <c:v>1.1191848355770577</c:v>
                </c:pt>
                <c:pt idx="741">
                  <c:v>1.1091063566622477</c:v>
                </c:pt>
                <c:pt idx="742">
                  <c:v>1.1782674004164868</c:v>
                </c:pt>
                <c:pt idx="743">
                  <c:v>1.2201160288997654</c:v>
                </c:pt>
                <c:pt idx="744">
                  <c:v>1.2212917897879776</c:v>
                </c:pt>
                <c:pt idx="745">
                  <c:v>1.2089551783910286</c:v>
                </c:pt>
                <c:pt idx="746">
                  <c:v>1.2608814253436593</c:v>
                </c:pt>
                <c:pt idx="747">
                  <c:v>1.2410116865337089</c:v>
                </c:pt>
                <c:pt idx="748">
                  <c:v>1.2118442551177029</c:v>
                </c:pt>
                <c:pt idx="749">
                  <c:v>1.1822189895959179</c:v>
                </c:pt>
                <c:pt idx="750">
                  <c:v>1.1723554276728487</c:v>
                </c:pt>
                <c:pt idx="751">
                  <c:v>1.1779944452787086</c:v>
                </c:pt>
                <c:pt idx="752">
                  <c:v>1.1521116832498335</c:v>
                </c:pt>
                <c:pt idx="753">
                  <c:v>1.1552958366791823</c:v>
                </c:pt>
                <c:pt idx="754">
                  <c:v>1.1714766172653985</c:v>
                </c:pt>
                <c:pt idx="755">
                  <c:v>1.2579698236392742</c:v>
                </c:pt>
                <c:pt idx="756">
                  <c:v>1.2459251752821245</c:v>
                </c:pt>
                <c:pt idx="757">
                  <c:v>1.2832066076140254</c:v>
                </c:pt>
                <c:pt idx="758">
                  <c:v>1.2930890905709167</c:v>
                </c:pt>
                <c:pt idx="759">
                  <c:v>1.328704171334997</c:v>
                </c:pt>
                <c:pt idx="760">
                  <c:v>1.3651512436485722</c:v>
                </c:pt>
                <c:pt idx="761">
                  <c:v>1.3359143663242419</c:v>
                </c:pt>
                <c:pt idx="762">
                  <c:v>1.3536024626859611</c:v>
                </c:pt>
                <c:pt idx="763">
                  <c:v>1.3546388241314757</c:v>
                </c:pt>
                <c:pt idx="764">
                  <c:v>1.2557840339002579</c:v>
                </c:pt>
                <c:pt idx="765">
                  <c:v>1.3023013949064774</c:v>
                </c:pt>
                <c:pt idx="766">
                  <c:v>1.274359375171479</c:v>
                </c:pt>
                <c:pt idx="767">
                  <c:v>1.2445282302475842</c:v>
                </c:pt>
                <c:pt idx="768">
                  <c:v>1.2531858861649785</c:v>
                </c:pt>
                <c:pt idx="769">
                  <c:v>1.2337443477460823</c:v>
                </c:pt>
                <c:pt idx="770">
                  <c:v>1.190013034942015</c:v>
                </c:pt>
                <c:pt idx="771">
                  <c:v>1.226218620297389</c:v>
                </c:pt>
                <c:pt idx="772">
                  <c:v>1.2058827243758485</c:v>
                </c:pt>
                <c:pt idx="773">
                  <c:v>1.2757783624264203</c:v>
                </c:pt>
                <c:pt idx="774">
                  <c:v>1.4366140170506116</c:v>
                </c:pt>
                <c:pt idx="775">
                  <c:v>1.4328788944513053</c:v>
                </c:pt>
                <c:pt idx="776">
                  <c:v>1.4625611013811468</c:v>
                </c:pt>
                <c:pt idx="777">
                  <c:v>1.4865066456167726</c:v>
                </c:pt>
                <c:pt idx="778">
                  <c:v>1.4449992224111889</c:v>
                </c:pt>
                <c:pt idx="779">
                  <c:v>1.4911867518356337</c:v>
                </c:pt>
                <c:pt idx="780">
                  <c:v>1.4934243153797293</c:v>
                </c:pt>
                <c:pt idx="781">
                  <c:v>1.4806101250912691</c:v>
                </c:pt>
                <c:pt idx="782">
                  <c:v>1.4799109261193397</c:v>
                </c:pt>
                <c:pt idx="783">
                  <c:v>1.4734386818118967</c:v>
                </c:pt>
                <c:pt idx="784">
                  <c:v>1.4419856574994212</c:v>
                </c:pt>
                <c:pt idx="785">
                  <c:v>1.4496915408982938</c:v>
                </c:pt>
                <c:pt idx="786">
                  <c:v>1.3863881115697885</c:v>
                </c:pt>
                <c:pt idx="787">
                  <c:v>1.4106222328783624</c:v>
                </c:pt>
                <c:pt idx="788">
                  <c:v>1.4241434468775118</c:v>
                </c:pt>
                <c:pt idx="789">
                  <c:v>1.3880980784675683</c:v>
                </c:pt>
                <c:pt idx="790">
                  <c:v>1.3688340890975084</c:v>
                </c:pt>
                <c:pt idx="791">
                  <c:v>1.3841225155149222</c:v>
                </c:pt>
                <c:pt idx="792">
                  <c:v>1.3629092175430373</c:v>
                </c:pt>
                <c:pt idx="793">
                  <c:v>1.4230332502705421</c:v>
                </c:pt>
                <c:pt idx="794">
                  <c:v>1.3057223306250454</c:v>
                </c:pt>
                <c:pt idx="795">
                  <c:v>1.331520669370567</c:v>
                </c:pt>
                <c:pt idx="796">
                  <c:v>1.3068812507329608</c:v>
                </c:pt>
                <c:pt idx="797">
                  <c:v>1.3167811329603758</c:v>
                </c:pt>
                <c:pt idx="798">
                  <c:v>1.3183014454248279</c:v>
                </c:pt>
                <c:pt idx="799">
                  <c:v>1.3463562410243477</c:v>
                </c:pt>
                <c:pt idx="800">
                  <c:v>1.3323378012571163</c:v>
                </c:pt>
                <c:pt idx="801">
                  <c:v>1.2875236827981127</c:v>
                </c:pt>
                <c:pt idx="802">
                  <c:v>1.2841688854987463</c:v>
                </c:pt>
                <c:pt idx="803">
                  <c:v>1.2567441977979967</c:v>
                </c:pt>
                <c:pt idx="804">
                  <c:v>1.2808037391918221</c:v>
                </c:pt>
                <c:pt idx="805">
                  <c:v>1.3042334506769222</c:v>
                </c:pt>
                <c:pt idx="806">
                  <c:v>1.2622322257083862</c:v>
                </c:pt>
                <c:pt idx="807">
                  <c:v>1.2531147998455112</c:v>
                </c:pt>
                <c:pt idx="808">
                  <c:v>1.3014030549858471</c:v>
                </c:pt>
                <c:pt idx="809">
                  <c:v>1.3408327207953792</c:v>
                </c:pt>
                <c:pt idx="810">
                  <c:v>1.4083643487431479</c:v>
                </c:pt>
                <c:pt idx="811">
                  <c:v>1.4820060296927351</c:v>
                </c:pt>
                <c:pt idx="812">
                  <c:v>1.4075030951849401</c:v>
                </c:pt>
                <c:pt idx="813">
                  <c:v>1.3874606315767668</c:v>
                </c:pt>
                <c:pt idx="814">
                  <c:v>1.3540641302748173</c:v>
                </c:pt>
                <c:pt idx="815">
                  <c:v>1.3665070447565333</c:v>
                </c:pt>
                <c:pt idx="816">
                  <c:v>1.3510529166303791</c:v>
                </c:pt>
                <c:pt idx="817">
                  <c:v>1.3796155662058545</c:v>
                </c:pt>
                <c:pt idx="818">
                  <c:v>1.2584923089304543</c:v>
                </c:pt>
                <c:pt idx="819">
                  <c:v>1.206320787757015</c:v>
                </c:pt>
                <c:pt idx="820">
                  <c:v>1.2394981733321269</c:v>
                </c:pt>
                <c:pt idx="821">
                  <c:v>1.2872667276837622</c:v>
                </c:pt>
                <c:pt idx="822">
                  <c:v>1.2006702766207533</c:v>
                </c:pt>
                <c:pt idx="823">
                  <c:v>1.211795888952053</c:v>
                </c:pt>
                <c:pt idx="824">
                  <c:v>1.1957185659169163</c:v>
                </c:pt>
                <c:pt idx="825">
                  <c:v>1.2713010653844918</c:v>
                </c:pt>
                <c:pt idx="826">
                  <c:v>1.2299800375761512</c:v>
                </c:pt>
                <c:pt idx="827">
                  <c:v>1.3124331202582034</c:v>
                </c:pt>
                <c:pt idx="828">
                  <c:v>1.2828238896991562</c:v>
                </c:pt>
                <c:pt idx="829">
                  <c:v>1.2366963855987436</c:v>
                </c:pt>
                <c:pt idx="830">
                  <c:v>1.2152739584205696</c:v>
                </c:pt>
                <c:pt idx="831">
                  <c:v>1.2383329826068841</c:v>
                </c:pt>
                <c:pt idx="832">
                  <c:v>1.266674043241679</c:v>
                </c:pt>
                <c:pt idx="833">
                  <c:v>1.2015160864439904</c:v>
                </c:pt>
                <c:pt idx="834">
                  <c:v>1.1928615507627602</c:v>
                </c:pt>
                <c:pt idx="835">
                  <c:v>1.2255721822283208</c:v>
                </c:pt>
                <c:pt idx="836">
                  <c:v>1.236115822670885</c:v>
                </c:pt>
                <c:pt idx="837">
                  <c:v>1.109544446014707</c:v>
                </c:pt>
                <c:pt idx="838">
                  <c:v>1.1523581354296459</c:v>
                </c:pt>
                <c:pt idx="839">
                  <c:v>1.1604540442711924</c:v>
                </c:pt>
                <c:pt idx="840">
                  <c:v>1.1545690376132545</c:v>
                </c:pt>
                <c:pt idx="841">
                  <c:v>1.0975820405740395</c:v>
                </c:pt>
                <c:pt idx="842">
                  <c:v>1.0587523821242426</c:v>
                </c:pt>
                <c:pt idx="843">
                  <c:v>1.0673143025028324</c:v>
                </c:pt>
                <c:pt idx="844">
                  <c:v>1.0480304270161978</c:v>
                </c:pt>
                <c:pt idx="845">
                  <c:v>1.1288207525450262</c:v>
                </c:pt>
                <c:pt idx="846">
                  <c:v>1.1769883814459927</c:v>
                </c:pt>
                <c:pt idx="847">
                  <c:v>1.1481051149918853</c:v>
                </c:pt>
                <c:pt idx="848">
                  <c:v>1.1625913362425881</c:v>
                </c:pt>
                <c:pt idx="849">
                  <c:v>1.1056733104443248</c:v>
                </c:pt>
                <c:pt idx="850">
                  <c:v>1.1849742603494107</c:v>
                </c:pt>
                <c:pt idx="851">
                  <c:v>1.2839251059738255</c:v>
                </c:pt>
                <c:pt idx="852">
                  <c:v>1.3047868948710415</c:v>
                </c:pt>
                <c:pt idx="853">
                  <c:v>1.3348033705965971</c:v>
                </c:pt>
                <c:pt idx="854">
                  <c:v>1.4426594984298058</c:v>
                </c:pt>
                <c:pt idx="855">
                  <c:v>1.4024984163525123</c:v>
                </c:pt>
                <c:pt idx="856">
                  <c:v>1.373658162467464</c:v>
                </c:pt>
                <c:pt idx="857">
                  <c:v>1.3067681270161116</c:v>
                </c:pt>
                <c:pt idx="858">
                  <c:v>1.168306716962588</c:v>
                </c:pt>
                <c:pt idx="859">
                  <c:v>1.1565096809063211</c:v>
                </c:pt>
                <c:pt idx="860">
                  <c:v>1.1363121188899492</c:v>
                </c:pt>
                <c:pt idx="861">
                  <c:v>1.1896320271588845</c:v>
                </c:pt>
                <c:pt idx="862">
                  <c:v>1.2037899144367081</c:v>
                </c:pt>
                <c:pt idx="863">
                  <c:v>1.2485035304734782</c:v>
                </c:pt>
                <c:pt idx="864">
                  <c:v>1.2471760551198368</c:v>
                </c:pt>
                <c:pt idx="865">
                  <c:v>1.1844351766576162</c:v>
                </c:pt>
                <c:pt idx="866">
                  <c:v>1.1694935560881301</c:v>
                </c:pt>
                <c:pt idx="867">
                  <c:v>1.2440344330513289</c:v>
                </c:pt>
                <c:pt idx="868">
                  <c:v>1.2279323810650524</c:v>
                </c:pt>
                <c:pt idx="869">
                  <c:v>1.2036694310017992</c:v>
                </c:pt>
                <c:pt idx="870">
                  <c:v>1.2427365145635083</c:v>
                </c:pt>
                <c:pt idx="871">
                  <c:v>1.3363093523029499</c:v>
                </c:pt>
                <c:pt idx="872">
                  <c:v>1.3280346019595828</c:v>
                </c:pt>
                <c:pt idx="873">
                  <c:v>1.4024489297088765</c:v>
                </c:pt>
                <c:pt idx="874">
                  <c:v>1.588780017517669</c:v>
                </c:pt>
                <c:pt idx="875">
                  <c:v>1.7740365188048246</c:v>
                </c:pt>
                <c:pt idx="876">
                  <c:v>1.7108316878186143</c:v>
                </c:pt>
                <c:pt idx="877">
                  <c:v>1.743755254370561</c:v>
                </c:pt>
                <c:pt idx="878">
                  <c:v>1.5983044587708188</c:v>
                </c:pt>
                <c:pt idx="879">
                  <c:v>1.7452555160033134</c:v>
                </c:pt>
                <c:pt idx="880">
                  <c:v>1.5838579036705909</c:v>
                </c:pt>
                <c:pt idx="881">
                  <c:v>1.3120780323697154</c:v>
                </c:pt>
                <c:pt idx="882">
                  <c:v>1.3656744385680537</c:v>
                </c:pt>
                <c:pt idx="883">
                  <c:v>1.3496639524719956</c:v>
                </c:pt>
                <c:pt idx="884">
                  <c:v>1.1500330290594853</c:v>
                </c:pt>
                <c:pt idx="885">
                  <c:v>1.1567713087100586</c:v>
                </c:pt>
                <c:pt idx="886">
                  <c:v>1.1801615575670017</c:v>
                </c:pt>
                <c:pt idx="887">
                  <c:v>1.2229274842470244</c:v>
                </c:pt>
                <c:pt idx="888">
                  <c:v>1.1131354607365405</c:v>
                </c:pt>
                <c:pt idx="889">
                  <c:v>1.0571814033114457</c:v>
                </c:pt>
                <c:pt idx="890">
                  <c:v>1.0431797758580534</c:v>
                </c:pt>
                <c:pt idx="891">
                  <c:v>1.0266115698431644</c:v>
                </c:pt>
                <c:pt idx="892">
                  <c:v>1.054658372283243</c:v>
                </c:pt>
                <c:pt idx="893">
                  <c:v>1.0425779583249299</c:v>
                </c:pt>
                <c:pt idx="894">
                  <c:v>1.0004675531499789</c:v>
                </c:pt>
                <c:pt idx="895">
                  <c:v>0.99356674114882104</c:v>
                </c:pt>
                <c:pt idx="896">
                  <c:v>0.94389168796631118</c:v>
                </c:pt>
                <c:pt idx="897">
                  <c:v>0.91018271199554557</c:v>
                </c:pt>
                <c:pt idx="898">
                  <c:v>0.91480167632996834</c:v>
                </c:pt>
                <c:pt idx="899">
                  <c:v>0.92544097237658207</c:v>
                </c:pt>
                <c:pt idx="900">
                  <c:v>0.81936361967171722</c:v>
                </c:pt>
                <c:pt idx="901">
                  <c:v>0.88001045128627331</c:v>
                </c:pt>
                <c:pt idx="902">
                  <c:v>0.88144045216854194</c:v>
                </c:pt>
                <c:pt idx="903">
                  <c:v>0.85933266576911149</c:v>
                </c:pt>
                <c:pt idx="904">
                  <c:v>0.81396907754531889</c:v>
                </c:pt>
                <c:pt idx="905">
                  <c:v>0.82826378816835078</c:v>
                </c:pt>
                <c:pt idx="906">
                  <c:v>0.80247019011774745</c:v>
                </c:pt>
                <c:pt idx="907">
                  <c:v>0.84472460973846542</c:v>
                </c:pt>
                <c:pt idx="908">
                  <c:v>0.78442645966714231</c:v>
                </c:pt>
                <c:pt idx="909">
                  <c:v>0.80034376051396017</c:v>
                </c:pt>
                <c:pt idx="910">
                  <c:v>0.73444660198168676</c:v>
                </c:pt>
                <c:pt idx="911">
                  <c:v>0.71676903482829823</c:v>
                </c:pt>
                <c:pt idx="912">
                  <c:v>0.77696798208167794</c:v>
                </c:pt>
                <c:pt idx="913">
                  <c:v>0.81971733943627401</c:v>
                </c:pt>
                <c:pt idx="914">
                  <c:v>0.79973724966376558</c:v>
                </c:pt>
                <c:pt idx="915">
                  <c:v>0.83759526347524316</c:v>
                </c:pt>
                <c:pt idx="916">
                  <c:v>0.8144426530981429</c:v>
                </c:pt>
                <c:pt idx="917">
                  <c:v>0.80865610330035564</c:v>
                </c:pt>
                <c:pt idx="918">
                  <c:v>0.74847320757375346</c:v>
                </c:pt>
                <c:pt idx="919">
                  <c:v>0.71608110315967521</c:v>
                </c:pt>
                <c:pt idx="920">
                  <c:v>0.71104710070765875</c:v>
                </c:pt>
                <c:pt idx="921">
                  <c:v>0.65210190194420337</c:v>
                </c:pt>
                <c:pt idx="922">
                  <c:v>0.6105869646967339</c:v>
                </c:pt>
                <c:pt idx="923">
                  <c:v>0.629526130205739</c:v>
                </c:pt>
                <c:pt idx="924">
                  <c:v>0.62965240264677913</c:v>
                </c:pt>
                <c:pt idx="925">
                  <c:v>0.6598139065749824</c:v>
                </c:pt>
                <c:pt idx="926">
                  <c:v>0.64446074926476216</c:v>
                </c:pt>
                <c:pt idx="927">
                  <c:v>0.62435910356741942</c:v>
                </c:pt>
                <c:pt idx="928">
                  <c:v>0.58848581274069889</c:v>
                </c:pt>
                <c:pt idx="929">
                  <c:v>0.57602216084043489</c:v>
                </c:pt>
                <c:pt idx="930">
                  <c:v>0.59484480325450784</c:v>
                </c:pt>
                <c:pt idx="931">
                  <c:v>0.54805521227496123</c:v>
                </c:pt>
                <c:pt idx="932">
                  <c:v>0.55772168800213817</c:v>
                </c:pt>
                <c:pt idx="933">
                  <c:v>0.56264777583960635</c:v>
                </c:pt>
                <c:pt idx="934">
                  <c:v>0.57519364216421009</c:v>
                </c:pt>
                <c:pt idx="935">
                  <c:v>0.56677011617456186</c:v>
                </c:pt>
                <c:pt idx="936">
                  <c:v>0.53893363277648376</c:v>
                </c:pt>
                <c:pt idx="937">
                  <c:v>0.50937597163069237</c:v>
                </c:pt>
                <c:pt idx="938">
                  <c:v>0.48964494477498627</c:v>
                </c:pt>
                <c:pt idx="939">
                  <c:v>0.45792036930428309</c:v>
                </c:pt>
                <c:pt idx="940">
                  <c:v>0.45744204732061777</c:v>
                </c:pt>
                <c:pt idx="941">
                  <c:v>0.44387463153458873</c:v>
                </c:pt>
                <c:pt idx="942">
                  <c:v>0.45803879340166348</c:v>
                </c:pt>
                <c:pt idx="943">
                  <c:v>0.47041852481022683</c:v>
                </c:pt>
                <c:pt idx="944">
                  <c:v>0.47969654585428256</c:v>
                </c:pt>
                <c:pt idx="945">
                  <c:v>0.48710831551135786</c:v>
                </c:pt>
                <c:pt idx="946">
                  <c:v>0.48145236838113825</c:v>
                </c:pt>
                <c:pt idx="947">
                  <c:v>0.47120951518707144</c:v>
                </c:pt>
                <c:pt idx="948">
                  <c:v>0.48624743812160798</c:v>
                </c:pt>
                <c:pt idx="949">
                  <c:v>0.46855642329109087</c:v>
                </c:pt>
                <c:pt idx="950">
                  <c:v>0.4857529494887961</c:v>
                </c:pt>
                <c:pt idx="951">
                  <c:v>0.49272400104628133</c:v>
                </c:pt>
                <c:pt idx="952">
                  <c:v>0.51173509009855245</c:v>
                </c:pt>
                <c:pt idx="953">
                  <c:v>0.49398543788240712</c:v>
                </c:pt>
                <c:pt idx="954">
                  <c:v>0.46916960795182122</c:v>
                </c:pt>
                <c:pt idx="955">
                  <c:v>0.44159896304803992</c:v>
                </c:pt>
                <c:pt idx="956">
                  <c:v>0.44284958862821433</c:v>
                </c:pt>
                <c:pt idx="957">
                  <c:v>0.43007103154487902</c:v>
                </c:pt>
                <c:pt idx="958">
                  <c:v>0.43751428799469527</c:v>
                </c:pt>
                <c:pt idx="959">
                  <c:v>0.46219976719225836</c:v>
                </c:pt>
                <c:pt idx="960">
                  <c:v>0.47805185304092512</c:v>
                </c:pt>
                <c:pt idx="961">
                  <c:v>0.46281099519715008</c:v>
                </c:pt>
                <c:pt idx="962">
                  <c:v>0.44714135464773053</c:v>
                </c:pt>
                <c:pt idx="963">
                  <c:v>0.44341670475953465</c:v>
                </c:pt>
                <c:pt idx="964">
                  <c:v>0.47685144433677273</c:v>
                </c:pt>
                <c:pt idx="965">
                  <c:v>0.48197965291690997</c:v>
                </c:pt>
                <c:pt idx="966">
                  <c:v>0.47635570129088989</c:v>
                </c:pt>
                <c:pt idx="967">
                  <c:v>0.48203832326341728</c:v>
                </c:pt>
                <c:pt idx="968">
                  <c:v>0.46501691032811698</c:v>
                </c:pt>
                <c:pt idx="969">
                  <c:v>0.47140821376202996</c:v>
                </c:pt>
                <c:pt idx="970">
                  <c:v>0.44045842162526239</c:v>
                </c:pt>
                <c:pt idx="971">
                  <c:v>0.44237405756926534</c:v>
                </c:pt>
                <c:pt idx="972">
                  <c:v>0.44888038550813064</c:v>
                </c:pt>
                <c:pt idx="973">
                  <c:v>0.46478714208436739</c:v>
                </c:pt>
                <c:pt idx="974">
                  <c:v>0.43156264576204117</c:v>
                </c:pt>
                <c:pt idx="975">
                  <c:v>0.4841391044252128</c:v>
                </c:pt>
                <c:pt idx="976">
                  <c:v>0.506583523877154</c:v>
                </c:pt>
                <c:pt idx="977">
                  <c:v>0.48537069959119417</c:v>
                </c:pt>
                <c:pt idx="978">
                  <c:v>0.54020519766815778</c:v>
                </c:pt>
                <c:pt idx="979">
                  <c:v>0.49294886164019786</c:v>
                </c:pt>
                <c:pt idx="980">
                  <c:v>0.49782654448170643</c:v>
                </c:pt>
                <c:pt idx="981">
                  <c:v>0.46584391373804562</c:v>
                </c:pt>
                <c:pt idx="982">
                  <c:v>0.40426184825675537</c:v>
                </c:pt>
                <c:pt idx="983">
                  <c:v>0.42335663883200991</c:v>
                </c:pt>
                <c:pt idx="984">
                  <c:v>0.45391478862272017</c:v>
                </c:pt>
                <c:pt idx="985">
                  <c:v>0.45960726942932323</c:v>
                </c:pt>
                <c:pt idx="986">
                  <c:v>0.43973469909630186</c:v>
                </c:pt>
                <c:pt idx="987">
                  <c:v>0.433920106496681</c:v>
                </c:pt>
                <c:pt idx="988">
                  <c:v>0.43688534966501869</c:v>
                </c:pt>
                <c:pt idx="989">
                  <c:v>0.4195945413798905</c:v>
                </c:pt>
                <c:pt idx="990">
                  <c:v>0.40468953046936046</c:v>
                </c:pt>
                <c:pt idx="991">
                  <c:v>0.40383115535367359</c:v>
                </c:pt>
                <c:pt idx="992">
                  <c:v>0.4258148582316757</c:v>
                </c:pt>
                <c:pt idx="993">
                  <c:v>0.43826399452787501</c:v>
                </c:pt>
                <c:pt idx="994">
                  <c:v>0.42149440151548884</c:v>
                </c:pt>
                <c:pt idx="995">
                  <c:v>0.38697405458603196</c:v>
                </c:pt>
                <c:pt idx="996">
                  <c:v>0.40305463668204139</c:v>
                </c:pt>
                <c:pt idx="997">
                  <c:v>0.42554033159044663</c:v>
                </c:pt>
                <c:pt idx="998">
                  <c:v>0.39788832206973435</c:v>
                </c:pt>
                <c:pt idx="999">
                  <c:v>0.3921700996074291</c:v>
                </c:pt>
                <c:pt idx="1000">
                  <c:v>0.40915141237019315</c:v>
                </c:pt>
                <c:pt idx="1001">
                  <c:v>0.38734936373708923</c:v>
                </c:pt>
                <c:pt idx="1002">
                  <c:v>0.3771299740533291</c:v>
                </c:pt>
                <c:pt idx="1003">
                  <c:v>0.37985909487831671</c:v>
                </c:pt>
                <c:pt idx="1004">
                  <c:v>0.39837554139053516</c:v>
                </c:pt>
                <c:pt idx="1005">
                  <c:v>0.41778337462131671</c:v>
                </c:pt>
                <c:pt idx="1006">
                  <c:v>0.42092891402193267</c:v>
                </c:pt>
                <c:pt idx="1007">
                  <c:v>0.42829073804236412</c:v>
                </c:pt>
                <c:pt idx="1008">
                  <c:v>0.41964357785751216</c:v>
                </c:pt>
                <c:pt idx="1009">
                  <c:v>0.41658311631027017</c:v>
                </c:pt>
                <c:pt idx="1010">
                  <c:v>0.41191218952420827</c:v>
                </c:pt>
                <c:pt idx="1011">
                  <c:v>0.40170306034805703</c:v>
                </c:pt>
                <c:pt idx="1012">
                  <c:v>0.39392593006728849</c:v>
                </c:pt>
                <c:pt idx="1013">
                  <c:v>0.38926499598162551</c:v>
                </c:pt>
                <c:pt idx="1014">
                  <c:v>0.37867931805870736</c:v>
                </c:pt>
                <c:pt idx="1015">
                  <c:v>0.37156950704777542</c:v>
                </c:pt>
                <c:pt idx="1016">
                  <c:v>0.39238081390275703</c:v>
                </c:pt>
                <c:pt idx="1017">
                  <c:v>0.38268834792670903</c:v>
                </c:pt>
                <c:pt idx="1018">
                  <c:v>0.36967697620702999</c:v>
                </c:pt>
                <c:pt idx="1019">
                  <c:v>0.37222398192808465</c:v>
                </c:pt>
                <c:pt idx="1020">
                  <c:v>0.37019927717011025</c:v>
                </c:pt>
                <c:pt idx="1021">
                  <c:v>0.36728246534865255</c:v>
                </c:pt>
                <c:pt idx="1022">
                  <c:v>0.387888565713914</c:v>
                </c:pt>
                <c:pt idx="1023">
                  <c:v>0.39444243847678639</c:v>
                </c:pt>
                <c:pt idx="1024">
                  <c:v>0.38779605698287806</c:v>
                </c:pt>
                <c:pt idx="1025">
                  <c:v>0.37715718967827588</c:v>
                </c:pt>
                <c:pt idx="1026">
                  <c:v>0.37397363800175043</c:v>
                </c:pt>
                <c:pt idx="1027">
                  <c:v>0.36267439774043114</c:v>
                </c:pt>
                <c:pt idx="1028">
                  <c:v>0.3661447698914303</c:v>
                </c:pt>
                <c:pt idx="1029">
                  <c:v>0.37827776487944975</c:v>
                </c:pt>
                <c:pt idx="1030">
                  <c:v>0.39464561235551127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AC22-41F4-A914-B9BE69AE6336}"/>
            </c:ext>
          </c:extLst>
        </c:ser>
        <c:ser>
          <c:idx val="1"/>
          <c:order val="1"/>
          <c:tx>
            <c:strRef>
              <c:f>Indice!$AJ$5</c:f>
              <c:strCache>
                <c:ptCount val="1"/>
                <c:pt idx="0">
                  <c:v>Q10</c:v>
                </c:pt>
              </c:strCache>
            </c:strRef>
          </c:tx>
          <c:spPr>
            <a:ln w="38100" cap="rnd">
              <a:solidFill>
                <a:srgbClr val="00B050"/>
              </a:solidFill>
              <a:prstDash val="sysDot"/>
              <a:round/>
            </a:ln>
            <a:effectLst/>
          </c:spPr>
          <c:marker>
            <c:symbol val="none"/>
          </c:marker>
          <c:cat>
            <c:numRef>
              <c:f>Indice!$AH$58:$AH$1500</c:f>
              <c:numCache>
                <c:formatCode>m/d/yyyy</c:formatCode>
                <c:ptCount val="1443"/>
                <c:pt idx="0">
                  <c:v>39087</c:v>
                </c:pt>
                <c:pt idx="1">
                  <c:v>39094</c:v>
                </c:pt>
                <c:pt idx="2">
                  <c:v>39101</c:v>
                </c:pt>
                <c:pt idx="3">
                  <c:v>39108</c:v>
                </c:pt>
                <c:pt idx="4">
                  <c:v>39115</c:v>
                </c:pt>
                <c:pt idx="5">
                  <c:v>39122</c:v>
                </c:pt>
                <c:pt idx="6">
                  <c:v>39129</c:v>
                </c:pt>
                <c:pt idx="7">
                  <c:v>39136</c:v>
                </c:pt>
                <c:pt idx="8">
                  <c:v>39143</c:v>
                </c:pt>
                <c:pt idx="9">
                  <c:v>39150</c:v>
                </c:pt>
                <c:pt idx="10">
                  <c:v>39157</c:v>
                </c:pt>
                <c:pt idx="11">
                  <c:v>39164</c:v>
                </c:pt>
                <c:pt idx="12">
                  <c:v>39171</c:v>
                </c:pt>
                <c:pt idx="13">
                  <c:v>39178</c:v>
                </c:pt>
                <c:pt idx="14">
                  <c:v>39185</c:v>
                </c:pt>
                <c:pt idx="15">
                  <c:v>39192</c:v>
                </c:pt>
                <c:pt idx="16">
                  <c:v>39199</c:v>
                </c:pt>
                <c:pt idx="17">
                  <c:v>39206</c:v>
                </c:pt>
                <c:pt idx="18">
                  <c:v>39213</c:v>
                </c:pt>
                <c:pt idx="19">
                  <c:v>39220</c:v>
                </c:pt>
                <c:pt idx="20">
                  <c:v>39227</c:v>
                </c:pt>
                <c:pt idx="21">
                  <c:v>39234</c:v>
                </c:pt>
                <c:pt idx="22">
                  <c:v>39241</c:v>
                </c:pt>
                <c:pt idx="23">
                  <c:v>39248</c:v>
                </c:pt>
                <c:pt idx="24">
                  <c:v>39255</c:v>
                </c:pt>
                <c:pt idx="25">
                  <c:v>39262</c:v>
                </c:pt>
                <c:pt idx="26">
                  <c:v>39269</c:v>
                </c:pt>
                <c:pt idx="27">
                  <c:v>39276</c:v>
                </c:pt>
                <c:pt idx="28">
                  <c:v>39283</c:v>
                </c:pt>
                <c:pt idx="29">
                  <c:v>39290</c:v>
                </c:pt>
                <c:pt idx="30">
                  <c:v>39297</c:v>
                </c:pt>
                <c:pt idx="31">
                  <c:v>39304</c:v>
                </c:pt>
                <c:pt idx="32">
                  <c:v>39311</c:v>
                </c:pt>
                <c:pt idx="33">
                  <c:v>39318</c:v>
                </c:pt>
                <c:pt idx="34">
                  <c:v>39325</c:v>
                </c:pt>
                <c:pt idx="35">
                  <c:v>39332</c:v>
                </c:pt>
                <c:pt idx="36">
                  <c:v>39339</c:v>
                </c:pt>
                <c:pt idx="37">
                  <c:v>39346</c:v>
                </c:pt>
                <c:pt idx="38">
                  <c:v>39353</c:v>
                </c:pt>
                <c:pt idx="39">
                  <c:v>39360</c:v>
                </c:pt>
                <c:pt idx="40">
                  <c:v>39367</c:v>
                </c:pt>
                <c:pt idx="41">
                  <c:v>39374</c:v>
                </c:pt>
                <c:pt idx="42">
                  <c:v>39381</c:v>
                </c:pt>
                <c:pt idx="43">
                  <c:v>39388</c:v>
                </c:pt>
                <c:pt idx="44">
                  <c:v>39395</c:v>
                </c:pt>
                <c:pt idx="45">
                  <c:v>39402</c:v>
                </c:pt>
                <c:pt idx="46">
                  <c:v>39409</c:v>
                </c:pt>
                <c:pt idx="47">
                  <c:v>39416</c:v>
                </c:pt>
                <c:pt idx="48">
                  <c:v>39423</c:v>
                </c:pt>
                <c:pt idx="49">
                  <c:v>39430</c:v>
                </c:pt>
                <c:pt idx="50">
                  <c:v>39437</c:v>
                </c:pt>
                <c:pt idx="51">
                  <c:v>39444</c:v>
                </c:pt>
                <c:pt idx="52">
                  <c:v>39451</c:v>
                </c:pt>
                <c:pt idx="53">
                  <c:v>39458</c:v>
                </c:pt>
                <c:pt idx="54">
                  <c:v>39465</c:v>
                </c:pt>
                <c:pt idx="55">
                  <c:v>39472</c:v>
                </c:pt>
                <c:pt idx="56">
                  <c:v>39479</c:v>
                </c:pt>
                <c:pt idx="57">
                  <c:v>39486</c:v>
                </c:pt>
                <c:pt idx="58">
                  <c:v>39493</c:v>
                </c:pt>
                <c:pt idx="59">
                  <c:v>39500</c:v>
                </c:pt>
                <c:pt idx="60">
                  <c:v>39507</c:v>
                </c:pt>
                <c:pt idx="61">
                  <c:v>39514</c:v>
                </c:pt>
                <c:pt idx="62">
                  <c:v>39521</c:v>
                </c:pt>
                <c:pt idx="63">
                  <c:v>39528</c:v>
                </c:pt>
                <c:pt idx="64">
                  <c:v>39535</c:v>
                </c:pt>
                <c:pt idx="65">
                  <c:v>39542</c:v>
                </c:pt>
                <c:pt idx="66">
                  <c:v>39549</c:v>
                </c:pt>
                <c:pt idx="67">
                  <c:v>39556</c:v>
                </c:pt>
                <c:pt idx="68">
                  <c:v>39563</c:v>
                </c:pt>
                <c:pt idx="69">
                  <c:v>39570</c:v>
                </c:pt>
                <c:pt idx="70">
                  <c:v>39577</c:v>
                </c:pt>
                <c:pt idx="71">
                  <c:v>39584</c:v>
                </c:pt>
                <c:pt idx="72">
                  <c:v>39591</c:v>
                </c:pt>
                <c:pt idx="73">
                  <c:v>39598</c:v>
                </c:pt>
                <c:pt idx="74">
                  <c:v>39605</c:v>
                </c:pt>
                <c:pt idx="75">
                  <c:v>39612</c:v>
                </c:pt>
                <c:pt idx="76">
                  <c:v>39619</c:v>
                </c:pt>
                <c:pt idx="77">
                  <c:v>39626</c:v>
                </c:pt>
                <c:pt idx="78">
                  <c:v>39633</c:v>
                </c:pt>
                <c:pt idx="79">
                  <c:v>39640</c:v>
                </c:pt>
                <c:pt idx="80">
                  <c:v>39647</c:v>
                </c:pt>
                <c:pt idx="81">
                  <c:v>39654</c:v>
                </c:pt>
                <c:pt idx="82">
                  <c:v>39661</c:v>
                </c:pt>
                <c:pt idx="83">
                  <c:v>39668</c:v>
                </c:pt>
                <c:pt idx="84">
                  <c:v>39675</c:v>
                </c:pt>
                <c:pt idx="85">
                  <c:v>39682</c:v>
                </c:pt>
                <c:pt idx="86">
                  <c:v>39689</c:v>
                </c:pt>
                <c:pt idx="87">
                  <c:v>39696</c:v>
                </c:pt>
                <c:pt idx="88">
                  <c:v>39703</c:v>
                </c:pt>
                <c:pt idx="89">
                  <c:v>39710</c:v>
                </c:pt>
                <c:pt idx="90">
                  <c:v>39717</c:v>
                </c:pt>
                <c:pt idx="91">
                  <c:v>39724</c:v>
                </c:pt>
                <c:pt idx="92">
                  <c:v>39731</c:v>
                </c:pt>
                <c:pt idx="93">
                  <c:v>39738</c:v>
                </c:pt>
                <c:pt idx="94">
                  <c:v>39745</c:v>
                </c:pt>
                <c:pt idx="95">
                  <c:v>39752</c:v>
                </c:pt>
                <c:pt idx="96">
                  <c:v>39759</c:v>
                </c:pt>
                <c:pt idx="97">
                  <c:v>39766</c:v>
                </c:pt>
                <c:pt idx="98">
                  <c:v>39773</c:v>
                </c:pt>
                <c:pt idx="99">
                  <c:v>39780</c:v>
                </c:pt>
                <c:pt idx="100">
                  <c:v>39787</c:v>
                </c:pt>
                <c:pt idx="101">
                  <c:v>39794</c:v>
                </c:pt>
                <c:pt idx="102">
                  <c:v>39801</c:v>
                </c:pt>
                <c:pt idx="103">
                  <c:v>39808</c:v>
                </c:pt>
                <c:pt idx="104">
                  <c:v>39815</c:v>
                </c:pt>
                <c:pt idx="105">
                  <c:v>39822</c:v>
                </c:pt>
                <c:pt idx="106">
                  <c:v>39829</c:v>
                </c:pt>
                <c:pt idx="107">
                  <c:v>39836</c:v>
                </c:pt>
                <c:pt idx="108">
                  <c:v>39843</c:v>
                </c:pt>
                <c:pt idx="109">
                  <c:v>39850</c:v>
                </c:pt>
                <c:pt idx="110">
                  <c:v>39857</c:v>
                </c:pt>
                <c:pt idx="111">
                  <c:v>39864</c:v>
                </c:pt>
                <c:pt idx="112">
                  <c:v>39871</c:v>
                </c:pt>
                <c:pt idx="113">
                  <c:v>39878</c:v>
                </c:pt>
                <c:pt idx="114">
                  <c:v>39885</c:v>
                </c:pt>
                <c:pt idx="115">
                  <c:v>39892</c:v>
                </c:pt>
                <c:pt idx="116">
                  <c:v>39899</c:v>
                </c:pt>
                <c:pt idx="117">
                  <c:v>39906</c:v>
                </c:pt>
                <c:pt idx="118">
                  <c:v>39913</c:v>
                </c:pt>
                <c:pt idx="119">
                  <c:v>39920</c:v>
                </c:pt>
                <c:pt idx="120">
                  <c:v>39927</c:v>
                </c:pt>
                <c:pt idx="121">
                  <c:v>39934</c:v>
                </c:pt>
                <c:pt idx="122">
                  <c:v>39941</c:v>
                </c:pt>
                <c:pt idx="123">
                  <c:v>39948</c:v>
                </c:pt>
                <c:pt idx="124">
                  <c:v>39955</c:v>
                </c:pt>
                <c:pt idx="125">
                  <c:v>39962</c:v>
                </c:pt>
                <c:pt idx="126">
                  <c:v>39969</c:v>
                </c:pt>
                <c:pt idx="127">
                  <c:v>39976</c:v>
                </c:pt>
                <c:pt idx="128">
                  <c:v>39983</c:v>
                </c:pt>
                <c:pt idx="129">
                  <c:v>39990</c:v>
                </c:pt>
                <c:pt idx="130">
                  <c:v>39997</c:v>
                </c:pt>
                <c:pt idx="131">
                  <c:v>40004</c:v>
                </c:pt>
                <c:pt idx="132">
                  <c:v>40011</c:v>
                </c:pt>
                <c:pt idx="133">
                  <c:v>40018</c:v>
                </c:pt>
                <c:pt idx="134">
                  <c:v>40025</c:v>
                </c:pt>
                <c:pt idx="135">
                  <c:v>40032</c:v>
                </c:pt>
                <c:pt idx="136">
                  <c:v>40039</c:v>
                </c:pt>
                <c:pt idx="137">
                  <c:v>40046</c:v>
                </c:pt>
                <c:pt idx="138">
                  <c:v>40053</c:v>
                </c:pt>
                <c:pt idx="139">
                  <c:v>40060</c:v>
                </c:pt>
                <c:pt idx="140">
                  <c:v>40067</c:v>
                </c:pt>
                <c:pt idx="141">
                  <c:v>40074</c:v>
                </c:pt>
                <c:pt idx="142">
                  <c:v>40081</c:v>
                </c:pt>
                <c:pt idx="143">
                  <c:v>40088</c:v>
                </c:pt>
                <c:pt idx="144">
                  <c:v>40095</c:v>
                </c:pt>
                <c:pt idx="145">
                  <c:v>40102</c:v>
                </c:pt>
                <c:pt idx="146">
                  <c:v>40109</c:v>
                </c:pt>
                <c:pt idx="147">
                  <c:v>40116</c:v>
                </c:pt>
                <c:pt idx="148">
                  <c:v>40123</c:v>
                </c:pt>
                <c:pt idx="149">
                  <c:v>40130</c:v>
                </c:pt>
                <c:pt idx="150">
                  <c:v>40137</c:v>
                </c:pt>
                <c:pt idx="151">
                  <c:v>40144</c:v>
                </c:pt>
                <c:pt idx="152">
                  <c:v>40151</c:v>
                </c:pt>
                <c:pt idx="153">
                  <c:v>40158</c:v>
                </c:pt>
                <c:pt idx="154">
                  <c:v>40165</c:v>
                </c:pt>
                <c:pt idx="155">
                  <c:v>40172</c:v>
                </c:pt>
                <c:pt idx="156">
                  <c:v>40179</c:v>
                </c:pt>
                <c:pt idx="157">
                  <c:v>40186</c:v>
                </c:pt>
                <c:pt idx="158">
                  <c:v>40193</c:v>
                </c:pt>
                <c:pt idx="159">
                  <c:v>40200</c:v>
                </c:pt>
                <c:pt idx="160">
                  <c:v>40207</c:v>
                </c:pt>
                <c:pt idx="161">
                  <c:v>40214</c:v>
                </c:pt>
                <c:pt idx="162">
                  <c:v>40221</c:v>
                </c:pt>
                <c:pt idx="163">
                  <c:v>40228</c:v>
                </c:pt>
                <c:pt idx="164">
                  <c:v>40235</c:v>
                </c:pt>
                <c:pt idx="165">
                  <c:v>40242</c:v>
                </c:pt>
                <c:pt idx="166">
                  <c:v>40249</c:v>
                </c:pt>
                <c:pt idx="167">
                  <c:v>40256</c:v>
                </c:pt>
                <c:pt idx="168">
                  <c:v>40263</c:v>
                </c:pt>
                <c:pt idx="169">
                  <c:v>40270</c:v>
                </c:pt>
                <c:pt idx="170">
                  <c:v>40277</c:v>
                </c:pt>
                <c:pt idx="171">
                  <c:v>40284</c:v>
                </c:pt>
                <c:pt idx="172">
                  <c:v>40291</c:v>
                </c:pt>
                <c:pt idx="173">
                  <c:v>40298</c:v>
                </c:pt>
                <c:pt idx="174">
                  <c:v>40305</c:v>
                </c:pt>
                <c:pt idx="175">
                  <c:v>40312</c:v>
                </c:pt>
                <c:pt idx="176">
                  <c:v>40319</c:v>
                </c:pt>
                <c:pt idx="177">
                  <c:v>40326</c:v>
                </c:pt>
                <c:pt idx="178">
                  <c:v>40333</c:v>
                </c:pt>
                <c:pt idx="179">
                  <c:v>40340</c:v>
                </c:pt>
                <c:pt idx="180">
                  <c:v>40347</c:v>
                </c:pt>
                <c:pt idx="181">
                  <c:v>40354</c:v>
                </c:pt>
                <c:pt idx="182">
                  <c:v>40361</c:v>
                </c:pt>
                <c:pt idx="183">
                  <c:v>40368</c:v>
                </c:pt>
                <c:pt idx="184">
                  <c:v>40375</c:v>
                </c:pt>
                <c:pt idx="185">
                  <c:v>40382</c:v>
                </c:pt>
                <c:pt idx="186">
                  <c:v>40389</c:v>
                </c:pt>
                <c:pt idx="187">
                  <c:v>40396</c:v>
                </c:pt>
                <c:pt idx="188">
                  <c:v>40403</c:v>
                </c:pt>
                <c:pt idx="189">
                  <c:v>40410</c:v>
                </c:pt>
                <c:pt idx="190">
                  <c:v>40417</c:v>
                </c:pt>
                <c:pt idx="191">
                  <c:v>40424</c:v>
                </c:pt>
                <c:pt idx="192">
                  <c:v>40431</c:v>
                </c:pt>
                <c:pt idx="193">
                  <c:v>40438</c:v>
                </c:pt>
                <c:pt idx="194">
                  <c:v>40445</c:v>
                </c:pt>
                <c:pt idx="195">
                  <c:v>40452</c:v>
                </c:pt>
                <c:pt idx="196">
                  <c:v>40459</c:v>
                </c:pt>
                <c:pt idx="197">
                  <c:v>40466</c:v>
                </c:pt>
                <c:pt idx="198">
                  <c:v>40473</c:v>
                </c:pt>
                <c:pt idx="199">
                  <c:v>40480</c:v>
                </c:pt>
                <c:pt idx="200">
                  <c:v>40487</c:v>
                </c:pt>
                <c:pt idx="201">
                  <c:v>40494</c:v>
                </c:pt>
                <c:pt idx="202">
                  <c:v>40501</c:v>
                </c:pt>
                <c:pt idx="203">
                  <c:v>40508</c:v>
                </c:pt>
                <c:pt idx="204">
                  <c:v>40515</c:v>
                </c:pt>
                <c:pt idx="205">
                  <c:v>40522</c:v>
                </c:pt>
                <c:pt idx="206">
                  <c:v>40529</c:v>
                </c:pt>
                <c:pt idx="207">
                  <c:v>40536</c:v>
                </c:pt>
                <c:pt idx="208">
                  <c:v>40543</c:v>
                </c:pt>
                <c:pt idx="209">
                  <c:v>40550</c:v>
                </c:pt>
                <c:pt idx="210">
                  <c:v>40557</c:v>
                </c:pt>
                <c:pt idx="211">
                  <c:v>40564</c:v>
                </c:pt>
                <c:pt idx="212">
                  <c:v>40571</c:v>
                </c:pt>
                <c:pt idx="213">
                  <c:v>40578</c:v>
                </c:pt>
                <c:pt idx="214">
                  <c:v>40585</c:v>
                </c:pt>
                <c:pt idx="215">
                  <c:v>40592</c:v>
                </c:pt>
                <c:pt idx="216">
                  <c:v>40599</c:v>
                </c:pt>
                <c:pt idx="217">
                  <c:v>40606</c:v>
                </c:pt>
                <c:pt idx="218">
                  <c:v>40613</c:v>
                </c:pt>
                <c:pt idx="219">
                  <c:v>40620</c:v>
                </c:pt>
                <c:pt idx="220">
                  <c:v>40627</c:v>
                </c:pt>
                <c:pt idx="221">
                  <c:v>40634</c:v>
                </c:pt>
                <c:pt idx="222">
                  <c:v>40641</c:v>
                </c:pt>
                <c:pt idx="223">
                  <c:v>40648</c:v>
                </c:pt>
                <c:pt idx="224">
                  <c:v>40655</c:v>
                </c:pt>
                <c:pt idx="225">
                  <c:v>40662</c:v>
                </c:pt>
                <c:pt idx="226">
                  <c:v>40669</c:v>
                </c:pt>
                <c:pt idx="227">
                  <c:v>40676</c:v>
                </c:pt>
                <c:pt idx="228">
                  <c:v>40683</c:v>
                </c:pt>
                <c:pt idx="229">
                  <c:v>40690</c:v>
                </c:pt>
                <c:pt idx="230">
                  <c:v>40697</c:v>
                </c:pt>
                <c:pt idx="231">
                  <c:v>40704</c:v>
                </c:pt>
                <c:pt idx="232">
                  <c:v>40711</c:v>
                </c:pt>
                <c:pt idx="233">
                  <c:v>40718</c:v>
                </c:pt>
                <c:pt idx="234">
                  <c:v>40725</c:v>
                </c:pt>
                <c:pt idx="235">
                  <c:v>40732</c:v>
                </c:pt>
                <c:pt idx="236">
                  <c:v>40739</c:v>
                </c:pt>
                <c:pt idx="237">
                  <c:v>40746</c:v>
                </c:pt>
                <c:pt idx="238">
                  <c:v>40753</c:v>
                </c:pt>
                <c:pt idx="239">
                  <c:v>40760</c:v>
                </c:pt>
                <c:pt idx="240">
                  <c:v>40767</c:v>
                </c:pt>
                <c:pt idx="241">
                  <c:v>40774</c:v>
                </c:pt>
                <c:pt idx="242">
                  <c:v>40781</c:v>
                </c:pt>
                <c:pt idx="243">
                  <c:v>40788</c:v>
                </c:pt>
                <c:pt idx="244">
                  <c:v>40795</c:v>
                </c:pt>
                <c:pt idx="245">
                  <c:v>40802</c:v>
                </c:pt>
                <c:pt idx="246">
                  <c:v>40809</c:v>
                </c:pt>
                <c:pt idx="247">
                  <c:v>40816</c:v>
                </c:pt>
                <c:pt idx="248">
                  <c:v>40823</c:v>
                </c:pt>
                <c:pt idx="249">
                  <c:v>40830</c:v>
                </c:pt>
                <c:pt idx="250">
                  <c:v>40837</c:v>
                </c:pt>
                <c:pt idx="251">
                  <c:v>40844</c:v>
                </c:pt>
                <c:pt idx="252">
                  <c:v>40851</c:v>
                </c:pt>
                <c:pt idx="253">
                  <c:v>40858</c:v>
                </c:pt>
                <c:pt idx="254">
                  <c:v>40865</c:v>
                </c:pt>
                <c:pt idx="255">
                  <c:v>40872</c:v>
                </c:pt>
                <c:pt idx="256">
                  <c:v>40879</c:v>
                </c:pt>
                <c:pt idx="257">
                  <c:v>40886</c:v>
                </c:pt>
                <c:pt idx="258">
                  <c:v>40893</c:v>
                </c:pt>
                <c:pt idx="259">
                  <c:v>40900</c:v>
                </c:pt>
                <c:pt idx="260">
                  <c:v>40907</c:v>
                </c:pt>
                <c:pt idx="261">
                  <c:v>40914</c:v>
                </c:pt>
                <c:pt idx="262">
                  <c:v>40921</c:v>
                </c:pt>
                <c:pt idx="263">
                  <c:v>40928</c:v>
                </c:pt>
                <c:pt idx="264">
                  <c:v>40935</c:v>
                </c:pt>
                <c:pt idx="265">
                  <c:v>40942</c:v>
                </c:pt>
                <c:pt idx="266">
                  <c:v>40949</c:v>
                </c:pt>
                <c:pt idx="267">
                  <c:v>40956</c:v>
                </c:pt>
                <c:pt idx="268">
                  <c:v>40963</c:v>
                </c:pt>
                <c:pt idx="269">
                  <c:v>40970</c:v>
                </c:pt>
                <c:pt idx="270">
                  <c:v>40977</c:v>
                </c:pt>
                <c:pt idx="271">
                  <c:v>40984</c:v>
                </c:pt>
                <c:pt idx="272">
                  <c:v>40991</c:v>
                </c:pt>
                <c:pt idx="273">
                  <c:v>40998</c:v>
                </c:pt>
                <c:pt idx="274">
                  <c:v>41005</c:v>
                </c:pt>
                <c:pt idx="275">
                  <c:v>41012</c:v>
                </c:pt>
                <c:pt idx="276">
                  <c:v>41019</c:v>
                </c:pt>
                <c:pt idx="277">
                  <c:v>41026</c:v>
                </c:pt>
                <c:pt idx="278">
                  <c:v>41033</c:v>
                </c:pt>
                <c:pt idx="279">
                  <c:v>41040</c:v>
                </c:pt>
                <c:pt idx="280">
                  <c:v>41047</c:v>
                </c:pt>
                <c:pt idx="281">
                  <c:v>41054</c:v>
                </c:pt>
                <c:pt idx="282">
                  <c:v>41061</c:v>
                </c:pt>
                <c:pt idx="283">
                  <c:v>41068</c:v>
                </c:pt>
                <c:pt idx="284">
                  <c:v>41075</c:v>
                </c:pt>
                <c:pt idx="285">
                  <c:v>41082</c:v>
                </c:pt>
                <c:pt idx="286">
                  <c:v>41089</c:v>
                </c:pt>
                <c:pt idx="287">
                  <c:v>41096</c:v>
                </c:pt>
                <c:pt idx="288">
                  <c:v>41103</c:v>
                </c:pt>
                <c:pt idx="289">
                  <c:v>41110</c:v>
                </c:pt>
                <c:pt idx="290">
                  <c:v>41117</c:v>
                </c:pt>
                <c:pt idx="291">
                  <c:v>41124</c:v>
                </c:pt>
                <c:pt idx="292">
                  <c:v>41131</c:v>
                </c:pt>
                <c:pt idx="293">
                  <c:v>41138</c:v>
                </c:pt>
                <c:pt idx="294">
                  <c:v>41145</c:v>
                </c:pt>
                <c:pt idx="295">
                  <c:v>41152</c:v>
                </c:pt>
                <c:pt idx="296">
                  <c:v>41159</c:v>
                </c:pt>
                <c:pt idx="297">
                  <c:v>41166</c:v>
                </c:pt>
                <c:pt idx="298">
                  <c:v>41173</c:v>
                </c:pt>
                <c:pt idx="299">
                  <c:v>41180</c:v>
                </c:pt>
                <c:pt idx="300">
                  <c:v>41187</c:v>
                </c:pt>
                <c:pt idx="301">
                  <c:v>41194</c:v>
                </c:pt>
                <c:pt idx="302">
                  <c:v>41201</c:v>
                </c:pt>
                <c:pt idx="303">
                  <c:v>41208</c:v>
                </c:pt>
                <c:pt idx="304">
                  <c:v>41215</c:v>
                </c:pt>
                <c:pt idx="305">
                  <c:v>41222</c:v>
                </c:pt>
                <c:pt idx="306">
                  <c:v>41229</c:v>
                </c:pt>
                <c:pt idx="307">
                  <c:v>41236</c:v>
                </c:pt>
                <c:pt idx="308">
                  <c:v>41243</c:v>
                </c:pt>
                <c:pt idx="309">
                  <c:v>41250</c:v>
                </c:pt>
                <c:pt idx="310">
                  <c:v>41257</c:v>
                </c:pt>
                <c:pt idx="311">
                  <c:v>41264</c:v>
                </c:pt>
                <c:pt idx="312">
                  <c:v>41271</c:v>
                </c:pt>
                <c:pt idx="313">
                  <c:v>41278</c:v>
                </c:pt>
                <c:pt idx="314">
                  <c:v>41285</c:v>
                </c:pt>
                <c:pt idx="315">
                  <c:v>41292</c:v>
                </c:pt>
                <c:pt idx="316">
                  <c:v>41299</c:v>
                </c:pt>
                <c:pt idx="317">
                  <c:v>41306</c:v>
                </c:pt>
                <c:pt idx="318">
                  <c:v>41313</c:v>
                </c:pt>
                <c:pt idx="319">
                  <c:v>41320</c:v>
                </c:pt>
                <c:pt idx="320">
                  <c:v>41327</c:v>
                </c:pt>
                <c:pt idx="321">
                  <c:v>41334</c:v>
                </c:pt>
                <c:pt idx="322">
                  <c:v>41341</c:v>
                </c:pt>
                <c:pt idx="323">
                  <c:v>41348</c:v>
                </c:pt>
                <c:pt idx="324">
                  <c:v>41355</c:v>
                </c:pt>
                <c:pt idx="325">
                  <c:v>41362</c:v>
                </c:pt>
                <c:pt idx="326">
                  <c:v>41369</c:v>
                </c:pt>
                <c:pt idx="327">
                  <c:v>41376</c:v>
                </c:pt>
                <c:pt idx="328">
                  <c:v>41383</c:v>
                </c:pt>
                <c:pt idx="329">
                  <c:v>41390</c:v>
                </c:pt>
                <c:pt idx="330">
                  <c:v>41397</c:v>
                </c:pt>
                <c:pt idx="331">
                  <c:v>41404</c:v>
                </c:pt>
                <c:pt idx="332">
                  <c:v>41411</c:v>
                </c:pt>
                <c:pt idx="333">
                  <c:v>41418</c:v>
                </c:pt>
                <c:pt idx="334">
                  <c:v>41425</c:v>
                </c:pt>
                <c:pt idx="335">
                  <c:v>41432</c:v>
                </c:pt>
                <c:pt idx="336">
                  <c:v>41439</c:v>
                </c:pt>
                <c:pt idx="337">
                  <c:v>41446</c:v>
                </c:pt>
                <c:pt idx="338">
                  <c:v>41453</c:v>
                </c:pt>
                <c:pt idx="339">
                  <c:v>41460</c:v>
                </c:pt>
                <c:pt idx="340">
                  <c:v>41467</c:v>
                </c:pt>
                <c:pt idx="341">
                  <c:v>41474</c:v>
                </c:pt>
                <c:pt idx="342">
                  <c:v>41481</c:v>
                </c:pt>
                <c:pt idx="343">
                  <c:v>41488</c:v>
                </c:pt>
                <c:pt idx="344">
                  <c:v>41495</c:v>
                </c:pt>
                <c:pt idx="345">
                  <c:v>41502</c:v>
                </c:pt>
                <c:pt idx="346">
                  <c:v>41509</c:v>
                </c:pt>
                <c:pt idx="347">
                  <c:v>41516</c:v>
                </c:pt>
                <c:pt idx="348">
                  <c:v>41523</c:v>
                </c:pt>
                <c:pt idx="349">
                  <c:v>41530</c:v>
                </c:pt>
                <c:pt idx="350">
                  <c:v>41537</c:v>
                </c:pt>
                <c:pt idx="351">
                  <c:v>41544</c:v>
                </c:pt>
                <c:pt idx="352">
                  <c:v>41551</c:v>
                </c:pt>
                <c:pt idx="353">
                  <c:v>41558</c:v>
                </c:pt>
                <c:pt idx="354">
                  <c:v>41565</c:v>
                </c:pt>
                <c:pt idx="355">
                  <c:v>41572</c:v>
                </c:pt>
                <c:pt idx="356">
                  <c:v>41579</c:v>
                </c:pt>
                <c:pt idx="357">
                  <c:v>41586</c:v>
                </c:pt>
                <c:pt idx="358">
                  <c:v>41593</c:v>
                </c:pt>
                <c:pt idx="359">
                  <c:v>41600</c:v>
                </c:pt>
                <c:pt idx="360">
                  <c:v>41607</c:v>
                </c:pt>
                <c:pt idx="361">
                  <c:v>41614</c:v>
                </c:pt>
                <c:pt idx="362">
                  <c:v>41621</c:v>
                </c:pt>
                <c:pt idx="363">
                  <c:v>41628</c:v>
                </c:pt>
                <c:pt idx="364">
                  <c:v>41635</c:v>
                </c:pt>
                <c:pt idx="365">
                  <c:v>41642</c:v>
                </c:pt>
                <c:pt idx="366">
                  <c:v>41649</c:v>
                </c:pt>
                <c:pt idx="367">
                  <c:v>41656</c:v>
                </c:pt>
                <c:pt idx="368">
                  <c:v>41663</c:v>
                </c:pt>
                <c:pt idx="369">
                  <c:v>41670</c:v>
                </c:pt>
                <c:pt idx="370">
                  <c:v>41677</c:v>
                </c:pt>
                <c:pt idx="371">
                  <c:v>41684</c:v>
                </c:pt>
                <c:pt idx="372">
                  <c:v>41691</c:v>
                </c:pt>
                <c:pt idx="373">
                  <c:v>41698</c:v>
                </c:pt>
                <c:pt idx="374">
                  <c:v>41705</c:v>
                </c:pt>
                <c:pt idx="375">
                  <c:v>41712</c:v>
                </c:pt>
                <c:pt idx="376">
                  <c:v>41719</c:v>
                </c:pt>
                <c:pt idx="377">
                  <c:v>41726</c:v>
                </c:pt>
                <c:pt idx="378">
                  <c:v>41733</c:v>
                </c:pt>
                <c:pt idx="379">
                  <c:v>41740</c:v>
                </c:pt>
                <c:pt idx="380">
                  <c:v>41747</c:v>
                </c:pt>
                <c:pt idx="381">
                  <c:v>41754</c:v>
                </c:pt>
                <c:pt idx="382">
                  <c:v>41761</c:v>
                </c:pt>
                <c:pt idx="383">
                  <c:v>41768</c:v>
                </c:pt>
                <c:pt idx="384">
                  <c:v>41775</c:v>
                </c:pt>
                <c:pt idx="385">
                  <c:v>41782</c:v>
                </c:pt>
                <c:pt idx="386">
                  <c:v>41789</c:v>
                </c:pt>
                <c:pt idx="387">
                  <c:v>41796</c:v>
                </c:pt>
                <c:pt idx="388">
                  <c:v>41803</c:v>
                </c:pt>
                <c:pt idx="389">
                  <c:v>41810</c:v>
                </c:pt>
                <c:pt idx="390">
                  <c:v>41817</c:v>
                </c:pt>
                <c:pt idx="391">
                  <c:v>41824</c:v>
                </c:pt>
                <c:pt idx="392">
                  <c:v>41831</c:v>
                </c:pt>
                <c:pt idx="393">
                  <c:v>41838</c:v>
                </c:pt>
                <c:pt idx="394">
                  <c:v>41845</c:v>
                </c:pt>
                <c:pt idx="395">
                  <c:v>41852</c:v>
                </c:pt>
                <c:pt idx="396">
                  <c:v>41859</c:v>
                </c:pt>
                <c:pt idx="397">
                  <c:v>41866</c:v>
                </c:pt>
                <c:pt idx="398">
                  <c:v>41873</c:v>
                </c:pt>
                <c:pt idx="399">
                  <c:v>41880</c:v>
                </c:pt>
                <c:pt idx="400">
                  <c:v>41887</c:v>
                </c:pt>
                <c:pt idx="401">
                  <c:v>41894</c:v>
                </c:pt>
                <c:pt idx="402">
                  <c:v>41901</c:v>
                </c:pt>
                <c:pt idx="403">
                  <c:v>41908</c:v>
                </c:pt>
                <c:pt idx="404">
                  <c:v>41915</c:v>
                </c:pt>
                <c:pt idx="405">
                  <c:v>41922</c:v>
                </c:pt>
                <c:pt idx="406">
                  <c:v>41929</c:v>
                </c:pt>
                <c:pt idx="407">
                  <c:v>41936</c:v>
                </c:pt>
                <c:pt idx="408">
                  <c:v>41943</c:v>
                </c:pt>
                <c:pt idx="409">
                  <c:v>41950</c:v>
                </c:pt>
                <c:pt idx="410">
                  <c:v>41957</c:v>
                </c:pt>
                <c:pt idx="411">
                  <c:v>41964</c:v>
                </c:pt>
                <c:pt idx="412">
                  <c:v>41971</c:v>
                </c:pt>
                <c:pt idx="413">
                  <c:v>41978</c:v>
                </c:pt>
                <c:pt idx="414">
                  <c:v>41985</c:v>
                </c:pt>
                <c:pt idx="415">
                  <c:v>41992</c:v>
                </c:pt>
                <c:pt idx="416">
                  <c:v>41999</c:v>
                </c:pt>
                <c:pt idx="417">
                  <c:v>42006</c:v>
                </c:pt>
                <c:pt idx="418">
                  <c:v>42013</c:v>
                </c:pt>
                <c:pt idx="419">
                  <c:v>42020</c:v>
                </c:pt>
                <c:pt idx="420">
                  <c:v>42027</c:v>
                </c:pt>
                <c:pt idx="421">
                  <c:v>42034</c:v>
                </c:pt>
                <c:pt idx="422">
                  <c:v>42041</c:v>
                </c:pt>
                <c:pt idx="423">
                  <c:v>42048</c:v>
                </c:pt>
                <c:pt idx="424">
                  <c:v>42055</c:v>
                </c:pt>
                <c:pt idx="425">
                  <c:v>42062</c:v>
                </c:pt>
                <c:pt idx="426">
                  <c:v>42069</c:v>
                </c:pt>
                <c:pt idx="427">
                  <c:v>42076</c:v>
                </c:pt>
                <c:pt idx="428">
                  <c:v>42083</c:v>
                </c:pt>
                <c:pt idx="429">
                  <c:v>42090</c:v>
                </c:pt>
                <c:pt idx="430">
                  <c:v>42097</c:v>
                </c:pt>
                <c:pt idx="431">
                  <c:v>42104</c:v>
                </c:pt>
                <c:pt idx="432">
                  <c:v>42111</c:v>
                </c:pt>
                <c:pt idx="433">
                  <c:v>42118</c:v>
                </c:pt>
                <c:pt idx="434">
                  <c:v>42125</c:v>
                </c:pt>
                <c:pt idx="435">
                  <c:v>42132</c:v>
                </c:pt>
                <c:pt idx="436">
                  <c:v>42139</c:v>
                </c:pt>
                <c:pt idx="437">
                  <c:v>42146</c:v>
                </c:pt>
                <c:pt idx="438">
                  <c:v>42153</c:v>
                </c:pt>
                <c:pt idx="439">
                  <c:v>42160</c:v>
                </c:pt>
                <c:pt idx="440">
                  <c:v>42167</c:v>
                </c:pt>
                <c:pt idx="441">
                  <c:v>42174</c:v>
                </c:pt>
                <c:pt idx="442">
                  <c:v>42181</c:v>
                </c:pt>
                <c:pt idx="443">
                  <c:v>42188</c:v>
                </c:pt>
                <c:pt idx="444">
                  <c:v>42195</c:v>
                </c:pt>
                <c:pt idx="445">
                  <c:v>42202</c:v>
                </c:pt>
                <c:pt idx="446">
                  <c:v>42209</c:v>
                </c:pt>
                <c:pt idx="447">
                  <c:v>42216</c:v>
                </c:pt>
                <c:pt idx="448">
                  <c:v>42223</c:v>
                </c:pt>
                <c:pt idx="449">
                  <c:v>42230</c:v>
                </c:pt>
                <c:pt idx="450">
                  <c:v>42237</c:v>
                </c:pt>
                <c:pt idx="451">
                  <c:v>42244</c:v>
                </c:pt>
                <c:pt idx="452">
                  <c:v>42251</c:v>
                </c:pt>
                <c:pt idx="453">
                  <c:v>42258</c:v>
                </c:pt>
                <c:pt idx="454">
                  <c:v>42265</c:v>
                </c:pt>
                <c:pt idx="455">
                  <c:v>42272</c:v>
                </c:pt>
                <c:pt idx="456">
                  <c:v>42279</c:v>
                </c:pt>
                <c:pt idx="457">
                  <c:v>42286</c:v>
                </c:pt>
                <c:pt idx="458">
                  <c:v>42293</c:v>
                </c:pt>
                <c:pt idx="459">
                  <c:v>42300</c:v>
                </c:pt>
                <c:pt idx="460">
                  <c:v>42307</c:v>
                </c:pt>
                <c:pt idx="461">
                  <c:v>42314</c:v>
                </c:pt>
                <c:pt idx="462">
                  <c:v>42321</c:v>
                </c:pt>
                <c:pt idx="463">
                  <c:v>42328</c:v>
                </c:pt>
                <c:pt idx="464">
                  <c:v>42335</c:v>
                </c:pt>
                <c:pt idx="465">
                  <c:v>42342</c:v>
                </c:pt>
                <c:pt idx="466">
                  <c:v>42349</c:v>
                </c:pt>
                <c:pt idx="467">
                  <c:v>42356</c:v>
                </c:pt>
                <c:pt idx="468">
                  <c:v>42363</c:v>
                </c:pt>
                <c:pt idx="469">
                  <c:v>42370</c:v>
                </c:pt>
                <c:pt idx="470">
                  <c:v>42377</c:v>
                </c:pt>
                <c:pt idx="471">
                  <c:v>42384</c:v>
                </c:pt>
                <c:pt idx="472">
                  <c:v>42391</c:v>
                </c:pt>
                <c:pt idx="473">
                  <c:v>42398</c:v>
                </c:pt>
                <c:pt idx="474">
                  <c:v>42405</c:v>
                </c:pt>
                <c:pt idx="475">
                  <c:v>42412</c:v>
                </c:pt>
                <c:pt idx="476">
                  <c:v>42419</c:v>
                </c:pt>
                <c:pt idx="477">
                  <c:v>42426</c:v>
                </c:pt>
                <c:pt idx="478">
                  <c:v>42433</c:v>
                </c:pt>
                <c:pt idx="479">
                  <c:v>42440</c:v>
                </c:pt>
                <c:pt idx="480">
                  <c:v>42447</c:v>
                </c:pt>
                <c:pt idx="481">
                  <c:v>42454</c:v>
                </c:pt>
                <c:pt idx="482">
                  <c:v>42461</c:v>
                </c:pt>
                <c:pt idx="483">
                  <c:v>42468</c:v>
                </c:pt>
                <c:pt idx="484">
                  <c:v>42475</c:v>
                </c:pt>
                <c:pt idx="485">
                  <c:v>42482</c:v>
                </c:pt>
                <c:pt idx="486">
                  <c:v>42489</c:v>
                </c:pt>
                <c:pt idx="487">
                  <c:v>42496</c:v>
                </c:pt>
                <c:pt idx="488">
                  <c:v>42503</c:v>
                </c:pt>
                <c:pt idx="489">
                  <c:v>42510</c:v>
                </c:pt>
                <c:pt idx="490">
                  <c:v>42517</c:v>
                </c:pt>
                <c:pt idx="491">
                  <c:v>42524</c:v>
                </c:pt>
                <c:pt idx="492">
                  <c:v>42531</c:v>
                </c:pt>
                <c:pt idx="493">
                  <c:v>42538</c:v>
                </c:pt>
                <c:pt idx="494">
                  <c:v>42545</c:v>
                </c:pt>
                <c:pt idx="495">
                  <c:v>42552</c:v>
                </c:pt>
                <c:pt idx="496">
                  <c:v>42559</c:v>
                </c:pt>
                <c:pt idx="497">
                  <c:v>42566</c:v>
                </c:pt>
                <c:pt idx="498">
                  <c:v>42573</c:v>
                </c:pt>
                <c:pt idx="499">
                  <c:v>42580</c:v>
                </c:pt>
                <c:pt idx="500">
                  <c:v>42587</c:v>
                </c:pt>
                <c:pt idx="501">
                  <c:v>42594</c:v>
                </c:pt>
                <c:pt idx="502">
                  <c:v>42601</c:v>
                </c:pt>
                <c:pt idx="503">
                  <c:v>42608</c:v>
                </c:pt>
                <c:pt idx="504">
                  <c:v>42615</c:v>
                </c:pt>
                <c:pt idx="505">
                  <c:v>42622</c:v>
                </c:pt>
                <c:pt idx="506">
                  <c:v>42629</c:v>
                </c:pt>
                <c:pt idx="507">
                  <c:v>42636</c:v>
                </c:pt>
                <c:pt idx="508">
                  <c:v>42643</c:v>
                </c:pt>
                <c:pt idx="509">
                  <c:v>42650</c:v>
                </c:pt>
                <c:pt idx="510">
                  <c:v>42657</c:v>
                </c:pt>
                <c:pt idx="511">
                  <c:v>42664</c:v>
                </c:pt>
                <c:pt idx="512">
                  <c:v>42671</c:v>
                </c:pt>
                <c:pt idx="513">
                  <c:v>42678</c:v>
                </c:pt>
                <c:pt idx="514">
                  <c:v>42685</c:v>
                </c:pt>
                <c:pt idx="515">
                  <c:v>42692</c:v>
                </c:pt>
                <c:pt idx="516">
                  <c:v>42699</c:v>
                </c:pt>
                <c:pt idx="517">
                  <c:v>42706</c:v>
                </c:pt>
                <c:pt idx="518">
                  <c:v>42713</c:v>
                </c:pt>
                <c:pt idx="519">
                  <c:v>42720</c:v>
                </c:pt>
                <c:pt idx="520">
                  <c:v>42727</c:v>
                </c:pt>
                <c:pt idx="521">
                  <c:v>42734</c:v>
                </c:pt>
                <c:pt idx="522">
                  <c:v>42741</c:v>
                </c:pt>
                <c:pt idx="523">
                  <c:v>42748</c:v>
                </c:pt>
                <c:pt idx="524">
                  <c:v>42755</c:v>
                </c:pt>
                <c:pt idx="525">
                  <c:v>42762</c:v>
                </c:pt>
                <c:pt idx="526">
                  <c:v>42769</c:v>
                </c:pt>
                <c:pt idx="527">
                  <c:v>42776</c:v>
                </c:pt>
                <c:pt idx="528">
                  <c:v>42783</c:v>
                </c:pt>
                <c:pt idx="529">
                  <c:v>42790</c:v>
                </c:pt>
                <c:pt idx="530">
                  <c:v>42797</c:v>
                </c:pt>
                <c:pt idx="531">
                  <c:v>42804</c:v>
                </c:pt>
                <c:pt idx="532">
                  <c:v>42811</c:v>
                </c:pt>
                <c:pt idx="533">
                  <c:v>42818</c:v>
                </c:pt>
                <c:pt idx="534">
                  <c:v>42825</c:v>
                </c:pt>
                <c:pt idx="535">
                  <c:v>42832</c:v>
                </c:pt>
                <c:pt idx="536">
                  <c:v>42839</c:v>
                </c:pt>
                <c:pt idx="537">
                  <c:v>42846</c:v>
                </c:pt>
                <c:pt idx="538">
                  <c:v>42853</c:v>
                </c:pt>
                <c:pt idx="539">
                  <c:v>42860</c:v>
                </c:pt>
                <c:pt idx="540">
                  <c:v>42867</c:v>
                </c:pt>
                <c:pt idx="541">
                  <c:v>42874</c:v>
                </c:pt>
                <c:pt idx="542">
                  <c:v>42881</c:v>
                </c:pt>
                <c:pt idx="543">
                  <c:v>42888</c:v>
                </c:pt>
                <c:pt idx="544">
                  <c:v>42895</c:v>
                </c:pt>
                <c:pt idx="545">
                  <c:v>42902</c:v>
                </c:pt>
                <c:pt idx="546">
                  <c:v>42909</c:v>
                </c:pt>
                <c:pt idx="547">
                  <c:v>42916</c:v>
                </c:pt>
                <c:pt idx="548">
                  <c:v>42923</c:v>
                </c:pt>
                <c:pt idx="549">
                  <c:v>42930</c:v>
                </c:pt>
                <c:pt idx="550">
                  <c:v>42937</c:v>
                </c:pt>
                <c:pt idx="551">
                  <c:v>42944</c:v>
                </c:pt>
                <c:pt idx="552">
                  <c:v>42951</c:v>
                </c:pt>
                <c:pt idx="553">
                  <c:v>42958</c:v>
                </c:pt>
                <c:pt idx="554">
                  <c:v>42965</c:v>
                </c:pt>
                <c:pt idx="555">
                  <c:v>42972</c:v>
                </c:pt>
                <c:pt idx="556">
                  <c:v>42979</c:v>
                </c:pt>
                <c:pt idx="557">
                  <c:v>42986</c:v>
                </c:pt>
                <c:pt idx="558">
                  <c:v>42993</c:v>
                </c:pt>
                <c:pt idx="559">
                  <c:v>43000</c:v>
                </c:pt>
                <c:pt idx="560">
                  <c:v>43007</c:v>
                </c:pt>
                <c:pt idx="561">
                  <c:v>43014</c:v>
                </c:pt>
                <c:pt idx="562">
                  <c:v>43021</c:v>
                </c:pt>
                <c:pt idx="563">
                  <c:v>43028</c:v>
                </c:pt>
                <c:pt idx="564">
                  <c:v>43035</c:v>
                </c:pt>
                <c:pt idx="565">
                  <c:v>43042</c:v>
                </c:pt>
                <c:pt idx="566">
                  <c:v>43049</c:v>
                </c:pt>
                <c:pt idx="567">
                  <c:v>43056</c:v>
                </c:pt>
                <c:pt idx="568">
                  <c:v>43063</c:v>
                </c:pt>
                <c:pt idx="569">
                  <c:v>43070</c:v>
                </c:pt>
                <c:pt idx="570">
                  <c:v>43077</c:v>
                </c:pt>
                <c:pt idx="571">
                  <c:v>43084</c:v>
                </c:pt>
                <c:pt idx="572">
                  <c:v>43091</c:v>
                </c:pt>
                <c:pt idx="573">
                  <c:v>43098</c:v>
                </c:pt>
                <c:pt idx="574">
                  <c:v>43105</c:v>
                </c:pt>
                <c:pt idx="575">
                  <c:v>43112</c:v>
                </c:pt>
                <c:pt idx="576">
                  <c:v>43119</c:v>
                </c:pt>
                <c:pt idx="577">
                  <c:v>43126</c:v>
                </c:pt>
                <c:pt idx="578">
                  <c:v>43133</c:v>
                </c:pt>
                <c:pt idx="579">
                  <c:v>43140</c:v>
                </c:pt>
                <c:pt idx="580">
                  <c:v>43147</c:v>
                </c:pt>
                <c:pt idx="581">
                  <c:v>43154</c:v>
                </c:pt>
                <c:pt idx="582">
                  <c:v>43161</c:v>
                </c:pt>
                <c:pt idx="583">
                  <c:v>43168</c:v>
                </c:pt>
                <c:pt idx="584">
                  <c:v>43175</c:v>
                </c:pt>
                <c:pt idx="585">
                  <c:v>43182</c:v>
                </c:pt>
                <c:pt idx="586">
                  <c:v>43189</c:v>
                </c:pt>
                <c:pt idx="587">
                  <c:v>43196</c:v>
                </c:pt>
                <c:pt idx="588">
                  <c:v>43203</c:v>
                </c:pt>
                <c:pt idx="589">
                  <c:v>43210</c:v>
                </c:pt>
                <c:pt idx="590">
                  <c:v>43217</c:v>
                </c:pt>
                <c:pt idx="591">
                  <c:v>43224</c:v>
                </c:pt>
                <c:pt idx="592">
                  <c:v>43231</c:v>
                </c:pt>
                <c:pt idx="593">
                  <c:v>43238</c:v>
                </c:pt>
                <c:pt idx="594">
                  <c:v>43245</c:v>
                </c:pt>
                <c:pt idx="595">
                  <c:v>43252</c:v>
                </c:pt>
                <c:pt idx="596">
                  <c:v>43259</c:v>
                </c:pt>
                <c:pt idx="597">
                  <c:v>43266</c:v>
                </c:pt>
                <c:pt idx="598">
                  <c:v>43273</c:v>
                </c:pt>
                <c:pt idx="599">
                  <c:v>43280</c:v>
                </c:pt>
                <c:pt idx="600">
                  <c:v>43287</c:v>
                </c:pt>
                <c:pt idx="601">
                  <c:v>43294</c:v>
                </c:pt>
                <c:pt idx="602">
                  <c:v>43301</c:v>
                </c:pt>
                <c:pt idx="603">
                  <c:v>43308</c:v>
                </c:pt>
                <c:pt idx="604">
                  <c:v>43315</c:v>
                </c:pt>
                <c:pt idx="605">
                  <c:v>43322</c:v>
                </c:pt>
                <c:pt idx="606">
                  <c:v>43329</c:v>
                </c:pt>
                <c:pt idx="607">
                  <c:v>43336</c:v>
                </c:pt>
                <c:pt idx="608">
                  <c:v>43343</c:v>
                </c:pt>
                <c:pt idx="609">
                  <c:v>43350</c:v>
                </c:pt>
                <c:pt idx="610">
                  <c:v>43357</c:v>
                </c:pt>
                <c:pt idx="611">
                  <c:v>43364</c:v>
                </c:pt>
                <c:pt idx="612">
                  <c:v>43371</c:v>
                </c:pt>
                <c:pt idx="613">
                  <c:v>43378</c:v>
                </c:pt>
                <c:pt idx="614">
                  <c:v>43385</c:v>
                </c:pt>
                <c:pt idx="615">
                  <c:v>43392</c:v>
                </c:pt>
                <c:pt idx="616">
                  <c:v>43399</c:v>
                </c:pt>
                <c:pt idx="617">
                  <c:v>43406</c:v>
                </c:pt>
                <c:pt idx="618">
                  <c:v>43413</c:v>
                </c:pt>
                <c:pt idx="619">
                  <c:v>43420</c:v>
                </c:pt>
                <c:pt idx="620">
                  <c:v>43427</c:v>
                </c:pt>
                <c:pt idx="621">
                  <c:v>43434</c:v>
                </c:pt>
                <c:pt idx="622">
                  <c:v>43441</c:v>
                </c:pt>
                <c:pt idx="623">
                  <c:v>43448</c:v>
                </c:pt>
                <c:pt idx="624">
                  <c:v>43455</c:v>
                </c:pt>
                <c:pt idx="625">
                  <c:v>43462</c:v>
                </c:pt>
                <c:pt idx="626">
                  <c:v>43469</c:v>
                </c:pt>
                <c:pt idx="627">
                  <c:v>43476</c:v>
                </c:pt>
                <c:pt idx="628">
                  <c:v>43483</c:v>
                </c:pt>
                <c:pt idx="629">
                  <c:v>43490</c:v>
                </c:pt>
                <c:pt idx="630">
                  <c:v>43497</c:v>
                </c:pt>
                <c:pt idx="631">
                  <c:v>43504</c:v>
                </c:pt>
                <c:pt idx="632">
                  <c:v>43511</c:v>
                </c:pt>
                <c:pt idx="633">
                  <c:v>43518</c:v>
                </c:pt>
                <c:pt idx="634">
                  <c:v>43525</c:v>
                </c:pt>
                <c:pt idx="635">
                  <c:v>43532</c:v>
                </c:pt>
                <c:pt idx="636">
                  <c:v>43539</c:v>
                </c:pt>
                <c:pt idx="637">
                  <c:v>43546</c:v>
                </c:pt>
                <c:pt idx="638">
                  <c:v>43553</c:v>
                </c:pt>
                <c:pt idx="639">
                  <c:v>43560</c:v>
                </c:pt>
                <c:pt idx="640">
                  <c:v>43567</c:v>
                </c:pt>
                <c:pt idx="641">
                  <c:v>43574</c:v>
                </c:pt>
                <c:pt idx="642">
                  <c:v>43581</c:v>
                </c:pt>
                <c:pt idx="643">
                  <c:v>43588</c:v>
                </c:pt>
                <c:pt idx="644">
                  <c:v>43595</c:v>
                </c:pt>
                <c:pt idx="645">
                  <c:v>43602</c:v>
                </c:pt>
                <c:pt idx="646">
                  <c:v>43609</c:v>
                </c:pt>
                <c:pt idx="647">
                  <c:v>43616</c:v>
                </c:pt>
                <c:pt idx="648">
                  <c:v>43623</c:v>
                </c:pt>
                <c:pt idx="649">
                  <c:v>43630</c:v>
                </c:pt>
                <c:pt idx="650">
                  <c:v>43637</c:v>
                </c:pt>
                <c:pt idx="651">
                  <c:v>43644</c:v>
                </c:pt>
                <c:pt idx="652">
                  <c:v>43651</c:v>
                </c:pt>
                <c:pt idx="653">
                  <c:v>43658</c:v>
                </c:pt>
                <c:pt idx="654">
                  <c:v>43665</c:v>
                </c:pt>
                <c:pt idx="655">
                  <c:v>43672</c:v>
                </c:pt>
                <c:pt idx="656">
                  <c:v>43679</c:v>
                </c:pt>
                <c:pt idx="657">
                  <c:v>43686</c:v>
                </c:pt>
                <c:pt idx="658">
                  <c:v>43693</c:v>
                </c:pt>
                <c:pt idx="659">
                  <c:v>43700</c:v>
                </c:pt>
                <c:pt idx="660">
                  <c:v>43707</c:v>
                </c:pt>
                <c:pt idx="661">
                  <c:v>43714</c:v>
                </c:pt>
                <c:pt idx="662">
                  <c:v>43721</c:v>
                </c:pt>
                <c:pt idx="663">
                  <c:v>43728</c:v>
                </c:pt>
                <c:pt idx="664">
                  <c:v>43735</c:v>
                </c:pt>
                <c:pt idx="665">
                  <c:v>43742</c:v>
                </c:pt>
                <c:pt idx="666">
                  <c:v>43749</c:v>
                </c:pt>
                <c:pt idx="667">
                  <c:v>43756</c:v>
                </c:pt>
                <c:pt idx="668">
                  <c:v>43763</c:v>
                </c:pt>
                <c:pt idx="669">
                  <c:v>43770</c:v>
                </c:pt>
                <c:pt idx="670">
                  <c:v>43777</c:v>
                </c:pt>
                <c:pt idx="671">
                  <c:v>43784</c:v>
                </c:pt>
                <c:pt idx="672">
                  <c:v>43791</c:v>
                </c:pt>
                <c:pt idx="673">
                  <c:v>43798</c:v>
                </c:pt>
                <c:pt idx="674">
                  <c:v>43805</c:v>
                </c:pt>
                <c:pt idx="675">
                  <c:v>43812</c:v>
                </c:pt>
                <c:pt idx="676">
                  <c:v>43819</c:v>
                </c:pt>
                <c:pt idx="677">
                  <c:v>43826</c:v>
                </c:pt>
                <c:pt idx="678">
                  <c:v>43833</c:v>
                </c:pt>
                <c:pt idx="679">
                  <c:v>43840</c:v>
                </c:pt>
                <c:pt idx="680">
                  <c:v>43847</c:v>
                </c:pt>
                <c:pt idx="681">
                  <c:v>43854</c:v>
                </c:pt>
                <c:pt idx="682">
                  <c:v>43861</c:v>
                </c:pt>
                <c:pt idx="683">
                  <c:v>43868</c:v>
                </c:pt>
                <c:pt idx="684">
                  <c:v>43875</c:v>
                </c:pt>
                <c:pt idx="685">
                  <c:v>43882</c:v>
                </c:pt>
                <c:pt idx="686">
                  <c:v>43889</c:v>
                </c:pt>
                <c:pt idx="687">
                  <c:v>43896</c:v>
                </c:pt>
                <c:pt idx="688">
                  <c:v>43903</c:v>
                </c:pt>
                <c:pt idx="689">
                  <c:v>43910</c:v>
                </c:pt>
                <c:pt idx="690">
                  <c:v>43917</c:v>
                </c:pt>
                <c:pt idx="691">
                  <c:v>43924</c:v>
                </c:pt>
                <c:pt idx="692">
                  <c:v>43931</c:v>
                </c:pt>
                <c:pt idx="693">
                  <c:v>43938</c:v>
                </c:pt>
                <c:pt idx="694">
                  <c:v>43945</c:v>
                </c:pt>
                <c:pt idx="695">
                  <c:v>43952</c:v>
                </c:pt>
                <c:pt idx="696">
                  <c:v>43959</c:v>
                </c:pt>
                <c:pt idx="697">
                  <c:v>43966</c:v>
                </c:pt>
                <c:pt idx="698">
                  <c:v>43973</c:v>
                </c:pt>
                <c:pt idx="699">
                  <c:v>43980</c:v>
                </c:pt>
                <c:pt idx="700">
                  <c:v>43987</c:v>
                </c:pt>
                <c:pt idx="701">
                  <c:v>43994</c:v>
                </c:pt>
                <c:pt idx="702">
                  <c:v>44001</c:v>
                </c:pt>
                <c:pt idx="703">
                  <c:v>44008</c:v>
                </c:pt>
                <c:pt idx="704">
                  <c:v>44015</c:v>
                </c:pt>
                <c:pt idx="705">
                  <c:v>44022</c:v>
                </c:pt>
                <c:pt idx="706">
                  <c:v>44029</c:v>
                </c:pt>
                <c:pt idx="707">
                  <c:v>44036</c:v>
                </c:pt>
                <c:pt idx="708">
                  <c:v>44043</c:v>
                </c:pt>
                <c:pt idx="709">
                  <c:v>44050</c:v>
                </c:pt>
                <c:pt idx="710">
                  <c:v>44057</c:v>
                </c:pt>
                <c:pt idx="711">
                  <c:v>44064</c:v>
                </c:pt>
                <c:pt idx="712">
                  <c:v>44071</c:v>
                </c:pt>
                <c:pt idx="713">
                  <c:v>44078</c:v>
                </c:pt>
                <c:pt idx="714">
                  <c:v>44085</c:v>
                </c:pt>
                <c:pt idx="715">
                  <c:v>44092</c:v>
                </c:pt>
                <c:pt idx="716">
                  <c:v>44099</c:v>
                </c:pt>
                <c:pt idx="717">
                  <c:v>44106</c:v>
                </c:pt>
                <c:pt idx="718">
                  <c:v>44113</c:v>
                </c:pt>
                <c:pt idx="719">
                  <c:v>44120</c:v>
                </c:pt>
                <c:pt idx="720">
                  <c:v>44127</c:v>
                </c:pt>
                <c:pt idx="721">
                  <c:v>44134</c:v>
                </c:pt>
                <c:pt idx="722">
                  <c:v>44141</c:v>
                </c:pt>
                <c:pt idx="723">
                  <c:v>44148</c:v>
                </c:pt>
                <c:pt idx="724">
                  <c:v>44155</c:v>
                </c:pt>
                <c:pt idx="725">
                  <c:v>44162</c:v>
                </c:pt>
                <c:pt idx="726">
                  <c:v>44169</c:v>
                </c:pt>
                <c:pt idx="727">
                  <c:v>44176</c:v>
                </c:pt>
                <c:pt idx="728">
                  <c:v>44183</c:v>
                </c:pt>
                <c:pt idx="729">
                  <c:v>44190</c:v>
                </c:pt>
                <c:pt idx="730">
                  <c:v>44197</c:v>
                </c:pt>
                <c:pt idx="731">
                  <c:v>44204</c:v>
                </c:pt>
                <c:pt idx="732">
                  <c:v>44211</c:v>
                </c:pt>
                <c:pt idx="733">
                  <c:v>44218</c:v>
                </c:pt>
                <c:pt idx="734">
                  <c:v>44225</c:v>
                </c:pt>
                <c:pt idx="735">
                  <c:v>44232</c:v>
                </c:pt>
                <c:pt idx="736">
                  <c:v>44239</c:v>
                </c:pt>
                <c:pt idx="737">
                  <c:v>44246</c:v>
                </c:pt>
                <c:pt idx="738">
                  <c:v>44253</c:v>
                </c:pt>
                <c:pt idx="739">
                  <c:v>44260</c:v>
                </c:pt>
                <c:pt idx="740">
                  <c:v>44267</c:v>
                </c:pt>
                <c:pt idx="741">
                  <c:v>44274</c:v>
                </c:pt>
                <c:pt idx="742">
                  <c:v>44281</c:v>
                </c:pt>
                <c:pt idx="743">
                  <c:v>44288</c:v>
                </c:pt>
                <c:pt idx="744">
                  <c:v>44295</c:v>
                </c:pt>
                <c:pt idx="745">
                  <c:v>44302</c:v>
                </c:pt>
                <c:pt idx="746">
                  <c:v>44309</c:v>
                </c:pt>
                <c:pt idx="747">
                  <c:v>44316</c:v>
                </c:pt>
                <c:pt idx="748">
                  <c:v>44323</c:v>
                </c:pt>
                <c:pt idx="749">
                  <c:v>44330</c:v>
                </c:pt>
                <c:pt idx="750">
                  <c:v>44337</c:v>
                </c:pt>
                <c:pt idx="751">
                  <c:v>44344</c:v>
                </c:pt>
                <c:pt idx="752">
                  <c:v>44351</c:v>
                </c:pt>
                <c:pt idx="753">
                  <c:v>44358</c:v>
                </c:pt>
                <c:pt idx="754">
                  <c:v>44365</c:v>
                </c:pt>
                <c:pt idx="755">
                  <c:v>44372</c:v>
                </c:pt>
                <c:pt idx="756">
                  <c:v>44379</c:v>
                </c:pt>
                <c:pt idx="757">
                  <c:v>44386</c:v>
                </c:pt>
                <c:pt idx="758">
                  <c:v>44393</c:v>
                </c:pt>
                <c:pt idx="759">
                  <c:v>44400</c:v>
                </c:pt>
                <c:pt idx="760">
                  <c:v>44407</c:v>
                </c:pt>
                <c:pt idx="761">
                  <c:v>44414</c:v>
                </c:pt>
                <c:pt idx="762">
                  <c:v>44421</c:v>
                </c:pt>
                <c:pt idx="763">
                  <c:v>44428</c:v>
                </c:pt>
                <c:pt idx="764">
                  <c:v>44435</c:v>
                </c:pt>
                <c:pt idx="765">
                  <c:v>44442</c:v>
                </c:pt>
                <c:pt idx="766">
                  <c:v>44449</c:v>
                </c:pt>
                <c:pt idx="767">
                  <c:v>44456</c:v>
                </c:pt>
                <c:pt idx="768">
                  <c:v>44463</c:v>
                </c:pt>
                <c:pt idx="769">
                  <c:v>44470</c:v>
                </c:pt>
                <c:pt idx="770">
                  <c:v>44477</c:v>
                </c:pt>
                <c:pt idx="771">
                  <c:v>44484</c:v>
                </c:pt>
                <c:pt idx="772">
                  <c:v>44491</c:v>
                </c:pt>
                <c:pt idx="773">
                  <c:v>44498</c:v>
                </c:pt>
                <c:pt idx="774">
                  <c:v>44505</c:v>
                </c:pt>
                <c:pt idx="775">
                  <c:v>44512</c:v>
                </c:pt>
                <c:pt idx="776">
                  <c:v>44519</c:v>
                </c:pt>
                <c:pt idx="777">
                  <c:v>44526</c:v>
                </c:pt>
                <c:pt idx="778">
                  <c:v>44533</c:v>
                </c:pt>
                <c:pt idx="779">
                  <c:v>44540</c:v>
                </c:pt>
                <c:pt idx="780">
                  <c:v>44547</c:v>
                </c:pt>
                <c:pt idx="781">
                  <c:v>44554</c:v>
                </c:pt>
                <c:pt idx="782">
                  <c:v>44561</c:v>
                </c:pt>
                <c:pt idx="783">
                  <c:v>44568</c:v>
                </c:pt>
                <c:pt idx="784">
                  <c:v>44575</c:v>
                </c:pt>
                <c:pt idx="785">
                  <c:v>44582</c:v>
                </c:pt>
                <c:pt idx="786">
                  <c:v>44589</c:v>
                </c:pt>
                <c:pt idx="787">
                  <c:v>44596</c:v>
                </c:pt>
                <c:pt idx="788">
                  <c:v>44603</c:v>
                </c:pt>
                <c:pt idx="789">
                  <c:v>44610</c:v>
                </c:pt>
                <c:pt idx="790">
                  <c:v>44617</c:v>
                </c:pt>
                <c:pt idx="791">
                  <c:v>44624</c:v>
                </c:pt>
                <c:pt idx="792">
                  <c:v>44631</c:v>
                </c:pt>
                <c:pt idx="793">
                  <c:v>44638</c:v>
                </c:pt>
                <c:pt idx="794">
                  <c:v>44645</c:v>
                </c:pt>
                <c:pt idx="795">
                  <c:v>44652</c:v>
                </c:pt>
                <c:pt idx="796">
                  <c:v>44659</c:v>
                </c:pt>
                <c:pt idx="797">
                  <c:v>44666</c:v>
                </c:pt>
                <c:pt idx="798">
                  <c:v>44673</c:v>
                </c:pt>
                <c:pt idx="799">
                  <c:v>44680</c:v>
                </c:pt>
                <c:pt idx="800">
                  <c:v>44687</c:v>
                </c:pt>
                <c:pt idx="801">
                  <c:v>44694</c:v>
                </c:pt>
                <c:pt idx="802">
                  <c:v>44701</c:v>
                </c:pt>
                <c:pt idx="803">
                  <c:v>44708</c:v>
                </c:pt>
                <c:pt idx="804">
                  <c:v>44715</c:v>
                </c:pt>
                <c:pt idx="805">
                  <c:v>44722</c:v>
                </c:pt>
                <c:pt idx="806">
                  <c:v>44729</c:v>
                </c:pt>
                <c:pt idx="807">
                  <c:v>44736</c:v>
                </c:pt>
                <c:pt idx="808">
                  <c:v>44743</c:v>
                </c:pt>
                <c:pt idx="809">
                  <c:v>44750</c:v>
                </c:pt>
                <c:pt idx="810">
                  <c:v>44757</c:v>
                </c:pt>
                <c:pt idx="811">
                  <c:v>44764</c:v>
                </c:pt>
                <c:pt idx="812">
                  <c:v>44771</c:v>
                </c:pt>
                <c:pt idx="813">
                  <c:v>44778</c:v>
                </c:pt>
                <c:pt idx="814">
                  <c:v>44785</c:v>
                </c:pt>
                <c:pt idx="815">
                  <c:v>44792</c:v>
                </c:pt>
                <c:pt idx="816">
                  <c:v>44799</c:v>
                </c:pt>
                <c:pt idx="817">
                  <c:v>44806</c:v>
                </c:pt>
                <c:pt idx="818">
                  <c:v>44813</c:v>
                </c:pt>
                <c:pt idx="819">
                  <c:v>44820</c:v>
                </c:pt>
                <c:pt idx="820">
                  <c:v>44827</c:v>
                </c:pt>
                <c:pt idx="821">
                  <c:v>44834</c:v>
                </c:pt>
                <c:pt idx="822">
                  <c:v>44841</c:v>
                </c:pt>
                <c:pt idx="823">
                  <c:v>44848</c:v>
                </c:pt>
                <c:pt idx="824">
                  <c:v>44855</c:v>
                </c:pt>
                <c:pt idx="825">
                  <c:v>44862</c:v>
                </c:pt>
                <c:pt idx="826">
                  <c:v>44869</c:v>
                </c:pt>
                <c:pt idx="827">
                  <c:v>44876</c:v>
                </c:pt>
                <c:pt idx="828">
                  <c:v>44883</c:v>
                </c:pt>
                <c:pt idx="829">
                  <c:v>44890</c:v>
                </c:pt>
                <c:pt idx="830">
                  <c:v>44897</c:v>
                </c:pt>
                <c:pt idx="831">
                  <c:v>44904</c:v>
                </c:pt>
                <c:pt idx="832">
                  <c:v>44911</c:v>
                </c:pt>
                <c:pt idx="833">
                  <c:v>44918</c:v>
                </c:pt>
                <c:pt idx="834">
                  <c:v>44925</c:v>
                </c:pt>
                <c:pt idx="835">
                  <c:v>44932</c:v>
                </c:pt>
                <c:pt idx="836">
                  <c:v>44939</c:v>
                </c:pt>
                <c:pt idx="837">
                  <c:v>44946</c:v>
                </c:pt>
                <c:pt idx="838">
                  <c:v>44953</c:v>
                </c:pt>
                <c:pt idx="839">
                  <c:v>44960</c:v>
                </c:pt>
                <c:pt idx="840">
                  <c:v>44967</c:v>
                </c:pt>
                <c:pt idx="841">
                  <c:v>44974</c:v>
                </c:pt>
                <c:pt idx="842">
                  <c:v>44981</c:v>
                </c:pt>
                <c:pt idx="843">
                  <c:v>44988</c:v>
                </c:pt>
                <c:pt idx="844">
                  <c:v>44995</c:v>
                </c:pt>
                <c:pt idx="845">
                  <c:v>45002</c:v>
                </c:pt>
                <c:pt idx="846">
                  <c:v>45009</c:v>
                </c:pt>
                <c:pt idx="847">
                  <c:v>45016</c:v>
                </c:pt>
                <c:pt idx="848">
                  <c:v>45023</c:v>
                </c:pt>
                <c:pt idx="849">
                  <c:v>45030</c:v>
                </c:pt>
                <c:pt idx="850">
                  <c:v>45037</c:v>
                </c:pt>
                <c:pt idx="851">
                  <c:v>45044</c:v>
                </c:pt>
                <c:pt idx="852">
                  <c:v>45051</c:v>
                </c:pt>
                <c:pt idx="853">
                  <c:v>45058</c:v>
                </c:pt>
                <c:pt idx="854">
                  <c:v>45065</c:v>
                </c:pt>
                <c:pt idx="855">
                  <c:v>45072</c:v>
                </c:pt>
                <c:pt idx="856">
                  <c:v>45079</c:v>
                </c:pt>
                <c:pt idx="857">
                  <c:v>45086</c:v>
                </c:pt>
                <c:pt idx="858">
                  <c:v>45093</c:v>
                </c:pt>
                <c:pt idx="859">
                  <c:v>45100</c:v>
                </c:pt>
                <c:pt idx="860">
                  <c:v>45107</c:v>
                </c:pt>
                <c:pt idx="861">
                  <c:v>45114</c:v>
                </c:pt>
                <c:pt idx="862">
                  <c:v>45121</c:v>
                </c:pt>
                <c:pt idx="863">
                  <c:v>45128</c:v>
                </c:pt>
                <c:pt idx="864">
                  <c:v>45135</c:v>
                </c:pt>
                <c:pt idx="865">
                  <c:v>45142</c:v>
                </c:pt>
                <c:pt idx="866">
                  <c:v>45149</c:v>
                </c:pt>
                <c:pt idx="867">
                  <c:v>45156</c:v>
                </c:pt>
                <c:pt idx="868">
                  <c:v>45163</c:v>
                </c:pt>
                <c:pt idx="869">
                  <c:v>45170</c:v>
                </c:pt>
                <c:pt idx="870">
                  <c:v>45177</c:v>
                </c:pt>
                <c:pt idx="871">
                  <c:v>45184</c:v>
                </c:pt>
                <c:pt idx="872">
                  <c:v>45191</c:v>
                </c:pt>
                <c:pt idx="873">
                  <c:v>45198</c:v>
                </c:pt>
                <c:pt idx="874">
                  <c:v>45205</c:v>
                </c:pt>
                <c:pt idx="875">
                  <c:v>45212</c:v>
                </c:pt>
                <c:pt idx="876">
                  <c:v>45219</c:v>
                </c:pt>
                <c:pt idx="877">
                  <c:v>45226</c:v>
                </c:pt>
                <c:pt idx="878">
                  <c:v>45233</c:v>
                </c:pt>
                <c:pt idx="879">
                  <c:v>45240</c:v>
                </c:pt>
                <c:pt idx="880">
                  <c:v>45247</c:v>
                </c:pt>
                <c:pt idx="881">
                  <c:v>45254</c:v>
                </c:pt>
                <c:pt idx="882">
                  <c:v>45261</c:v>
                </c:pt>
                <c:pt idx="883">
                  <c:v>45268</c:v>
                </c:pt>
                <c:pt idx="884">
                  <c:v>45275</c:v>
                </c:pt>
                <c:pt idx="885">
                  <c:v>45282</c:v>
                </c:pt>
                <c:pt idx="886">
                  <c:v>45289</c:v>
                </c:pt>
                <c:pt idx="887">
                  <c:v>45296</c:v>
                </c:pt>
                <c:pt idx="888">
                  <c:v>45303</c:v>
                </c:pt>
                <c:pt idx="889">
                  <c:v>45310</c:v>
                </c:pt>
                <c:pt idx="890">
                  <c:v>45317</c:v>
                </c:pt>
                <c:pt idx="891">
                  <c:v>45324</c:v>
                </c:pt>
                <c:pt idx="892">
                  <c:v>45331</c:v>
                </c:pt>
                <c:pt idx="893">
                  <c:v>45338</c:v>
                </c:pt>
                <c:pt idx="894">
                  <c:v>45345</c:v>
                </c:pt>
                <c:pt idx="895">
                  <c:v>45352</c:v>
                </c:pt>
                <c:pt idx="896">
                  <c:v>45359</c:v>
                </c:pt>
                <c:pt idx="897">
                  <c:v>45366</c:v>
                </c:pt>
                <c:pt idx="898">
                  <c:v>45373</c:v>
                </c:pt>
                <c:pt idx="899">
                  <c:v>45380</c:v>
                </c:pt>
                <c:pt idx="900">
                  <c:v>45387</c:v>
                </c:pt>
                <c:pt idx="901">
                  <c:v>45394</c:v>
                </c:pt>
                <c:pt idx="902">
                  <c:v>45401</c:v>
                </c:pt>
                <c:pt idx="903">
                  <c:v>45408</c:v>
                </c:pt>
                <c:pt idx="904">
                  <c:v>45415</c:v>
                </c:pt>
                <c:pt idx="905">
                  <c:v>45422</c:v>
                </c:pt>
                <c:pt idx="906">
                  <c:v>45429</c:v>
                </c:pt>
                <c:pt idx="907">
                  <c:v>45436</c:v>
                </c:pt>
                <c:pt idx="908">
                  <c:v>45443</c:v>
                </c:pt>
                <c:pt idx="909">
                  <c:v>45450</c:v>
                </c:pt>
                <c:pt idx="910">
                  <c:v>45457</c:v>
                </c:pt>
                <c:pt idx="911">
                  <c:v>45464</c:v>
                </c:pt>
                <c:pt idx="912">
                  <c:v>45471</c:v>
                </c:pt>
                <c:pt idx="913">
                  <c:v>45478</c:v>
                </c:pt>
                <c:pt idx="914">
                  <c:v>45485</c:v>
                </c:pt>
                <c:pt idx="915">
                  <c:v>45492</c:v>
                </c:pt>
                <c:pt idx="916">
                  <c:v>45499</c:v>
                </c:pt>
                <c:pt idx="917">
                  <c:v>45506</c:v>
                </c:pt>
                <c:pt idx="918">
                  <c:v>45513</c:v>
                </c:pt>
                <c:pt idx="919">
                  <c:v>45520</c:v>
                </c:pt>
                <c:pt idx="920">
                  <c:v>45527</c:v>
                </c:pt>
                <c:pt idx="921">
                  <c:v>45534</c:v>
                </c:pt>
                <c:pt idx="922">
                  <c:v>45541</c:v>
                </c:pt>
                <c:pt idx="923">
                  <c:v>45548</c:v>
                </c:pt>
                <c:pt idx="924">
                  <c:v>45555</c:v>
                </c:pt>
                <c:pt idx="925">
                  <c:v>45562</c:v>
                </c:pt>
                <c:pt idx="926">
                  <c:v>45569</c:v>
                </c:pt>
                <c:pt idx="927">
                  <c:v>45576</c:v>
                </c:pt>
                <c:pt idx="928">
                  <c:v>45583</c:v>
                </c:pt>
                <c:pt idx="929">
                  <c:v>45590</c:v>
                </c:pt>
                <c:pt idx="930">
                  <c:v>45597</c:v>
                </c:pt>
                <c:pt idx="931">
                  <c:v>45604</c:v>
                </c:pt>
                <c:pt idx="932">
                  <c:v>45611</c:v>
                </c:pt>
                <c:pt idx="933">
                  <c:v>45618</c:v>
                </c:pt>
                <c:pt idx="934">
                  <c:v>45625</c:v>
                </c:pt>
                <c:pt idx="935">
                  <c:v>45632</c:v>
                </c:pt>
                <c:pt idx="936">
                  <c:v>45639</c:v>
                </c:pt>
                <c:pt idx="937">
                  <c:v>45646</c:v>
                </c:pt>
                <c:pt idx="938">
                  <c:v>45653</c:v>
                </c:pt>
                <c:pt idx="939">
                  <c:v>45660</c:v>
                </c:pt>
                <c:pt idx="940">
                  <c:v>45667</c:v>
                </c:pt>
                <c:pt idx="941">
                  <c:v>45674</c:v>
                </c:pt>
                <c:pt idx="942">
                  <c:v>45681</c:v>
                </c:pt>
                <c:pt idx="943">
                  <c:v>45688</c:v>
                </c:pt>
                <c:pt idx="944">
                  <c:v>45695</c:v>
                </c:pt>
                <c:pt idx="945">
                  <c:v>45702</c:v>
                </c:pt>
                <c:pt idx="946">
                  <c:v>45709</c:v>
                </c:pt>
                <c:pt idx="947">
                  <c:v>45716</c:v>
                </c:pt>
                <c:pt idx="948">
                  <c:v>45723</c:v>
                </c:pt>
                <c:pt idx="949">
                  <c:v>45730</c:v>
                </c:pt>
                <c:pt idx="950">
                  <c:v>45737</c:v>
                </c:pt>
                <c:pt idx="951">
                  <c:v>45744</c:v>
                </c:pt>
                <c:pt idx="952">
                  <c:v>45751</c:v>
                </c:pt>
                <c:pt idx="953">
                  <c:v>45758</c:v>
                </c:pt>
                <c:pt idx="954">
                  <c:v>45765</c:v>
                </c:pt>
                <c:pt idx="955">
                  <c:v>45772</c:v>
                </c:pt>
                <c:pt idx="956">
                  <c:v>45779</c:v>
                </c:pt>
                <c:pt idx="957">
                  <c:v>45786</c:v>
                </c:pt>
                <c:pt idx="958">
                  <c:v>45793</c:v>
                </c:pt>
                <c:pt idx="959">
                  <c:v>45800</c:v>
                </c:pt>
                <c:pt idx="960">
                  <c:v>45807</c:v>
                </c:pt>
                <c:pt idx="961">
                  <c:v>45814</c:v>
                </c:pt>
                <c:pt idx="962">
                  <c:v>45821</c:v>
                </c:pt>
                <c:pt idx="963">
                  <c:v>45828</c:v>
                </c:pt>
                <c:pt idx="964">
                  <c:v>45835</c:v>
                </c:pt>
                <c:pt idx="965">
                  <c:v>45842</c:v>
                </c:pt>
                <c:pt idx="966">
                  <c:v>45849</c:v>
                </c:pt>
                <c:pt idx="967">
                  <c:v>45856</c:v>
                </c:pt>
                <c:pt idx="968">
                  <c:v>45863</c:v>
                </c:pt>
                <c:pt idx="969">
                  <c:v>45870</c:v>
                </c:pt>
                <c:pt idx="970">
                  <c:v>45877</c:v>
                </c:pt>
                <c:pt idx="971">
                  <c:v>45884</c:v>
                </c:pt>
                <c:pt idx="972">
                  <c:v>45891</c:v>
                </c:pt>
                <c:pt idx="973">
                  <c:v>45898</c:v>
                </c:pt>
                <c:pt idx="974">
                  <c:v>45905</c:v>
                </c:pt>
                <c:pt idx="975">
                  <c:v>45912</c:v>
                </c:pt>
                <c:pt idx="976">
                  <c:v>45919</c:v>
                </c:pt>
                <c:pt idx="977">
                  <c:v>45926</c:v>
                </c:pt>
                <c:pt idx="978">
                  <c:v>45933</c:v>
                </c:pt>
                <c:pt idx="979">
                  <c:v>45940</c:v>
                </c:pt>
                <c:pt idx="980">
                  <c:v>45947</c:v>
                </c:pt>
                <c:pt idx="981">
                  <c:v>45954</c:v>
                </c:pt>
                <c:pt idx="982">
                  <c:v>45961</c:v>
                </c:pt>
                <c:pt idx="983">
                  <c:v>45968</c:v>
                </c:pt>
                <c:pt idx="984">
                  <c:v>45975</c:v>
                </c:pt>
                <c:pt idx="985">
                  <c:v>45982</c:v>
                </c:pt>
                <c:pt idx="986">
                  <c:v>45989</c:v>
                </c:pt>
                <c:pt idx="987">
                  <c:v>45996</c:v>
                </c:pt>
                <c:pt idx="988">
                  <c:v>46003</c:v>
                </c:pt>
                <c:pt idx="989">
                  <c:v>46010</c:v>
                </c:pt>
                <c:pt idx="990">
                  <c:v>46017</c:v>
                </c:pt>
                <c:pt idx="991">
                  <c:v>46024</c:v>
                </c:pt>
                <c:pt idx="992">
                  <c:v>46031</c:v>
                </c:pt>
                <c:pt idx="993">
                  <c:v>46038</c:v>
                </c:pt>
                <c:pt idx="994">
                  <c:v>46045</c:v>
                </c:pt>
                <c:pt idx="995">
                  <c:v>46052</c:v>
                </c:pt>
                <c:pt idx="996">
                  <c:v>46059</c:v>
                </c:pt>
                <c:pt idx="997">
                  <c:v>46066</c:v>
                </c:pt>
                <c:pt idx="998">
                  <c:v>46073</c:v>
                </c:pt>
                <c:pt idx="999">
                  <c:v>46080</c:v>
                </c:pt>
                <c:pt idx="1000">
                  <c:v>46087</c:v>
                </c:pt>
                <c:pt idx="1001">
                  <c:v>46094</c:v>
                </c:pt>
                <c:pt idx="1002">
                  <c:v>46101</c:v>
                </c:pt>
                <c:pt idx="1003">
                  <c:v>46108</c:v>
                </c:pt>
                <c:pt idx="1004">
                  <c:v>46115</c:v>
                </c:pt>
                <c:pt idx="1005">
                  <c:v>46122</c:v>
                </c:pt>
                <c:pt idx="1006">
                  <c:v>46129</c:v>
                </c:pt>
                <c:pt idx="1007">
                  <c:v>46136</c:v>
                </c:pt>
                <c:pt idx="1008">
                  <c:v>46143</c:v>
                </c:pt>
                <c:pt idx="1009">
                  <c:v>46150</c:v>
                </c:pt>
                <c:pt idx="1010">
                  <c:v>46157</c:v>
                </c:pt>
                <c:pt idx="1011">
                  <c:v>46164</c:v>
                </c:pt>
                <c:pt idx="1012">
                  <c:v>46171</c:v>
                </c:pt>
                <c:pt idx="1013">
                  <c:v>46178</c:v>
                </c:pt>
                <c:pt idx="1014">
                  <c:v>46185</c:v>
                </c:pt>
                <c:pt idx="1015">
                  <c:v>46192</c:v>
                </c:pt>
                <c:pt idx="1016">
                  <c:v>46199</c:v>
                </c:pt>
                <c:pt idx="1017">
                  <c:v>46206</c:v>
                </c:pt>
                <c:pt idx="1018">
                  <c:v>46213</c:v>
                </c:pt>
                <c:pt idx="1019">
                  <c:v>46220</c:v>
                </c:pt>
                <c:pt idx="1020">
                  <c:v>46227</c:v>
                </c:pt>
                <c:pt idx="1021">
                  <c:v>46234</c:v>
                </c:pt>
                <c:pt idx="1022">
                  <c:v>46241</c:v>
                </c:pt>
                <c:pt idx="1023">
                  <c:v>46248</c:v>
                </c:pt>
                <c:pt idx="1024">
                  <c:v>46255</c:v>
                </c:pt>
                <c:pt idx="1025">
                  <c:v>46262</c:v>
                </c:pt>
                <c:pt idx="1026">
                  <c:v>46269</c:v>
                </c:pt>
                <c:pt idx="1027">
                  <c:v>46276</c:v>
                </c:pt>
                <c:pt idx="1028">
                  <c:v>46283</c:v>
                </c:pt>
                <c:pt idx="1029">
                  <c:v>46290</c:v>
                </c:pt>
                <c:pt idx="1030">
                  <c:v>46297</c:v>
                </c:pt>
              </c:numCache>
            </c:numRef>
          </c:cat>
          <c:val>
            <c:numRef>
              <c:f>Indice!$AJ$58:$AJ$1500</c:f>
              <c:numCache>
                <c:formatCode>General</c:formatCode>
                <c:ptCount val="1443"/>
                <c:pt idx="0">
                  <c:v>0.82414032233002943</c:v>
                </c:pt>
                <c:pt idx="1">
                  <c:v>0.82102497170370869</c:v>
                </c:pt>
                <c:pt idx="2">
                  <c:v>0.80566490742729568</c:v>
                </c:pt>
                <c:pt idx="3">
                  <c:v>0.79941943624151124</c:v>
                </c:pt>
                <c:pt idx="4">
                  <c:v>0.79477511799261791</c:v>
                </c:pt>
                <c:pt idx="5">
                  <c:v>0.77864557857024963</c:v>
                </c:pt>
                <c:pt idx="6">
                  <c:v>0.77483772121152072</c:v>
                </c:pt>
                <c:pt idx="7">
                  <c:v>0.77004692589600254</c:v>
                </c:pt>
                <c:pt idx="8">
                  <c:v>0.76181535616200957</c:v>
                </c:pt>
                <c:pt idx="9">
                  <c:v>0.75998702065138113</c:v>
                </c:pt>
                <c:pt idx="10">
                  <c:v>0.75998702065138113</c:v>
                </c:pt>
                <c:pt idx="11">
                  <c:v>0.75998702065138113</c:v>
                </c:pt>
                <c:pt idx="12">
                  <c:v>0.75998702065138113</c:v>
                </c:pt>
                <c:pt idx="13">
                  <c:v>0.75998702065138113</c:v>
                </c:pt>
                <c:pt idx="14">
                  <c:v>0.75998702065138113</c:v>
                </c:pt>
                <c:pt idx="15">
                  <c:v>0.75998702065138113</c:v>
                </c:pt>
                <c:pt idx="16">
                  <c:v>0.75998702065138113</c:v>
                </c:pt>
                <c:pt idx="17">
                  <c:v>0.75998702065138113</c:v>
                </c:pt>
                <c:pt idx="18">
                  <c:v>0.75998702065138113</c:v>
                </c:pt>
                <c:pt idx="19">
                  <c:v>0.75998702065138113</c:v>
                </c:pt>
                <c:pt idx="20">
                  <c:v>0.75998702065138113</c:v>
                </c:pt>
                <c:pt idx="21">
                  <c:v>0.75998702065138113</c:v>
                </c:pt>
                <c:pt idx="22">
                  <c:v>0.75998702065138113</c:v>
                </c:pt>
                <c:pt idx="23">
                  <c:v>0.75998702065138113</c:v>
                </c:pt>
                <c:pt idx="24">
                  <c:v>0.75998702065138113</c:v>
                </c:pt>
                <c:pt idx="25">
                  <c:v>0.75998702065138113</c:v>
                </c:pt>
                <c:pt idx="26">
                  <c:v>0.75998702065138113</c:v>
                </c:pt>
                <c:pt idx="27">
                  <c:v>0.75998702065138113</c:v>
                </c:pt>
                <c:pt idx="28">
                  <c:v>0.75998702065138113</c:v>
                </c:pt>
                <c:pt idx="29">
                  <c:v>0.75998702065138113</c:v>
                </c:pt>
                <c:pt idx="30">
                  <c:v>0.75998702065138113</c:v>
                </c:pt>
                <c:pt idx="31">
                  <c:v>0.75998702065138113</c:v>
                </c:pt>
                <c:pt idx="32">
                  <c:v>0.75998702065138113</c:v>
                </c:pt>
                <c:pt idx="33">
                  <c:v>0.75998702065138113</c:v>
                </c:pt>
                <c:pt idx="34">
                  <c:v>0.75998702065138113</c:v>
                </c:pt>
                <c:pt idx="35">
                  <c:v>0.75998702065138113</c:v>
                </c:pt>
                <c:pt idx="36">
                  <c:v>0.75998702065138113</c:v>
                </c:pt>
                <c:pt idx="37">
                  <c:v>0.75998702065138113</c:v>
                </c:pt>
                <c:pt idx="38">
                  <c:v>0.75998702065138113</c:v>
                </c:pt>
                <c:pt idx="39">
                  <c:v>0.75998702065138113</c:v>
                </c:pt>
                <c:pt idx="40">
                  <c:v>0.75998702065138113</c:v>
                </c:pt>
                <c:pt idx="41">
                  <c:v>0.75998702065138113</c:v>
                </c:pt>
                <c:pt idx="42">
                  <c:v>0.75998702065138113</c:v>
                </c:pt>
                <c:pt idx="43">
                  <c:v>0.75998702065138113</c:v>
                </c:pt>
                <c:pt idx="44">
                  <c:v>0.75998702065138113</c:v>
                </c:pt>
                <c:pt idx="45">
                  <c:v>0.75998702065138113</c:v>
                </c:pt>
                <c:pt idx="46">
                  <c:v>0.75998702065138113</c:v>
                </c:pt>
                <c:pt idx="47">
                  <c:v>0.75998702065138113</c:v>
                </c:pt>
                <c:pt idx="48">
                  <c:v>0.75998702065138113</c:v>
                </c:pt>
                <c:pt idx="49">
                  <c:v>0.75998702065138113</c:v>
                </c:pt>
                <c:pt idx="50">
                  <c:v>0.75998702065138113</c:v>
                </c:pt>
                <c:pt idx="51">
                  <c:v>0.75998702065138113</c:v>
                </c:pt>
                <c:pt idx="52">
                  <c:v>0.75998702065138113</c:v>
                </c:pt>
                <c:pt idx="53">
                  <c:v>0.75998702065138113</c:v>
                </c:pt>
                <c:pt idx="54">
                  <c:v>0.75998702065138113</c:v>
                </c:pt>
                <c:pt idx="55">
                  <c:v>0.76012120086043211</c:v>
                </c:pt>
                <c:pt idx="56">
                  <c:v>0.76239157803411506</c:v>
                </c:pt>
                <c:pt idx="57">
                  <c:v>0.763234946070383</c:v>
                </c:pt>
                <c:pt idx="58">
                  <c:v>0.76343087842647794</c:v>
                </c:pt>
                <c:pt idx="59">
                  <c:v>0.7645799495714154</c:v>
                </c:pt>
                <c:pt idx="60">
                  <c:v>0.76556201275993707</c:v>
                </c:pt>
                <c:pt idx="61">
                  <c:v>0.76667741079366536</c:v>
                </c:pt>
                <c:pt idx="62">
                  <c:v>0.77020390649705195</c:v>
                </c:pt>
                <c:pt idx="63">
                  <c:v>0.77020390649705195</c:v>
                </c:pt>
                <c:pt idx="64">
                  <c:v>0.77486044139268884</c:v>
                </c:pt>
                <c:pt idx="65">
                  <c:v>0.78868183837670247</c:v>
                </c:pt>
                <c:pt idx="66">
                  <c:v>0.79337777812629717</c:v>
                </c:pt>
                <c:pt idx="67">
                  <c:v>0.82598129278375676</c:v>
                </c:pt>
                <c:pt idx="68">
                  <c:v>0.8396525235543747</c:v>
                </c:pt>
                <c:pt idx="69">
                  <c:v>0.84262414588101398</c:v>
                </c:pt>
                <c:pt idx="70">
                  <c:v>0.85065935752613731</c:v>
                </c:pt>
                <c:pt idx="71">
                  <c:v>0.8546883809363216</c:v>
                </c:pt>
                <c:pt idx="72">
                  <c:v>0.86099701985085353</c:v>
                </c:pt>
                <c:pt idx="73">
                  <c:v>0.8701141450196509</c:v>
                </c:pt>
                <c:pt idx="74">
                  <c:v>0.8750844642704021</c:v>
                </c:pt>
                <c:pt idx="75">
                  <c:v>0.87510663109872688</c:v>
                </c:pt>
                <c:pt idx="76">
                  <c:v>0.87602990190085273</c:v>
                </c:pt>
                <c:pt idx="77">
                  <c:v>0.87816019681638124</c:v>
                </c:pt>
                <c:pt idx="78">
                  <c:v>0.88472469440258528</c:v>
                </c:pt>
                <c:pt idx="79">
                  <c:v>0.88472786608094234</c:v>
                </c:pt>
                <c:pt idx="80">
                  <c:v>0.8852938431922226</c:v>
                </c:pt>
                <c:pt idx="81">
                  <c:v>0.8912294976497841</c:v>
                </c:pt>
                <c:pt idx="82">
                  <c:v>0.90199337326188089</c:v>
                </c:pt>
                <c:pt idx="83">
                  <c:v>0.90819110501664557</c:v>
                </c:pt>
                <c:pt idx="84">
                  <c:v>0.91205900053645939</c:v>
                </c:pt>
                <c:pt idx="85">
                  <c:v>0.91512473286552554</c:v>
                </c:pt>
                <c:pt idx="86">
                  <c:v>0.91688974814559365</c:v>
                </c:pt>
                <c:pt idx="87">
                  <c:v>0.91733306622233446</c:v>
                </c:pt>
                <c:pt idx="88">
                  <c:v>0.91897083079039088</c:v>
                </c:pt>
                <c:pt idx="89">
                  <c:v>0.91897083079039088</c:v>
                </c:pt>
                <c:pt idx="90">
                  <c:v>0.92042279685934048</c:v>
                </c:pt>
                <c:pt idx="91">
                  <c:v>0.92116786861393474</c:v>
                </c:pt>
                <c:pt idx="92">
                  <c:v>0.92479735798120255</c:v>
                </c:pt>
                <c:pt idx="93">
                  <c:v>0.92533026991899037</c:v>
                </c:pt>
                <c:pt idx="94">
                  <c:v>0.92533026991899037</c:v>
                </c:pt>
                <c:pt idx="95">
                  <c:v>0.92533026991899037</c:v>
                </c:pt>
                <c:pt idx="96">
                  <c:v>0.92979366928982399</c:v>
                </c:pt>
                <c:pt idx="97">
                  <c:v>0.93355679038949657</c:v>
                </c:pt>
                <c:pt idx="98">
                  <c:v>0.93521889071140607</c:v>
                </c:pt>
                <c:pt idx="99">
                  <c:v>0.93524568960061782</c:v>
                </c:pt>
                <c:pt idx="100">
                  <c:v>0.93606057842222656</c:v>
                </c:pt>
                <c:pt idx="101">
                  <c:v>0.94347522924284166</c:v>
                </c:pt>
                <c:pt idx="102">
                  <c:v>0.94466894510305677</c:v>
                </c:pt>
                <c:pt idx="103">
                  <c:v>0.94935818955353624</c:v>
                </c:pt>
                <c:pt idx="104">
                  <c:v>0.95070593603517595</c:v>
                </c:pt>
                <c:pt idx="105">
                  <c:v>0.95070593603517595</c:v>
                </c:pt>
                <c:pt idx="106">
                  <c:v>0.94935818955353624</c:v>
                </c:pt>
                <c:pt idx="107">
                  <c:v>0.94466894510305677</c:v>
                </c:pt>
                <c:pt idx="108">
                  <c:v>0.93812292225460547</c:v>
                </c:pt>
                <c:pt idx="109">
                  <c:v>0.93543961280286048</c:v>
                </c:pt>
                <c:pt idx="110">
                  <c:v>0.9299780228460498</c:v>
                </c:pt>
                <c:pt idx="111">
                  <c:v>0.87638509566850087</c:v>
                </c:pt>
                <c:pt idx="112">
                  <c:v>0.86455228478893886</c:v>
                </c:pt>
                <c:pt idx="113">
                  <c:v>0.86377283432336405</c:v>
                </c:pt>
                <c:pt idx="114">
                  <c:v>0.86206599616581503</c:v>
                </c:pt>
                <c:pt idx="115">
                  <c:v>0.78569393886056826</c:v>
                </c:pt>
                <c:pt idx="116">
                  <c:v>0.7696894794690271</c:v>
                </c:pt>
                <c:pt idx="117">
                  <c:v>0.73390087160492046</c:v>
                </c:pt>
                <c:pt idx="118">
                  <c:v>0.7069229604895757</c:v>
                </c:pt>
                <c:pt idx="119">
                  <c:v>0.67545656802728404</c:v>
                </c:pt>
                <c:pt idx="120">
                  <c:v>0.62344898331583853</c:v>
                </c:pt>
                <c:pt idx="121">
                  <c:v>0.61726715965880563</c:v>
                </c:pt>
                <c:pt idx="122">
                  <c:v>0.61155076403693731</c:v>
                </c:pt>
                <c:pt idx="123">
                  <c:v>0.60240275440829938</c:v>
                </c:pt>
                <c:pt idx="124">
                  <c:v>0.59240673819985412</c:v>
                </c:pt>
                <c:pt idx="125">
                  <c:v>0.58982694666259305</c:v>
                </c:pt>
                <c:pt idx="126">
                  <c:v>0.58472284849822587</c:v>
                </c:pt>
                <c:pt idx="127">
                  <c:v>0.58271351028929408</c:v>
                </c:pt>
                <c:pt idx="128">
                  <c:v>0.57149224671871324</c:v>
                </c:pt>
                <c:pt idx="129">
                  <c:v>0.57016844599048033</c:v>
                </c:pt>
                <c:pt idx="130">
                  <c:v>0.57016844599048033</c:v>
                </c:pt>
                <c:pt idx="131">
                  <c:v>0.57016844599048033</c:v>
                </c:pt>
                <c:pt idx="132">
                  <c:v>0.57016844599048033</c:v>
                </c:pt>
                <c:pt idx="133">
                  <c:v>0.57016844599048033</c:v>
                </c:pt>
                <c:pt idx="134">
                  <c:v>0.57016844599048033</c:v>
                </c:pt>
                <c:pt idx="135">
                  <c:v>0.57016844599048033</c:v>
                </c:pt>
                <c:pt idx="136">
                  <c:v>0.57016844599048033</c:v>
                </c:pt>
                <c:pt idx="137">
                  <c:v>0.57016844599048033</c:v>
                </c:pt>
                <c:pt idx="138">
                  <c:v>0.57016844599048033</c:v>
                </c:pt>
                <c:pt idx="139">
                  <c:v>0.57016844599048033</c:v>
                </c:pt>
                <c:pt idx="140">
                  <c:v>0.57016844599048033</c:v>
                </c:pt>
                <c:pt idx="141">
                  <c:v>0.57016844599048033</c:v>
                </c:pt>
                <c:pt idx="142">
                  <c:v>0.57016844599048033</c:v>
                </c:pt>
                <c:pt idx="143">
                  <c:v>0.57016844599048033</c:v>
                </c:pt>
                <c:pt idx="144">
                  <c:v>0.57016844599048033</c:v>
                </c:pt>
                <c:pt idx="145">
                  <c:v>0.57016844599048033</c:v>
                </c:pt>
                <c:pt idx="146">
                  <c:v>0.57016844599048033</c:v>
                </c:pt>
                <c:pt idx="147">
                  <c:v>0.57016844599048033</c:v>
                </c:pt>
                <c:pt idx="148">
                  <c:v>0.57016844599048033</c:v>
                </c:pt>
                <c:pt idx="149">
                  <c:v>0.57016844599048033</c:v>
                </c:pt>
                <c:pt idx="150">
                  <c:v>0.57016844599048033</c:v>
                </c:pt>
                <c:pt idx="151">
                  <c:v>0.57016844599048033</c:v>
                </c:pt>
                <c:pt idx="152">
                  <c:v>0.57016844599048033</c:v>
                </c:pt>
                <c:pt idx="153">
                  <c:v>0.57016844599048033</c:v>
                </c:pt>
                <c:pt idx="154">
                  <c:v>0.57016844599048033</c:v>
                </c:pt>
                <c:pt idx="155">
                  <c:v>0.57016844599048033</c:v>
                </c:pt>
                <c:pt idx="156">
                  <c:v>0.57016844599048033</c:v>
                </c:pt>
                <c:pt idx="157">
                  <c:v>0.57016844599048033</c:v>
                </c:pt>
                <c:pt idx="158">
                  <c:v>0.57016844599048033</c:v>
                </c:pt>
                <c:pt idx="159">
                  <c:v>0.57016844599048033</c:v>
                </c:pt>
                <c:pt idx="160">
                  <c:v>0.57016844599048033</c:v>
                </c:pt>
                <c:pt idx="161">
                  <c:v>0.57016844599048033</c:v>
                </c:pt>
                <c:pt idx="162">
                  <c:v>0.57016844599048033</c:v>
                </c:pt>
                <c:pt idx="163">
                  <c:v>0.57016844599048033</c:v>
                </c:pt>
                <c:pt idx="164">
                  <c:v>0.57016844599048033</c:v>
                </c:pt>
                <c:pt idx="165">
                  <c:v>0.57016844599048033</c:v>
                </c:pt>
                <c:pt idx="166">
                  <c:v>0.57016844599048033</c:v>
                </c:pt>
                <c:pt idx="167">
                  <c:v>0.57016844599048033</c:v>
                </c:pt>
                <c:pt idx="168">
                  <c:v>0.57016844599048033</c:v>
                </c:pt>
                <c:pt idx="169">
                  <c:v>0.57016844599048033</c:v>
                </c:pt>
                <c:pt idx="170">
                  <c:v>0.57016844599048033</c:v>
                </c:pt>
                <c:pt idx="171">
                  <c:v>0.57016844599048033</c:v>
                </c:pt>
                <c:pt idx="172">
                  <c:v>0.57016844599048033</c:v>
                </c:pt>
                <c:pt idx="173">
                  <c:v>0.57149224671871324</c:v>
                </c:pt>
                <c:pt idx="174">
                  <c:v>0.58318254906378697</c:v>
                </c:pt>
                <c:pt idx="175">
                  <c:v>0.58894419746866178</c:v>
                </c:pt>
                <c:pt idx="176">
                  <c:v>0.59104051394149915</c:v>
                </c:pt>
                <c:pt idx="177">
                  <c:v>0.61121154211939788</c:v>
                </c:pt>
                <c:pt idx="178">
                  <c:v>0.61866932855294698</c:v>
                </c:pt>
                <c:pt idx="179">
                  <c:v>0.63802838124643146</c:v>
                </c:pt>
                <c:pt idx="180">
                  <c:v>0.64386733080247593</c:v>
                </c:pt>
                <c:pt idx="181">
                  <c:v>0.65299092070037135</c:v>
                </c:pt>
                <c:pt idx="182">
                  <c:v>0.65885919402047732</c:v>
                </c:pt>
                <c:pt idx="183">
                  <c:v>0.66155581754041271</c:v>
                </c:pt>
                <c:pt idx="184">
                  <c:v>0.66857327755359863</c:v>
                </c:pt>
                <c:pt idx="185">
                  <c:v>0.67361591056101466</c:v>
                </c:pt>
                <c:pt idx="186">
                  <c:v>0.68977554595658153</c:v>
                </c:pt>
                <c:pt idx="187">
                  <c:v>0.69357098024489749</c:v>
                </c:pt>
                <c:pt idx="188">
                  <c:v>0.70092205755959536</c:v>
                </c:pt>
                <c:pt idx="189">
                  <c:v>0.70662533837840957</c:v>
                </c:pt>
                <c:pt idx="190">
                  <c:v>0.70725645458493236</c:v>
                </c:pt>
                <c:pt idx="191">
                  <c:v>0.70814329637044782</c:v>
                </c:pt>
                <c:pt idx="192">
                  <c:v>0.70933051225624921</c:v>
                </c:pt>
                <c:pt idx="193">
                  <c:v>0.70998841318488926</c:v>
                </c:pt>
                <c:pt idx="194">
                  <c:v>0.71038745748112708</c:v>
                </c:pt>
                <c:pt idx="195">
                  <c:v>0.71038745748112708</c:v>
                </c:pt>
                <c:pt idx="196">
                  <c:v>0.71038745748112708</c:v>
                </c:pt>
                <c:pt idx="197">
                  <c:v>0.71038745748112708</c:v>
                </c:pt>
                <c:pt idx="198">
                  <c:v>0.71834364099764692</c:v>
                </c:pt>
                <c:pt idx="199">
                  <c:v>0.71834364099764692</c:v>
                </c:pt>
                <c:pt idx="200">
                  <c:v>0.7213153657357575</c:v>
                </c:pt>
                <c:pt idx="201">
                  <c:v>0.73214300347005412</c:v>
                </c:pt>
                <c:pt idx="202">
                  <c:v>0.75318829658318998</c:v>
                </c:pt>
                <c:pt idx="203">
                  <c:v>0.75572946502440363</c:v>
                </c:pt>
                <c:pt idx="204">
                  <c:v>0.75572946502440363</c:v>
                </c:pt>
                <c:pt idx="205">
                  <c:v>0.75572946502440363</c:v>
                </c:pt>
                <c:pt idx="206">
                  <c:v>0.75572946502440363</c:v>
                </c:pt>
                <c:pt idx="207">
                  <c:v>0.76376679467931918</c:v>
                </c:pt>
                <c:pt idx="208">
                  <c:v>0.775917249352853</c:v>
                </c:pt>
                <c:pt idx="209">
                  <c:v>0.775917249352853</c:v>
                </c:pt>
                <c:pt idx="210">
                  <c:v>0.775917249352853</c:v>
                </c:pt>
                <c:pt idx="211">
                  <c:v>0.775917249352853</c:v>
                </c:pt>
                <c:pt idx="212">
                  <c:v>0.775917249352853</c:v>
                </c:pt>
                <c:pt idx="213">
                  <c:v>0.775917249352853</c:v>
                </c:pt>
                <c:pt idx="214">
                  <c:v>0.775917249352853</c:v>
                </c:pt>
                <c:pt idx="215">
                  <c:v>0.77130167875078548</c:v>
                </c:pt>
                <c:pt idx="216">
                  <c:v>0.775917249352853</c:v>
                </c:pt>
                <c:pt idx="217">
                  <c:v>0.77289648032159597</c:v>
                </c:pt>
                <c:pt idx="218">
                  <c:v>0.77289648032159597</c:v>
                </c:pt>
                <c:pt idx="219">
                  <c:v>0.77289648032159597</c:v>
                </c:pt>
                <c:pt idx="220">
                  <c:v>0.77280866570448403</c:v>
                </c:pt>
                <c:pt idx="221">
                  <c:v>0.77097333980894533</c:v>
                </c:pt>
                <c:pt idx="222">
                  <c:v>0.76171806584201029</c:v>
                </c:pt>
                <c:pt idx="223">
                  <c:v>0.75767084902275716</c:v>
                </c:pt>
                <c:pt idx="224">
                  <c:v>0.75767084902275716</c:v>
                </c:pt>
                <c:pt idx="225">
                  <c:v>0.75767084902275716</c:v>
                </c:pt>
                <c:pt idx="226">
                  <c:v>0.75767084902275716</c:v>
                </c:pt>
                <c:pt idx="227">
                  <c:v>0.75767084902275716</c:v>
                </c:pt>
                <c:pt idx="228">
                  <c:v>0.75767084902275716</c:v>
                </c:pt>
                <c:pt idx="229">
                  <c:v>0.75767084902275716</c:v>
                </c:pt>
                <c:pt idx="230">
                  <c:v>0.75522038372725186</c:v>
                </c:pt>
                <c:pt idx="231">
                  <c:v>0.7502084061048705</c:v>
                </c:pt>
                <c:pt idx="232">
                  <c:v>0.74854941659601859</c:v>
                </c:pt>
                <c:pt idx="233">
                  <c:v>0.7443286563422773</c:v>
                </c:pt>
                <c:pt idx="234">
                  <c:v>0.74407270753122456</c:v>
                </c:pt>
                <c:pt idx="235">
                  <c:v>0.73973478573830476</c:v>
                </c:pt>
                <c:pt idx="236">
                  <c:v>0.73973478573830476</c:v>
                </c:pt>
                <c:pt idx="237">
                  <c:v>0.73973478573830476</c:v>
                </c:pt>
                <c:pt idx="238">
                  <c:v>0.73973478573830476</c:v>
                </c:pt>
                <c:pt idx="239">
                  <c:v>0.73973478573830476</c:v>
                </c:pt>
                <c:pt idx="240">
                  <c:v>0.73973478573830476</c:v>
                </c:pt>
                <c:pt idx="241">
                  <c:v>0.73973478573830476</c:v>
                </c:pt>
                <c:pt idx="242">
                  <c:v>0.73973478573830476</c:v>
                </c:pt>
                <c:pt idx="243">
                  <c:v>0.73973478573830476</c:v>
                </c:pt>
                <c:pt idx="244">
                  <c:v>0.73973478573830476</c:v>
                </c:pt>
                <c:pt idx="245">
                  <c:v>0.73973478573830476</c:v>
                </c:pt>
                <c:pt idx="246">
                  <c:v>0.73973478573830476</c:v>
                </c:pt>
                <c:pt idx="247">
                  <c:v>0.73973478573830476</c:v>
                </c:pt>
                <c:pt idx="248">
                  <c:v>0.73973478573830476</c:v>
                </c:pt>
                <c:pt idx="249">
                  <c:v>0.73973478573830476</c:v>
                </c:pt>
                <c:pt idx="250">
                  <c:v>0.73973478573830476</c:v>
                </c:pt>
                <c:pt idx="251">
                  <c:v>0.73973478573830476</c:v>
                </c:pt>
                <c:pt idx="252">
                  <c:v>0.73973478573830476</c:v>
                </c:pt>
                <c:pt idx="253">
                  <c:v>0.73973478573830476</c:v>
                </c:pt>
                <c:pt idx="254">
                  <c:v>0.73941804272556688</c:v>
                </c:pt>
                <c:pt idx="255">
                  <c:v>0.73941804272556688</c:v>
                </c:pt>
                <c:pt idx="256">
                  <c:v>0.73941804272556688</c:v>
                </c:pt>
                <c:pt idx="257">
                  <c:v>0.74122202041658369</c:v>
                </c:pt>
                <c:pt idx="258">
                  <c:v>0.74612052311116894</c:v>
                </c:pt>
                <c:pt idx="259">
                  <c:v>0.74612052311116894</c:v>
                </c:pt>
                <c:pt idx="260">
                  <c:v>0.74612052311116894</c:v>
                </c:pt>
                <c:pt idx="261">
                  <c:v>0.74612052311116894</c:v>
                </c:pt>
                <c:pt idx="262">
                  <c:v>0.74612052311116894</c:v>
                </c:pt>
                <c:pt idx="263">
                  <c:v>0.74612052311116894</c:v>
                </c:pt>
                <c:pt idx="264">
                  <c:v>0.74612052311116894</c:v>
                </c:pt>
                <c:pt idx="265">
                  <c:v>0.74612052311116894</c:v>
                </c:pt>
                <c:pt idx="266">
                  <c:v>0.74612052311116894</c:v>
                </c:pt>
                <c:pt idx="267">
                  <c:v>0.74612052311116894</c:v>
                </c:pt>
                <c:pt idx="268">
                  <c:v>0.74612052311116894</c:v>
                </c:pt>
                <c:pt idx="269">
                  <c:v>0.74122202041658369</c:v>
                </c:pt>
                <c:pt idx="270">
                  <c:v>0.73941804272556688</c:v>
                </c:pt>
                <c:pt idx="271">
                  <c:v>0.73941804272556688</c:v>
                </c:pt>
                <c:pt idx="272">
                  <c:v>0.73748273973659373</c:v>
                </c:pt>
                <c:pt idx="273">
                  <c:v>0.73682296218468013</c:v>
                </c:pt>
                <c:pt idx="274">
                  <c:v>0.7357501297242528</c:v>
                </c:pt>
                <c:pt idx="275">
                  <c:v>0.73412350663015957</c:v>
                </c:pt>
                <c:pt idx="276">
                  <c:v>0.73275775453939962</c:v>
                </c:pt>
                <c:pt idx="277">
                  <c:v>0.72434895391307197</c:v>
                </c:pt>
                <c:pt idx="278">
                  <c:v>0.72308692656778517</c:v>
                </c:pt>
                <c:pt idx="279">
                  <c:v>0.71907128275624321</c:v>
                </c:pt>
                <c:pt idx="280">
                  <c:v>0.71605817859768706</c:v>
                </c:pt>
                <c:pt idx="281">
                  <c:v>0.71605817859768706</c:v>
                </c:pt>
                <c:pt idx="282">
                  <c:v>0.71605817859768706</c:v>
                </c:pt>
                <c:pt idx="283">
                  <c:v>0.71605817859768706</c:v>
                </c:pt>
                <c:pt idx="284">
                  <c:v>0.71907128275624321</c:v>
                </c:pt>
                <c:pt idx="285">
                  <c:v>0.71907128275624321</c:v>
                </c:pt>
                <c:pt idx="286">
                  <c:v>0.71907128275624321</c:v>
                </c:pt>
                <c:pt idx="287">
                  <c:v>0.71907128275624321</c:v>
                </c:pt>
                <c:pt idx="288">
                  <c:v>0.71907128275624321</c:v>
                </c:pt>
                <c:pt idx="289">
                  <c:v>0.71907128275624321</c:v>
                </c:pt>
                <c:pt idx="290">
                  <c:v>0.71907128275624321</c:v>
                </c:pt>
                <c:pt idx="291">
                  <c:v>0.71907128275624321</c:v>
                </c:pt>
                <c:pt idx="292">
                  <c:v>0.71907128275624321</c:v>
                </c:pt>
                <c:pt idx="293">
                  <c:v>0.71907128275624321</c:v>
                </c:pt>
                <c:pt idx="294">
                  <c:v>0.71605817859768706</c:v>
                </c:pt>
                <c:pt idx="295">
                  <c:v>0.71605817859768706</c:v>
                </c:pt>
                <c:pt idx="296">
                  <c:v>0.7143388280556493</c:v>
                </c:pt>
                <c:pt idx="297">
                  <c:v>0.71211064274637148</c:v>
                </c:pt>
                <c:pt idx="298">
                  <c:v>0.71110908861183975</c:v>
                </c:pt>
                <c:pt idx="299">
                  <c:v>0.70778408572046425</c:v>
                </c:pt>
                <c:pt idx="300">
                  <c:v>0.69498285802839155</c:v>
                </c:pt>
                <c:pt idx="301">
                  <c:v>0.69159069246914018</c:v>
                </c:pt>
                <c:pt idx="302">
                  <c:v>0.68389163444890788</c:v>
                </c:pt>
                <c:pt idx="303">
                  <c:v>0.67460266189542006</c:v>
                </c:pt>
                <c:pt idx="304">
                  <c:v>0.6730159016242554</c:v>
                </c:pt>
                <c:pt idx="305">
                  <c:v>0.67011371704932832</c:v>
                </c:pt>
                <c:pt idx="306">
                  <c:v>0.66673041183134729</c:v>
                </c:pt>
                <c:pt idx="307">
                  <c:v>0.66062919829815403</c:v>
                </c:pt>
                <c:pt idx="308">
                  <c:v>0.65507758064909416</c:v>
                </c:pt>
                <c:pt idx="309">
                  <c:v>0.65227271156993771</c:v>
                </c:pt>
                <c:pt idx="310">
                  <c:v>0.6478540398485173</c:v>
                </c:pt>
                <c:pt idx="311">
                  <c:v>0.6473854881062413</c:v>
                </c:pt>
                <c:pt idx="312">
                  <c:v>0.64668340630739007</c:v>
                </c:pt>
                <c:pt idx="313">
                  <c:v>0.64014196565061865</c:v>
                </c:pt>
                <c:pt idx="314">
                  <c:v>0.63962830795446302</c:v>
                </c:pt>
                <c:pt idx="315">
                  <c:v>0.63610691005056719</c:v>
                </c:pt>
                <c:pt idx="316">
                  <c:v>0.63291487659220702</c:v>
                </c:pt>
                <c:pt idx="317">
                  <c:v>0.63289488969521868</c:v>
                </c:pt>
                <c:pt idx="318">
                  <c:v>0.63230712198539174</c:v>
                </c:pt>
                <c:pt idx="319">
                  <c:v>0.62874523644751668</c:v>
                </c:pt>
                <c:pt idx="320">
                  <c:v>0.62874523644751668</c:v>
                </c:pt>
                <c:pt idx="321">
                  <c:v>0.62874523644751668</c:v>
                </c:pt>
                <c:pt idx="322">
                  <c:v>0.62874523644751668</c:v>
                </c:pt>
                <c:pt idx="323">
                  <c:v>0.62761568690799441</c:v>
                </c:pt>
                <c:pt idx="324">
                  <c:v>0.62061435838040435</c:v>
                </c:pt>
                <c:pt idx="325">
                  <c:v>0.62011679334087955</c:v>
                </c:pt>
                <c:pt idx="326">
                  <c:v>0.62011679334087955</c:v>
                </c:pt>
                <c:pt idx="327">
                  <c:v>0.62011679334087955</c:v>
                </c:pt>
                <c:pt idx="328">
                  <c:v>0.62011679334087955</c:v>
                </c:pt>
                <c:pt idx="329">
                  <c:v>0.62011679334087955</c:v>
                </c:pt>
                <c:pt idx="330">
                  <c:v>0.62011679334087955</c:v>
                </c:pt>
                <c:pt idx="331">
                  <c:v>0.62011679334087955</c:v>
                </c:pt>
                <c:pt idx="332">
                  <c:v>0.62011679334087955</c:v>
                </c:pt>
                <c:pt idx="333">
                  <c:v>0.62011679334087955</c:v>
                </c:pt>
                <c:pt idx="334">
                  <c:v>0.62011679334087955</c:v>
                </c:pt>
                <c:pt idx="335">
                  <c:v>0.62011679334087955</c:v>
                </c:pt>
                <c:pt idx="336">
                  <c:v>0.62011679334087955</c:v>
                </c:pt>
                <c:pt idx="337">
                  <c:v>0.62011679334087955</c:v>
                </c:pt>
                <c:pt idx="338">
                  <c:v>0.62011679334087955</c:v>
                </c:pt>
                <c:pt idx="339">
                  <c:v>0.62011679334087955</c:v>
                </c:pt>
                <c:pt idx="340">
                  <c:v>0.62011679334087955</c:v>
                </c:pt>
                <c:pt idx="341">
                  <c:v>0.62011679334087955</c:v>
                </c:pt>
                <c:pt idx="342">
                  <c:v>0.62011679334087955</c:v>
                </c:pt>
                <c:pt idx="343">
                  <c:v>0.62011679334087955</c:v>
                </c:pt>
                <c:pt idx="344">
                  <c:v>0.62011679334087955</c:v>
                </c:pt>
                <c:pt idx="345">
                  <c:v>0.62011679334087955</c:v>
                </c:pt>
                <c:pt idx="346">
                  <c:v>0.62011679334087955</c:v>
                </c:pt>
                <c:pt idx="347">
                  <c:v>0.62011679334087955</c:v>
                </c:pt>
                <c:pt idx="348">
                  <c:v>0.62011679334087955</c:v>
                </c:pt>
                <c:pt idx="349">
                  <c:v>0.62011679334087955</c:v>
                </c:pt>
                <c:pt idx="350">
                  <c:v>0.62011679334087955</c:v>
                </c:pt>
                <c:pt idx="351">
                  <c:v>0.62011679334087955</c:v>
                </c:pt>
                <c:pt idx="352">
                  <c:v>0.6167774618434656</c:v>
                </c:pt>
                <c:pt idx="353">
                  <c:v>0.6167774618434656</c:v>
                </c:pt>
                <c:pt idx="354">
                  <c:v>0.6153731876449563</c:v>
                </c:pt>
                <c:pt idx="355">
                  <c:v>0.6121343737012952</c:v>
                </c:pt>
                <c:pt idx="356">
                  <c:v>0.60939632757695783</c:v>
                </c:pt>
                <c:pt idx="357">
                  <c:v>0.60919363744724864</c:v>
                </c:pt>
                <c:pt idx="358">
                  <c:v>0.60919363744724864</c:v>
                </c:pt>
                <c:pt idx="359">
                  <c:v>0.60919363744724864</c:v>
                </c:pt>
                <c:pt idx="360">
                  <c:v>0.60878709981527857</c:v>
                </c:pt>
                <c:pt idx="361">
                  <c:v>0.60286626106432362</c:v>
                </c:pt>
                <c:pt idx="362">
                  <c:v>0.60286626106432362</c:v>
                </c:pt>
                <c:pt idx="363">
                  <c:v>0.60286626106432362</c:v>
                </c:pt>
                <c:pt idx="364">
                  <c:v>0.60286626106432362</c:v>
                </c:pt>
                <c:pt idx="365">
                  <c:v>0.60286626106432362</c:v>
                </c:pt>
                <c:pt idx="366">
                  <c:v>0.60172742726049855</c:v>
                </c:pt>
                <c:pt idx="367">
                  <c:v>0.60132412206061481</c:v>
                </c:pt>
                <c:pt idx="368">
                  <c:v>0.60093478924091426</c:v>
                </c:pt>
                <c:pt idx="369">
                  <c:v>0.60093478924091426</c:v>
                </c:pt>
                <c:pt idx="370">
                  <c:v>0.60093478924091426</c:v>
                </c:pt>
                <c:pt idx="371">
                  <c:v>0.60093478924091426</c:v>
                </c:pt>
                <c:pt idx="372">
                  <c:v>0.60093478924091426</c:v>
                </c:pt>
                <c:pt idx="373">
                  <c:v>0.60093478924091426</c:v>
                </c:pt>
                <c:pt idx="374">
                  <c:v>0.60093478924091426</c:v>
                </c:pt>
                <c:pt idx="375">
                  <c:v>0.60093478924091426</c:v>
                </c:pt>
                <c:pt idx="376">
                  <c:v>0.60132412206061481</c:v>
                </c:pt>
                <c:pt idx="377">
                  <c:v>0.60132412206061481</c:v>
                </c:pt>
                <c:pt idx="378">
                  <c:v>0.60047700963788986</c:v>
                </c:pt>
                <c:pt idx="379">
                  <c:v>0.59758166367678245</c:v>
                </c:pt>
                <c:pt idx="380">
                  <c:v>0.59663918842709607</c:v>
                </c:pt>
                <c:pt idx="381">
                  <c:v>0.59509636875916005</c:v>
                </c:pt>
                <c:pt idx="382">
                  <c:v>0.58535249398267197</c:v>
                </c:pt>
                <c:pt idx="383">
                  <c:v>0.58535249398267197</c:v>
                </c:pt>
                <c:pt idx="384">
                  <c:v>0.57948877716971103</c:v>
                </c:pt>
                <c:pt idx="385">
                  <c:v>0.57920713858574757</c:v>
                </c:pt>
                <c:pt idx="386">
                  <c:v>0.57664833003704818</c:v>
                </c:pt>
                <c:pt idx="387">
                  <c:v>0.57591207809345291</c:v>
                </c:pt>
                <c:pt idx="388">
                  <c:v>0.57526621675777234</c:v>
                </c:pt>
                <c:pt idx="389">
                  <c:v>0.56870522121347056</c:v>
                </c:pt>
                <c:pt idx="390">
                  <c:v>0.5675818325378722</c:v>
                </c:pt>
                <c:pt idx="391">
                  <c:v>0.54402286778979869</c:v>
                </c:pt>
                <c:pt idx="392">
                  <c:v>0.5325862865136054</c:v>
                </c:pt>
                <c:pt idx="393">
                  <c:v>0.52498659554209226</c:v>
                </c:pt>
                <c:pt idx="394">
                  <c:v>0.51314855844672314</c:v>
                </c:pt>
                <c:pt idx="395">
                  <c:v>0.51184341530933575</c:v>
                </c:pt>
                <c:pt idx="396">
                  <c:v>0.50251389687556891</c:v>
                </c:pt>
                <c:pt idx="397">
                  <c:v>0.5011363272836673</c:v>
                </c:pt>
                <c:pt idx="398">
                  <c:v>0.4919622216340846</c:v>
                </c:pt>
                <c:pt idx="399">
                  <c:v>0.4919622216340846</c:v>
                </c:pt>
                <c:pt idx="400">
                  <c:v>0.4919622216340846</c:v>
                </c:pt>
                <c:pt idx="401">
                  <c:v>0.4919622216340846</c:v>
                </c:pt>
                <c:pt idx="402">
                  <c:v>0.4919622216340846</c:v>
                </c:pt>
                <c:pt idx="403">
                  <c:v>0.4919622216340846</c:v>
                </c:pt>
                <c:pt idx="404">
                  <c:v>0.4919622216340846</c:v>
                </c:pt>
                <c:pt idx="405">
                  <c:v>0.4919622216340846</c:v>
                </c:pt>
                <c:pt idx="406">
                  <c:v>0.4919622216340846</c:v>
                </c:pt>
                <c:pt idx="407">
                  <c:v>0.4919622216340846</c:v>
                </c:pt>
                <c:pt idx="408">
                  <c:v>0.4919622216340846</c:v>
                </c:pt>
                <c:pt idx="409">
                  <c:v>0.4919622216340846</c:v>
                </c:pt>
                <c:pt idx="410">
                  <c:v>0.4919622216340846</c:v>
                </c:pt>
                <c:pt idx="411">
                  <c:v>0.4919622216340846</c:v>
                </c:pt>
                <c:pt idx="412">
                  <c:v>0.4919622216340846</c:v>
                </c:pt>
                <c:pt idx="413">
                  <c:v>0.4919622216340846</c:v>
                </c:pt>
                <c:pt idx="414">
                  <c:v>0.4919622216340846</c:v>
                </c:pt>
                <c:pt idx="415">
                  <c:v>0.4919622216340846</c:v>
                </c:pt>
                <c:pt idx="416">
                  <c:v>0.4919622216340846</c:v>
                </c:pt>
                <c:pt idx="417">
                  <c:v>0.4919622216340846</c:v>
                </c:pt>
                <c:pt idx="418">
                  <c:v>0.4919622216340846</c:v>
                </c:pt>
                <c:pt idx="419">
                  <c:v>0.4919622216340846</c:v>
                </c:pt>
                <c:pt idx="420">
                  <c:v>0.4919622216340846</c:v>
                </c:pt>
                <c:pt idx="421">
                  <c:v>0.4919622216340846</c:v>
                </c:pt>
                <c:pt idx="422">
                  <c:v>0.4919622216340846</c:v>
                </c:pt>
                <c:pt idx="423">
                  <c:v>0.4919622216340846</c:v>
                </c:pt>
                <c:pt idx="424">
                  <c:v>0.4919622216340846</c:v>
                </c:pt>
                <c:pt idx="425">
                  <c:v>0.4919622216340846</c:v>
                </c:pt>
                <c:pt idx="426">
                  <c:v>0.4919622216340846</c:v>
                </c:pt>
                <c:pt idx="427">
                  <c:v>0.4919622216340846</c:v>
                </c:pt>
                <c:pt idx="428">
                  <c:v>0.4919622216340846</c:v>
                </c:pt>
                <c:pt idx="429">
                  <c:v>0.4919622216340846</c:v>
                </c:pt>
                <c:pt idx="430">
                  <c:v>0.4919622216340846</c:v>
                </c:pt>
                <c:pt idx="431">
                  <c:v>0.4919622216340846</c:v>
                </c:pt>
                <c:pt idx="432">
                  <c:v>0.4919622216340846</c:v>
                </c:pt>
                <c:pt idx="433">
                  <c:v>0.4919622216340846</c:v>
                </c:pt>
                <c:pt idx="434">
                  <c:v>0.4919622216340846</c:v>
                </c:pt>
                <c:pt idx="435">
                  <c:v>0.4919622216340846</c:v>
                </c:pt>
                <c:pt idx="436">
                  <c:v>0.4919622216340846</c:v>
                </c:pt>
                <c:pt idx="437">
                  <c:v>0.4919622216340846</c:v>
                </c:pt>
                <c:pt idx="438">
                  <c:v>0.4919622216340846</c:v>
                </c:pt>
                <c:pt idx="439">
                  <c:v>0.4919622216340846</c:v>
                </c:pt>
                <c:pt idx="440">
                  <c:v>0.4919622216340846</c:v>
                </c:pt>
                <c:pt idx="441">
                  <c:v>0.4919622216340846</c:v>
                </c:pt>
                <c:pt idx="442">
                  <c:v>0.4919622216340846</c:v>
                </c:pt>
                <c:pt idx="443">
                  <c:v>0.49200020379592685</c:v>
                </c:pt>
                <c:pt idx="444">
                  <c:v>0.49610423291571576</c:v>
                </c:pt>
                <c:pt idx="445">
                  <c:v>0.54281797555253442</c:v>
                </c:pt>
                <c:pt idx="446">
                  <c:v>0.54567830294883002</c:v>
                </c:pt>
                <c:pt idx="447">
                  <c:v>0.54849756320486831</c:v>
                </c:pt>
                <c:pt idx="448">
                  <c:v>0.56097882168999946</c:v>
                </c:pt>
                <c:pt idx="449">
                  <c:v>0.57391477461313933</c:v>
                </c:pt>
                <c:pt idx="450">
                  <c:v>0.6546730847326967</c:v>
                </c:pt>
                <c:pt idx="451">
                  <c:v>0.65896915070879858</c:v>
                </c:pt>
                <c:pt idx="452">
                  <c:v>0.65896915070879858</c:v>
                </c:pt>
                <c:pt idx="453">
                  <c:v>0.65896915070879858</c:v>
                </c:pt>
                <c:pt idx="454">
                  <c:v>0.65896915070879858</c:v>
                </c:pt>
                <c:pt idx="455">
                  <c:v>0.65896915070879858</c:v>
                </c:pt>
                <c:pt idx="456">
                  <c:v>0.66041977565732846</c:v>
                </c:pt>
                <c:pt idx="457">
                  <c:v>0.66704192261054718</c:v>
                </c:pt>
                <c:pt idx="458">
                  <c:v>0.66689905546078299</c:v>
                </c:pt>
                <c:pt idx="459">
                  <c:v>0.66312417671270441</c:v>
                </c:pt>
                <c:pt idx="460">
                  <c:v>0.66312417671270441</c:v>
                </c:pt>
                <c:pt idx="461">
                  <c:v>0.66312417671270441</c:v>
                </c:pt>
                <c:pt idx="462">
                  <c:v>0.66312417671270441</c:v>
                </c:pt>
                <c:pt idx="463">
                  <c:v>0.66312417671270441</c:v>
                </c:pt>
                <c:pt idx="464">
                  <c:v>0.66689905546078299</c:v>
                </c:pt>
                <c:pt idx="465">
                  <c:v>0.66689905546078299</c:v>
                </c:pt>
                <c:pt idx="466">
                  <c:v>0.66689905546078299</c:v>
                </c:pt>
                <c:pt idx="467">
                  <c:v>0.66689905546078299</c:v>
                </c:pt>
                <c:pt idx="468">
                  <c:v>0.66689905546078299</c:v>
                </c:pt>
                <c:pt idx="469">
                  <c:v>0.66689905546078299</c:v>
                </c:pt>
                <c:pt idx="470">
                  <c:v>0.66689905546078299</c:v>
                </c:pt>
                <c:pt idx="471">
                  <c:v>0.66689905546078299</c:v>
                </c:pt>
                <c:pt idx="472">
                  <c:v>0.66689905546078299</c:v>
                </c:pt>
                <c:pt idx="473">
                  <c:v>0.66689905546078299</c:v>
                </c:pt>
                <c:pt idx="474">
                  <c:v>0.66689905546078299</c:v>
                </c:pt>
                <c:pt idx="475">
                  <c:v>0.66689905546078299</c:v>
                </c:pt>
                <c:pt idx="476">
                  <c:v>0.66689905546078299</c:v>
                </c:pt>
                <c:pt idx="477">
                  <c:v>0.66689905546078299</c:v>
                </c:pt>
                <c:pt idx="478">
                  <c:v>0.66689905546078299</c:v>
                </c:pt>
                <c:pt idx="479">
                  <c:v>0.66689905546078299</c:v>
                </c:pt>
                <c:pt idx="480">
                  <c:v>0.66689905546078299</c:v>
                </c:pt>
                <c:pt idx="481">
                  <c:v>0.66689905546078299</c:v>
                </c:pt>
                <c:pt idx="482">
                  <c:v>0.66689905546078299</c:v>
                </c:pt>
                <c:pt idx="483">
                  <c:v>0.66689905546078299</c:v>
                </c:pt>
                <c:pt idx="484">
                  <c:v>0.66689905546078299</c:v>
                </c:pt>
                <c:pt idx="485">
                  <c:v>0.66689905546078299</c:v>
                </c:pt>
                <c:pt idx="486">
                  <c:v>0.66689905546078299</c:v>
                </c:pt>
                <c:pt idx="487">
                  <c:v>0.66689905546078299</c:v>
                </c:pt>
                <c:pt idx="488">
                  <c:v>0.66689905546078299</c:v>
                </c:pt>
                <c:pt idx="489">
                  <c:v>0.66312417671270441</c:v>
                </c:pt>
                <c:pt idx="490">
                  <c:v>0.65792086852366749</c:v>
                </c:pt>
                <c:pt idx="491">
                  <c:v>0.65792086852366749</c:v>
                </c:pt>
                <c:pt idx="492">
                  <c:v>0.65792086852366749</c:v>
                </c:pt>
                <c:pt idx="493">
                  <c:v>0.65792086852366749</c:v>
                </c:pt>
                <c:pt idx="494">
                  <c:v>0.65591692150795511</c:v>
                </c:pt>
                <c:pt idx="495">
                  <c:v>0.65483260312078995</c:v>
                </c:pt>
                <c:pt idx="496">
                  <c:v>0.65287596843337348</c:v>
                </c:pt>
                <c:pt idx="497">
                  <c:v>0.65287596843337348</c:v>
                </c:pt>
                <c:pt idx="498">
                  <c:v>0.64924499514389034</c:v>
                </c:pt>
                <c:pt idx="499">
                  <c:v>0.64924499514389034</c:v>
                </c:pt>
                <c:pt idx="500">
                  <c:v>0.64484071006815902</c:v>
                </c:pt>
                <c:pt idx="501">
                  <c:v>0.64164890183343104</c:v>
                </c:pt>
                <c:pt idx="502">
                  <c:v>0.63672644927394251</c:v>
                </c:pt>
                <c:pt idx="503">
                  <c:v>0.62925665794126706</c:v>
                </c:pt>
                <c:pt idx="504">
                  <c:v>0.62925665794126706</c:v>
                </c:pt>
                <c:pt idx="505">
                  <c:v>0.62856876393898353</c:v>
                </c:pt>
                <c:pt idx="506">
                  <c:v>0.62167491480649073</c:v>
                </c:pt>
                <c:pt idx="507">
                  <c:v>0.61894377850827864</c:v>
                </c:pt>
                <c:pt idx="508">
                  <c:v>0.61894377850827864</c:v>
                </c:pt>
                <c:pt idx="509">
                  <c:v>0.61894377850827864</c:v>
                </c:pt>
                <c:pt idx="510">
                  <c:v>0.61894377850827864</c:v>
                </c:pt>
                <c:pt idx="511">
                  <c:v>0.61894377850827864</c:v>
                </c:pt>
                <c:pt idx="512">
                  <c:v>0.61894377850827864</c:v>
                </c:pt>
                <c:pt idx="513">
                  <c:v>0.61894377850827864</c:v>
                </c:pt>
                <c:pt idx="514">
                  <c:v>0.61894377850827864</c:v>
                </c:pt>
                <c:pt idx="515">
                  <c:v>0.61894377850827864</c:v>
                </c:pt>
                <c:pt idx="516">
                  <c:v>0.61894377850827864</c:v>
                </c:pt>
                <c:pt idx="517">
                  <c:v>0.61894377850827864</c:v>
                </c:pt>
                <c:pt idx="518">
                  <c:v>0.61894377850827864</c:v>
                </c:pt>
                <c:pt idx="519">
                  <c:v>0.61894377850827864</c:v>
                </c:pt>
                <c:pt idx="520">
                  <c:v>0.61894377850827864</c:v>
                </c:pt>
                <c:pt idx="521">
                  <c:v>0.61894377850827864</c:v>
                </c:pt>
                <c:pt idx="522">
                  <c:v>0.61894377850827864</c:v>
                </c:pt>
                <c:pt idx="523">
                  <c:v>0.61886850964095508</c:v>
                </c:pt>
                <c:pt idx="524">
                  <c:v>0.61568445688824813</c:v>
                </c:pt>
                <c:pt idx="525">
                  <c:v>0.61568445688824813</c:v>
                </c:pt>
                <c:pt idx="526">
                  <c:v>0.61568445688824813</c:v>
                </c:pt>
                <c:pt idx="527">
                  <c:v>0.61562189424776403</c:v>
                </c:pt>
                <c:pt idx="528">
                  <c:v>0.61181534337810684</c:v>
                </c:pt>
                <c:pt idx="529">
                  <c:v>0.61181534337810684</c:v>
                </c:pt>
                <c:pt idx="530">
                  <c:v>0.61181534337810684</c:v>
                </c:pt>
                <c:pt idx="531">
                  <c:v>0.61181534337810684</c:v>
                </c:pt>
                <c:pt idx="532">
                  <c:v>0.61181534337810684</c:v>
                </c:pt>
                <c:pt idx="533">
                  <c:v>0.61181534337810684</c:v>
                </c:pt>
                <c:pt idx="534">
                  <c:v>0.61181534337810684</c:v>
                </c:pt>
                <c:pt idx="535">
                  <c:v>0.60632497656034257</c:v>
                </c:pt>
                <c:pt idx="536">
                  <c:v>0.60632497656034257</c:v>
                </c:pt>
                <c:pt idx="537">
                  <c:v>0.60632497656034257</c:v>
                </c:pt>
                <c:pt idx="538">
                  <c:v>0.60632497656034257</c:v>
                </c:pt>
                <c:pt idx="539">
                  <c:v>0.60632497656034257</c:v>
                </c:pt>
                <c:pt idx="540">
                  <c:v>0.60632497656034257</c:v>
                </c:pt>
                <c:pt idx="541">
                  <c:v>0.60486285810254181</c:v>
                </c:pt>
                <c:pt idx="542">
                  <c:v>0.60464501201729459</c:v>
                </c:pt>
                <c:pt idx="543">
                  <c:v>0.60454097365144643</c:v>
                </c:pt>
                <c:pt idx="544">
                  <c:v>0.60318966360052417</c:v>
                </c:pt>
                <c:pt idx="545">
                  <c:v>0.60244078851020122</c:v>
                </c:pt>
                <c:pt idx="546">
                  <c:v>0.60004148401667479</c:v>
                </c:pt>
                <c:pt idx="547">
                  <c:v>0.59971762743920831</c:v>
                </c:pt>
                <c:pt idx="548">
                  <c:v>0.59645571949806542</c:v>
                </c:pt>
                <c:pt idx="549">
                  <c:v>0.59165938531654627</c:v>
                </c:pt>
                <c:pt idx="550">
                  <c:v>0.59059484612325663</c:v>
                </c:pt>
                <c:pt idx="551">
                  <c:v>0.58932960355683695</c:v>
                </c:pt>
                <c:pt idx="552">
                  <c:v>0.5888359859189628</c:v>
                </c:pt>
                <c:pt idx="553">
                  <c:v>0.5888359859189628</c:v>
                </c:pt>
                <c:pt idx="554">
                  <c:v>0.5888359859189628</c:v>
                </c:pt>
                <c:pt idx="555">
                  <c:v>0.5888359859189628</c:v>
                </c:pt>
                <c:pt idx="556">
                  <c:v>0.5888359859189628</c:v>
                </c:pt>
                <c:pt idx="557">
                  <c:v>0.58671268284094957</c:v>
                </c:pt>
                <c:pt idx="558">
                  <c:v>0.58671268284094957</c:v>
                </c:pt>
                <c:pt idx="559">
                  <c:v>0.58671268284094957</c:v>
                </c:pt>
                <c:pt idx="560">
                  <c:v>0.58671268284094957</c:v>
                </c:pt>
                <c:pt idx="561">
                  <c:v>0.58497513805128099</c:v>
                </c:pt>
                <c:pt idx="562">
                  <c:v>0.58471019399548629</c:v>
                </c:pt>
                <c:pt idx="563">
                  <c:v>0.58430935239565673</c:v>
                </c:pt>
                <c:pt idx="564">
                  <c:v>0.58384123439620372</c:v>
                </c:pt>
                <c:pt idx="565">
                  <c:v>0.58220490629972987</c:v>
                </c:pt>
                <c:pt idx="566">
                  <c:v>0.58220490629972987</c:v>
                </c:pt>
                <c:pt idx="567">
                  <c:v>0.58220490629972987</c:v>
                </c:pt>
                <c:pt idx="568">
                  <c:v>0.58220490629972987</c:v>
                </c:pt>
                <c:pt idx="569">
                  <c:v>0.58220490629972987</c:v>
                </c:pt>
                <c:pt idx="570">
                  <c:v>0.58220490629972987</c:v>
                </c:pt>
                <c:pt idx="571">
                  <c:v>0.58220490629972987</c:v>
                </c:pt>
                <c:pt idx="572">
                  <c:v>0.58220490629972987</c:v>
                </c:pt>
                <c:pt idx="573">
                  <c:v>0.58220490629972987</c:v>
                </c:pt>
                <c:pt idx="574">
                  <c:v>0.58220490629972987</c:v>
                </c:pt>
                <c:pt idx="575">
                  <c:v>0.58220490629972987</c:v>
                </c:pt>
                <c:pt idx="576">
                  <c:v>0.58211084181910122</c:v>
                </c:pt>
                <c:pt idx="577">
                  <c:v>0.58211084181910122</c:v>
                </c:pt>
                <c:pt idx="578">
                  <c:v>0.58211084181910122</c:v>
                </c:pt>
                <c:pt idx="579">
                  <c:v>0.58211084181910122</c:v>
                </c:pt>
                <c:pt idx="580">
                  <c:v>0.58211084181910122</c:v>
                </c:pt>
                <c:pt idx="581">
                  <c:v>0.58211084181910122</c:v>
                </c:pt>
                <c:pt idx="582">
                  <c:v>0.5794148147805418</c:v>
                </c:pt>
                <c:pt idx="583">
                  <c:v>0.57578381304723536</c:v>
                </c:pt>
                <c:pt idx="584">
                  <c:v>0.57165749263696997</c:v>
                </c:pt>
                <c:pt idx="585">
                  <c:v>0.56760313033957177</c:v>
                </c:pt>
                <c:pt idx="586">
                  <c:v>0.56524636286521868</c:v>
                </c:pt>
                <c:pt idx="587">
                  <c:v>0.56435980353060577</c:v>
                </c:pt>
                <c:pt idx="588">
                  <c:v>0.56317975972095424</c:v>
                </c:pt>
                <c:pt idx="589">
                  <c:v>0.56317975972095424</c:v>
                </c:pt>
                <c:pt idx="590">
                  <c:v>0.56317975972095424</c:v>
                </c:pt>
                <c:pt idx="591">
                  <c:v>0.56317975972095424</c:v>
                </c:pt>
                <c:pt idx="592">
                  <c:v>0.56317975972095424</c:v>
                </c:pt>
                <c:pt idx="593">
                  <c:v>0.56317975972095424</c:v>
                </c:pt>
                <c:pt idx="594">
                  <c:v>0.56317975972095424</c:v>
                </c:pt>
                <c:pt idx="595">
                  <c:v>0.56317975972095424</c:v>
                </c:pt>
                <c:pt idx="596">
                  <c:v>0.56317975972095424</c:v>
                </c:pt>
                <c:pt idx="597">
                  <c:v>0.56317975972095424</c:v>
                </c:pt>
                <c:pt idx="598">
                  <c:v>0.56317975972095424</c:v>
                </c:pt>
                <c:pt idx="599">
                  <c:v>0.56317975972095424</c:v>
                </c:pt>
                <c:pt idx="600">
                  <c:v>0.56317975972095424</c:v>
                </c:pt>
                <c:pt idx="601">
                  <c:v>0.56317975972095424</c:v>
                </c:pt>
                <c:pt idx="602">
                  <c:v>0.56317975972095424</c:v>
                </c:pt>
                <c:pt idx="603">
                  <c:v>0.56317975972095424</c:v>
                </c:pt>
                <c:pt idx="604">
                  <c:v>0.56317975972095424</c:v>
                </c:pt>
                <c:pt idx="605">
                  <c:v>0.56317975972095424</c:v>
                </c:pt>
                <c:pt idx="606">
                  <c:v>0.56317975972095424</c:v>
                </c:pt>
                <c:pt idx="607">
                  <c:v>0.56317975972095424</c:v>
                </c:pt>
                <c:pt idx="608">
                  <c:v>0.56317975972095424</c:v>
                </c:pt>
                <c:pt idx="609">
                  <c:v>0.56317975972095424</c:v>
                </c:pt>
                <c:pt idx="610">
                  <c:v>0.56317975972095424</c:v>
                </c:pt>
                <c:pt idx="611">
                  <c:v>0.56317975972095424</c:v>
                </c:pt>
                <c:pt idx="612">
                  <c:v>0.56317975972095424</c:v>
                </c:pt>
                <c:pt idx="613">
                  <c:v>0.56317975972095424</c:v>
                </c:pt>
                <c:pt idx="614">
                  <c:v>0.56317975972095424</c:v>
                </c:pt>
                <c:pt idx="615">
                  <c:v>0.56317975972095424</c:v>
                </c:pt>
                <c:pt idx="616">
                  <c:v>0.56317975972095424</c:v>
                </c:pt>
                <c:pt idx="617">
                  <c:v>0.56539284750509577</c:v>
                </c:pt>
                <c:pt idx="618">
                  <c:v>0.56539284750509577</c:v>
                </c:pt>
                <c:pt idx="619">
                  <c:v>0.56539284750509577</c:v>
                </c:pt>
                <c:pt idx="620">
                  <c:v>0.56539284750509577</c:v>
                </c:pt>
                <c:pt idx="621">
                  <c:v>0.56539284750509577</c:v>
                </c:pt>
                <c:pt idx="622">
                  <c:v>0.56539284750509577</c:v>
                </c:pt>
                <c:pt idx="623">
                  <c:v>0.56539284750509577</c:v>
                </c:pt>
                <c:pt idx="624">
                  <c:v>0.56539284750509577</c:v>
                </c:pt>
                <c:pt idx="625">
                  <c:v>0.56539284750509577</c:v>
                </c:pt>
                <c:pt idx="626">
                  <c:v>0.56539284750509577</c:v>
                </c:pt>
                <c:pt idx="627">
                  <c:v>0.56539284750509577</c:v>
                </c:pt>
                <c:pt idx="628">
                  <c:v>0.56539284750509577</c:v>
                </c:pt>
                <c:pt idx="629">
                  <c:v>0.56539284750509577</c:v>
                </c:pt>
                <c:pt idx="630">
                  <c:v>0.56539284750509577</c:v>
                </c:pt>
                <c:pt idx="631">
                  <c:v>0.56539284750509577</c:v>
                </c:pt>
                <c:pt idx="632">
                  <c:v>0.56507742009242357</c:v>
                </c:pt>
                <c:pt idx="633">
                  <c:v>0.5649568400595274</c:v>
                </c:pt>
                <c:pt idx="634">
                  <c:v>0.5649568400595274</c:v>
                </c:pt>
                <c:pt idx="635">
                  <c:v>0.5711203479044541</c:v>
                </c:pt>
                <c:pt idx="636">
                  <c:v>0.57252099561319159</c:v>
                </c:pt>
                <c:pt idx="637">
                  <c:v>0.57572935535648151</c:v>
                </c:pt>
                <c:pt idx="638">
                  <c:v>0.57950911462486343</c:v>
                </c:pt>
                <c:pt idx="639">
                  <c:v>0.58416024430999991</c:v>
                </c:pt>
                <c:pt idx="640">
                  <c:v>0.59019287049706526</c:v>
                </c:pt>
                <c:pt idx="641">
                  <c:v>0.598846715705601</c:v>
                </c:pt>
                <c:pt idx="642">
                  <c:v>0.598846715705601</c:v>
                </c:pt>
                <c:pt idx="643">
                  <c:v>0.598846715705601</c:v>
                </c:pt>
                <c:pt idx="644">
                  <c:v>0.59019287049706526</c:v>
                </c:pt>
                <c:pt idx="645">
                  <c:v>0.58864334285837194</c:v>
                </c:pt>
                <c:pt idx="646">
                  <c:v>0.58300760727705225</c:v>
                </c:pt>
                <c:pt idx="647">
                  <c:v>0.58300760727705225</c:v>
                </c:pt>
                <c:pt idx="648">
                  <c:v>0.57938834712977927</c:v>
                </c:pt>
                <c:pt idx="649">
                  <c:v>0.57289050864243141</c:v>
                </c:pt>
                <c:pt idx="650">
                  <c:v>0.5711203479044541</c:v>
                </c:pt>
                <c:pt idx="651">
                  <c:v>0.56500782819934758</c:v>
                </c:pt>
                <c:pt idx="652">
                  <c:v>0.54365097938804252</c:v>
                </c:pt>
                <c:pt idx="653">
                  <c:v>0.53309378835939958</c:v>
                </c:pt>
                <c:pt idx="654">
                  <c:v>0.52848888743940392</c:v>
                </c:pt>
                <c:pt idx="655">
                  <c:v>0.52848888743940392</c:v>
                </c:pt>
                <c:pt idx="656">
                  <c:v>0.52666537997761675</c:v>
                </c:pt>
                <c:pt idx="657">
                  <c:v>0.52666537997761675</c:v>
                </c:pt>
                <c:pt idx="658">
                  <c:v>0.52080572452313911</c:v>
                </c:pt>
                <c:pt idx="659">
                  <c:v>0.52080572452313911</c:v>
                </c:pt>
                <c:pt idx="660">
                  <c:v>0.52080572452313911</c:v>
                </c:pt>
                <c:pt idx="661">
                  <c:v>0.52080572452313911</c:v>
                </c:pt>
                <c:pt idx="662">
                  <c:v>0.52080572452313911</c:v>
                </c:pt>
                <c:pt idx="663">
                  <c:v>0.52080572452313911</c:v>
                </c:pt>
                <c:pt idx="664">
                  <c:v>0.52080572452313911</c:v>
                </c:pt>
                <c:pt idx="665">
                  <c:v>0.52080572452313911</c:v>
                </c:pt>
                <c:pt idx="666">
                  <c:v>0.52080572452313911</c:v>
                </c:pt>
                <c:pt idx="667">
                  <c:v>0.52080572452313911</c:v>
                </c:pt>
                <c:pt idx="668">
                  <c:v>0.52080572452313911</c:v>
                </c:pt>
                <c:pt idx="669">
                  <c:v>0.52080572452313911</c:v>
                </c:pt>
                <c:pt idx="670">
                  <c:v>0.52080572452313911</c:v>
                </c:pt>
                <c:pt idx="671">
                  <c:v>0.52080572452313911</c:v>
                </c:pt>
                <c:pt idx="672">
                  <c:v>0.52080572452313911</c:v>
                </c:pt>
                <c:pt idx="673">
                  <c:v>0.52080572452313911</c:v>
                </c:pt>
                <c:pt idx="674">
                  <c:v>0.52080572452313911</c:v>
                </c:pt>
                <c:pt idx="675">
                  <c:v>0.52080572452313911</c:v>
                </c:pt>
                <c:pt idx="676">
                  <c:v>0.52080572452313911</c:v>
                </c:pt>
                <c:pt idx="677">
                  <c:v>0.52080572452313911</c:v>
                </c:pt>
                <c:pt idx="678">
                  <c:v>0.52080572452313911</c:v>
                </c:pt>
                <c:pt idx="679">
                  <c:v>0.52080572452313911</c:v>
                </c:pt>
                <c:pt idx="680">
                  <c:v>0.52080572452313911</c:v>
                </c:pt>
                <c:pt idx="681">
                  <c:v>0.52080572452313911</c:v>
                </c:pt>
                <c:pt idx="682">
                  <c:v>0.52080572452313911</c:v>
                </c:pt>
                <c:pt idx="683">
                  <c:v>0.52080572452313911</c:v>
                </c:pt>
                <c:pt idx="684">
                  <c:v>0.52080572452313911</c:v>
                </c:pt>
                <c:pt idx="685">
                  <c:v>0.52080572452313911</c:v>
                </c:pt>
                <c:pt idx="686">
                  <c:v>0.52080572452313911</c:v>
                </c:pt>
                <c:pt idx="687">
                  <c:v>0.52080572452313911</c:v>
                </c:pt>
                <c:pt idx="688">
                  <c:v>0.52080572452313911</c:v>
                </c:pt>
                <c:pt idx="689">
                  <c:v>0.52080572452313911</c:v>
                </c:pt>
                <c:pt idx="690">
                  <c:v>0.52080572452313911</c:v>
                </c:pt>
                <c:pt idx="691">
                  <c:v>0.52080572452313911</c:v>
                </c:pt>
                <c:pt idx="692">
                  <c:v>0.52080572452313911</c:v>
                </c:pt>
                <c:pt idx="693">
                  <c:v>0.52080572452313911</c:v>
                </c:pt>
                <c:pt idx="694">
                  <c:v>0.52080572452313911</c:v>
                </c:pt>
                <c:pt idx="695">
                  <c:v>0.52080572452313911</c:v>
                </c:pt>
                <c:pt idx="696">
                  <c:v>0.52080572452313911</c:v>
                </c:pt>
                <c:pt idx="697">
                  <c:v>0.52080572452313911</c:v>
                </c:pt>
                <c:pt idx="698">
                  <c:v>0.52080572452313911</c:v>
                </c:pt>
                <c:pt idx="699">
                  <c:v>0.52080572452313911</c:v>
                </c:pt>
                <c:pt idx="700">
                  <c:v>0.52080572452313911</c:v>
                </c:pt>
                <c:pt idx="701">
                  <c:v>0.52080572452313911</c:v>
                </c:pt>
                <c:pt idx="702">
                  <c:v>0.52733392113010935</c:v>
                </c:pt>
                <c:pt idx="703">
                  <c:v>0.53480947632189169</c:v>
                </c:pt>
                <c:pt idx="704">
                  <c:v>0.54243374392748289</c:v>
                </c:pt>
                <c:pt idx="705">
                  <c:v>0.61654520392116063</c:v>
                </c:pt>
                <c:pt idx="706">
                  <c:v>0.69903736443459641</c:v>
                </c:pt>
                <c:pt idx="707">
                  <c:v>0.70453262041400355</c:v>
                </c:pt>
                <c:pt idx="708">
                  <c:v>0.72692655483316782</c:v>
                </c:pt>
                <c:pt idx="709">
                  <c:v>0.72953784903040664</c:v>
                </c:pt>
                <c:pt idx="710">
                  <c:v>0.73379303803268603</c:v>
                </c:pt>
                <c:pt idx="711">
                  <c:v>0.73545892241768029</c:v>
                </c:pt>
                <c:pt idx="712">
                  <c:v>0.74101492028108529</c:v>
                </c:pt>
                <c:pt idx="713">
                  <c:v>0.75600007651476309</c:v>
                </c:pt>
                <c:pt idx="714">
                  <c:v>0.75885685115845436</c:v>
                </c:pt>
                <c:pt idx="715">
                  <c:v>0.76209673498529362</c:v>
                </c:pt>
                <c:pt idx="716">
                  <c:v>0.78115777060389069</c:v>
                </c:pt>
                <c:pt idx="717">
                  <c:v>0.78230675181787745</c:v>
                </c:pt>
                <c:pt idx="718">
                  <c:v>0.79021140501044873</c:v>
                </c:pt>
                <c:pt idx="719">
                  <c:v>0.79320516627593118</c:v>
                </c:pt>
                <c:pt idx="720">
                  <c:v>0.79961138508747054</c:v>
                </c:pt>
                <c:pt idx="721">
                  <c:v>0.80284758812522872</c:v>
                </c:pt>
                <c:pt idx="722">
                  <c:v>0.80284758812522872</c:v>
                </c:pt>
                <c:pt idx="723">
                  <c:v>0.80284758812522872</c:v>
                </c:pt>
                <c:pt idx="724">
                  <c:v>0.80284758812522872</c:v>
                </c:pt>
                <c:pt idx="725">
                  <c:v>0.80284758812522872</c:v>
                </c:pt>
                <c:pt idx="726">
                  <c:v>0.80284758812522872</c:v>
                </c:pt>
                <c:pt idx="727">
                  <c:v>0.80284758812522872</c:v>
                </c:pt>
                <c:pt idx="728">
                  <c:v>0.80284758812522872</c:v>
                </c:pt>
                <c:pt idx="729">
                  <c:v>0.80284758812522872</c:v>
                </c:pt>
                <c:pt idx="730">
                  <c:v>0.80284758812522872</c:v>
                </c:pt>
                <c:pt idx="731">
                  <c:v>0.80577623550985833</c:v>
                </c:pt>
                <c:pt idx="732">
                  <c:v>0.82017801120202838</c:v>
                </c:pt>
                <c:pt idx="733">
                  <c:v>0.82017801120202838</c:v>
                </c:pt>
                <c:pt idx="734">
                  <c:v>0.82017801120202838</c:v>
                </c:pt>
                <c:pt idx="735">
                  <c:v>0.82095977877363979</c:v>
                </c:pt>
                <c:pt idx="736">
                  <c:v>0.83951886693204214</c:v>
                </c:pt>
                <c:pt idx="737">
                  <c:v>0.85777773897647214</c:v>
                </c:pt>
                <c:pt idx="738">
                  <c:v>0.86402329555214508</c:v>
                </c:pt>
                <c:pt idx="739">
                  <c:v>0.88214572496149135</c:v>
                </c:pt>
                <c:pt idx="740">
                  <c:v>0.89345868993463295</c:v>
                </c:pt>
                <c:pt idx="741">
                  <c:v>0.90283684698646116</c:v>
                </c:pt>
                <c:pt idx="742">
                  <c:v>0.90619484888012602</c:v>
                </c:pt>
                <c:pt idx="743">
                  <c:v>0.91629793916731272</c:v>
                </c:pt>
                <c:pt idx="744">
                  <c:v>0.92101389183962068</c:v>
                </c:pt>
                <c:pt idx="745">
                  <c:v>0.92713113542843628</c:v>
                </c:pt>
                <c:pt idx="746">
                  <c:v>0.9302400182442575</c:v>
                </c:pt>
                <c:pt idx="747">
                  <c:v>0.9302400182442575</c:v>
                </c:pt>
                <c:pt idx="748">
                  <c:v>0.9302400182442575</c:v>
                </c:pt>
                <c:pt idx="749">
                  <c:v>0.96551686921421864</c:v>
                </c:pt>
                <c:pt idx="750">
                  <c:v>0.96594020957994287</c:v>
                </c:pt>
                <c:pt idx="751">
                  <c:v>0.96681834302285152</c:v>
                </c:pt>
                <c:pt idx="752">
                  <c:v>0.96681834302285152</c:v>
                </c:pt>
                <c:pt idx="753">
                  <c:v>0.96681834302285152</c:v>
                </c:pt>
                <c:pt idx="754">
                  <c:v>0.97095262943142047</c:v>
                </c:pt>
                <c:pt idx="755">
                  <c:v>0.97120463830525017</c:v>
                </c:pt>
                <c:pt idx="756">
                  <c:v>0.97120463830525017</c:v>
                </c:pt>
                <c:pt idx="757">
                  <c:v>1.00623720131262</c:v>
                </c:pt>
                <c:pt idx="758">
                  <c:v>1.0129667306121397</c:v>
                </c:pt>
                <c:pt idx="759">
                  <c:v>1.0384352180104861</c:v>
                </c:pt>
                <c:pt idx="760">
                  <c:v>1.0530661590480044</c:v>
                </c:pt>
                <c:pt idx="761">
                  <c:v>1.0687439742480607</c:v>
                </c:pt>
                <c:pt idx="762">
                  <c:v>1.0797794565109839</c:v>
                </c:pt>
                <c:pt idx="763">
                  <c:v>1.0945407659811905</c:v>
                </c:pt>
                <c:pt idx="764">
                  <c:v>1.1027885223729936</c:v>
                </c:pt>
                <c:pt idx="765">
                  <c:v>1.1092468829684754</c:v>
                </c:pt>
                <c:pt idx="766">
                  <c:v>1.1107529317300806</c:v>
                </c:pt>
                <c:pt idx="767">
                  <c:v>1.1132830329004189</c:v>
                </c:pt>
                <c:pt idx="768">
                  <c:v>1.1166081854575518</c:v>
                </c:pt>
                <c:pt idx="769">
                  <c:v>1.1166081854575518</c:v>
                </c:pt>
                <c:pt idx="770">
                  <c:v>1.1166081854575518</c:v>
                </c:pt>
                <c:pt idx="771">
                  <c:v>1.1166081854575518</c:v>
                </c:pt>
                <c:pt idx="772">
                  <c:v>1.1166081854575518</c:v>
                </c:pt>
                <c:pt idx="773">
                  <c:v>1.1166081854575518</c:v>
                </c:pt>
                <c:pt idx="774">
                  <c:v>1.1166081854575518</c:v>
                </c:pt>
                <c:pt idx="775">
                  <c:v>1.1166081854575518</c:v>
                </c:pt>
                <c:pt idx="776">
                  <c:v>1.1167753874427426</c:v>
                </c:pt>
                <c:pt idx="777">
                  <c:v>1.1195009252752797</c:v>
                </c:pt>
                <c:pt idx="778">
                  <c:v>1.1228486482557807</c:v>
                </c:pt>
                <c:pt idx="779">
                  <c:v>1.128822247520411</c:v>
                </c:pt>
                <c:pt idx="780">
                  <c:v>1.1424308790407416</c:v>
                </c:pt>
                <c:pt idx="781">
                  <c:v>1.147788573830909</c:v>
                </c:pt>
                <c:pt idx="782">
                  <c:v>1.1491605559803209</c:v>
                </c:pt>
                <c:pt idx="783">
                  <c:v>1.1523507455863577</c:v>
                </c:pt>
                <c:pt idx="784">
                  <c:v>1.1523507455863577</c:v>
                </c:pt>
                <c:pt idx="785">
                  <c:v>1.1523507455863577</c:v>
                </c:pt>
                <c:pt idx="786">
                  <c:v>1.1523507455863577</c:v>
                </c:pt>
                <c:pt idx="787">
                  <c:v>1.1524300985927685</c:v>
                </c:pt>
                <c:pt idx="788">
                  <c:v>1.1556762008615988</c:v>
                </c:pt>
                <c:pt idx="789">
                  <c:v>1.1603371923795516</c:v>
                </c:pt>
                <c:pt idx="790">
                  <c:v>1.1715644983061435</c:v>
                </c:pt>
                <c:pt idx="791">
                  <c:v>1.1715644983061435</c:v>
                </c:pt>
                <c:pt idx="792">
                  <c:v>1.1729193294334348</c:v>
                </c:pt>
                <c:pt idx="793">
                  <c:v>1.1780217407924864</c:v>
                </c:pt>
                <c:pt idx="794">
                  <c:v>1.17866255933443</c:v>
                </c:pt>
                <c:pt idx="795">
                  <c:v>1.1829983941305275</c:v>
                </c:pt>
                <c:pt idx="796">
                  <c:v>1.1829983941305275</c:v>
                </c:pt>
                <c:pt idx="797">
                  <c:v>1.1829983941305275</c:v>
                </c:pt>
                <c:pt idx="798">
                  <c:v>1.1829983941305275</c:v>
                </c:pt>
                <c:pt idx="799">
                  <c:v>1.1829983941305275</c:v>
                </c:pt>
                <c:pt idx="800">
                  <c:v>1.1829983941305275</c:v>
                </c:pt>
                <c:pt idx="801">
                  <c:v>1.1829983941305275</c:v>
                </c:pt>
                <c:pt idx="802">
                  <c:v>1.1916000038853984</c:v>
                </c:pt>
                <c:pt idx="803">
                  <c:v>1.2079163139680027</c:v>
                </c:pt>
                <c:pt idx="804">
                  <c:v>1.2269711930422584</c:v>
                </c:pt>
                <c:pt idx="805">
                  <c:v>1.2348227359962325</c:v>
                </c:pt>
                <c:pt idx="806">
                  <c:v>1.2446679247510382</c:v>
                </c:pt>
                <c:pt idx="807">
                  <c:v>1.24665124637041</c:v>
                </c:pt>
                <c:pt idx="808">
                  <c:v>1.2466441377384632</c:v>
                </c:pt>
                <c:pt idx="809">
                  <c:v>1.2531219084774579</c:v>
                </c:pt>
                <c:pt idx="810">
                  <c:v>1.2531219084774579</c:v>
                </c:pt>
                <c:pt idx="811">
                  <c:v>1.2531219084774579</c:v>
                </c:pt>
                <c:pt idx="812">
                  <c:v>1.2531219084774579</c:v>
                </c:pt>
                <c:pt idx="813">
                  <c:v>1.2531219084774579</c:v>
                </c:pt>
                <c:pt idx="814">
                  <c:v>1.2531219084774579</c:v>
                </c:pt>
                <c:pt idx="815">
                  <c:v>1.2531219084774579</c:v>
                </c:pt>
                <c:pt idx="816">
                  <c:v>1.2531219084774579</c:v>
                </c:pt>
                <c:pt idx="817">
                  <c:v>1.2531219084774579</c:v>
                </c:pt>
                <c:pt idx="818">
                  <c:v>1.2531219084774579</c:v>
                </c:pt>
                <c:pt idx="819">
                  <c:v>1.2531219084774579</c:v>
                </c:pt>
                <c:pt idx="820">
                  <c:v>1.2531219084774579</c:v>
                </c:pt>
                <c:pt idx="821">
                  <c:v>1.2408598359834653</c:v>
                </c:pt>
                <c:pt idx="822">
                  <c:v>1.2534777396407597</c:v>
                </c:pt>
                <c:pt idx="823">
                  <c:v>1.2534777396407597</c:v>
                </c:pt>
                <c:pt idx="824">
                  <c:v>1.2534777396407597</c:v>
                </c:pt>
                <c:pt idx="825">
                  <c:v>1.2534777396407597</c:v>
                </c:pt>
                <c:pt idx="826">
                  <c:v>1.2534777396407597</c:v>
                </c:pt>
                <c:pt idx="827">
                  <c:v>1.2408598359834653</c:v>
                </c:pt>
                <c:pt idx="828">
                  <c:v>1.2408598359834653</c:v>
                </c:pt>
                <c:pt idx="829">
                  <c:v>1.2408598359834653</c:v>
                </c:pt>
                <c:pt idx="830">
                  <c:v>1.236976564372082</c:v>
                </c:pt>
                <c:pt idx="831">
                  <c:v>1.2306516723784104</c:v>
                </c:pt>
                <c:pt idx="832">
                  <c:v>1.2306516723784104</c:v>
                </c:pt>
                <c:pt idx="833">
                  <c:v>1.2306516723784104</c:v>
                </c:pt>
                <c:pt idx="834">
                  <c:v>1.2167445663361278</c:v>
                </c:pt>
                <c:pt idx="835">
                  <c:v>1.2121436958989047</c:v>
                </c:pt>
                <c:pt idx="836">
                  <c:v>1.2121436958989047</c:v>
                </c:pt>
                <c:pt idx="837">
                  <c:v>1.2121436958989047</c:v>
                </c:pt>
                <c:pt idx="838">
                  <c:v>1.2068682978765188</c:v>
                </c:pt>
                <c:pt idx="839">
                  <c:v>1.2019965565752928</c:v>
                </c:pt>
                <c:pt idx="840">
                  <c:v>1.2007548576030771</c:v>
                </c:pt>
                <c:pt idx="841">
                  <c:v>1.1962137369873</c:v>
                </c:pt>
                <c:pt idx="842">
                  <c:v>1.1931472522781759</c:v>
                </c:pt>
                <c:pt idx="843">
                  <c:v>1.1636947949203491</c:v>
                </c:pt>
                <c:pt idx="844">
                  <c:v>1.1551575382790482</c:v>
                </c:pt>
                <c:pt idx="845">
                  <c:v>1.1525792256480067</c:v>
                </c:pt>
                <c:pt idx="846">
                  <c:v>1.1311744908334882</c:v>
                </c:pt>
                <c:pt idx="847">
                  <c:v>1.1311744908334882</c:v>
                </c:pt>
                <c:pt idx="848">
                  <c:v>1.1307491887897121</c:v>
                </c:pt>
                <c:pt idx="849">
                  <c:v>1.1307491887897121</c:v>
                </c:pt>
                <c:pt idx="850">
                  <c:v>1.1114720766677391</c:v>
                </c:pt>
                <c:pt idx="851">
                  <c:v>1.1114720766677391</c:v>
                </c:pt>
                <c:pt idx="852">
                  <c:v>1.1114720766677391</c:v>
                </c:pt>
                <c:pt idx="853">
                  <c:v>1.1114720766677391</c:v>
                </c:pt>
                <c:pt idx="854">
                  <c:v>1.1114720766677391</c:v>
                </c:pt>
                <c:pt idx="855">
                  <c:v>1.1114720766677391</c:v>
                </c:pt>
                <c:pt idx="856">
                  <c:v>1.1114720766677391</c:v>
                </c:pt>
                <c:pt idx="857">
                  <c:v>1.1114720766677391</c:v>
                </c:pt>
                <c:pt idx="858">
                  <c:v>1.1114720766677391</c:v>
                </c:pt>
                <c:pt idx="859">
                  <c:v>1.1114720766677391</c:v>
                </c:pt>
                <c:pt idx="860">
                  <c:v>1.1114720766677391</c:v>
                </c:pt>
                <c:pt idx="861">
                  <c:v>1.1114720766677391</c:v>
                </c:pt>
                <c:pt idx="862">
                  <c:v>1.1114720766677391</c:v>
                </c:pt>
                <c:pt idx="863">
                  <c:v>1.1114720766677391</c:v>
                </c:pt>
                <c:pt idx="864">
                  <c:v>1.1114720766677391</c:v>
                </c:pt>
                <c:pt idx="865">
                  <c:v>1.1114720766677391</c:v>
                </c:pt>
                <c:pt idx="866">
                  <c:v>1.1114720766677391</c:v>
                </c:pt>
                <c:pt idx="867">
                  <c:v>1.1114720766677391</c:v>
                </c:pt>
                <c:pt idx="868">
                  <c:v>1.1114720766677391</c:v>
                </c:pt>
                <c:pt idx="869">
                  <c:v>1.1114720766677391</c:v>
                </c:pt>
                <c:pt idx="870">
                  <c:v>1.1114720766677391</c:v>
                </c:pt>
                <c:pt idx="871">
                  <c:v>1.1114720766677391</c:v>
                </c:pt>
                <c:pt idx="872">
                  <c:v>1.1114720766677391</c:v>
                </c:pt>
                <c:pt idx="873">
                  <c:v>1.1114720766677391</c:v>
                </c:pt>
                <c:pt idx="874">
                  <c:v>1.1114720766677391</c:v>
                </c:pt>
                <c:pt idx="875">
                  <c:v>1.1114720766677391</c:v>
                </c:pt>
                <c:pt idx="876">
                  <c:v>1.1114720766677391</c:v>
                </c:pt>
                <c:pt idx="877">
                  <c:v>1.1114720766677391</c:v>
                </c:pt>
                <c:pt idx="878">
                  <c:v>1.1114720766677391</c:v>
                </c:pt>
                <c:pt idx="879">
                  <c:v>1.1114720766677391</c:v>
                </c:pt>
                <c:pt idx="880">
                  <c:v>1.1114720766677391</c:v>
                </c:pt>
                <c:pt idx="881">
                  <c:v>1.1114720766677391</c:v>
                </c:pt>
                <c:pt idx="882">
                  <c:v>1.1114720766677391</c:v>
                </c:pt>
                <c:pt idx="883">
                  <c:v>1.1114720766677391</c:v>
                </c:pt>
                <c:pt idx="884">
                  <c:v>1.1114720766677391</c:v>
                </c:pt>
                <c:pt idx="885">
                  <c:v>1.1114720766677391</c:v>
                </c:pt>
                <c:pt idx="886">
                  <c:v>1.1114720766677391</c:v>
                </c:pt>
                <c:pt idx="887">
                  <c:v>1.1114720766677391</c:v>
                </c:pt>
                <c:pt idx="888">
                  <c:v>1.1114720766677391</c:v>
                </c:pt>
                <c:pt idx="889">
                  <c:v>1.1099035474868904</c:v>
                </c:pt>
                <c:pt idx="890">
                  <c:v>1.1064195254735465</c:v>
                </c:pt>
                <c:pt idx="891">
                  <c:v>1.098391167561068</c:v>
                </c:pt>
                <c:pt idx="892">
                  <c:v>1.0703410763099532</c:v>
                </c:pt>
                <c:pt idx="893">
                  <c:v>1.0596085741621015</c:v>
                </c:pt>
                <c:pt idx="894">
                  <c:v>1.0573385011927254</c:v>
                </c:pt>
                <c:pt idx="895">
                  <c:v>1.0549106753860633</c:v>
                </c:pt>
                <c:pt idx="896">
                  <c:v>1.0486932215429023</c:v>
                </c:pt>
                <c:pt idx="897">
                  <c:v>1.0443276355005724</c:v>
                </c:pt>
                <c:pt idx="898">
                  <c:v>1.0426381400782423</c:v>
                </c:pt>
                <c:pt idx="899">
                  <c:v>1.0282082086913409</c:v>
                </c:pt>
                <c:pt idx="900">
                  <c:v>1.0030819548192975</c:v>
                </c:pt>
                <c:pt idx="901">
                  <c:v>0.99425682234893686</c:v>
                </c:pt>
                <c:pt idx="902">
                  <c:v>0.94885919328456214</c:v>
                </c:pt>
                <c:pt idx="903">
                  <c:v>0.92728604393555503</c:v>
                </c:pt>
                <c:pt idx="904">
                  <c:v>0.91586560593462973</c:v>
                </c:pt>
                <c:pt idx="905">
                  <c:v>0.91064460842898787</c:v>
                </c:pt>
                <c:pt idx="906">
                  <c:v>0.88431467815124232</c:v>
                </c:pt>
                <c:pt idx="907">
                  <c:v>0.88015345137450018</c:v>
                </c:pt>
                <c:pt idx="908">
                  <c:v>0.86140044432082763</c:v>
                </c:pt>
                <c:pt idx="909">
                  <c:v>0.84618541534153002</c:v>
                </c:pt>
                <c:pt idx="910">
                  <c:v>0.82990987032536223</c:v>
                </c:pt>
                <c:pt idx="911">
                  <c:v>0.82025363652138061</c:v>
                </c:pt>
                <c:pt idx="912">
                  <c:v>0.81450853175795868</c:v>
                </c:pt>
                <c:pt idx="913">
                  <c:v>0.80362007886050457</c:v>
                </c:pt>
                <c:pt idx="914">
                  <c:v>0.80362007886050457</c:v>
                </c:pt>
                <c:pt idx="915">
                  <c:v>0.80055640347433887</c:v>
                </c:pt>
                <c:pt idx="916">
                  <c:v>0.80055640347433887</c:v>
                </c:pt>
                <c:pt idx="917">
                  <c:v>0.80055640347433887</c:v>
                </c:pt>
                <c:pt idx="918">
                  <c:v>0.80055640347433887</c:v>
                </c:pt>
                <c:pt idx="919">
                  <c:v>0.7997979007487851</c:v>
                </c:pt>
                <c:pt idx="920">
                  <c:v>0.78595753866680462</c:v>
                </c:pt>
                <c:pt idx="921">
                  <c:v>0.77771382984022441</c:v>
                </c:pt>
                <c:pt idx="922">
                  <c:v>0.75132268502454591</c:v>
                </c:pt>
                <c:pt idx="923">
                  <c:v>0.73584926254089345</c:v>
                </c:pt>
                <c:pt idx="924">
                  <c:v>0.71853679154363714</c:v>
                </c:pt>
                <c:pt idx="925">
                  <c:v>0.71614989632653747</c:v>
                </c:pt>
                <c:pt idx="926">
                  <c:v>0.71155050095286043</c:v>
                </c:pt>
                <c:pt idx="927">
                  <c:v>0.66493722598825011</c:v>
                </c:pt>
                <c:pt idx="928">
                  <c:v>0.65287310240728125</c:v>
                </c:pt>
                <c:pt idx="929">
                  <c:v>0.64522486453270633</c:v>
                </c:pt>
                <c:pt idx="930">
                  <c:v>0.6311332373085774</c:v>
                </c:pt>
                <c:pt idx="931">
                  <c:v>0.629538757449843</c:v>
                </c:pt>
                <c:pt idx="932">
                  <c:v>0.62487580623125139</c:v>
                </c:pt>
                <c:pt idx="933">
                  <c:v>0.61196417858380248</c:v>
                </c:pt>
                <c:pt idx="934">
                  <c:v>0.59641901939873043</c:v>
                </c:pt>
                <c:pt idx="935">
                  <c:v>0.58912171179207984</c:v>
                </c:pt>
                <c:pt idx="936">
                  <c:v>0.5772685260304613</c:v>
                </c:pt>
                <c:pt idx="937">
                  <c:v>0.57527649403183256</c:v>
                </c:pt>
                <c:pt idx="938">
                  <c:v>0.56761246877352667</c:v>
                </c:pt>
                <c:pt idx="939">
                  <c:v>0.5630600098731019</c:v>
                </c:pt>
                <c:pt idx="940">
                  <c:v>0.55821429678588497</c:v>
                </c:pt>
                <c:pt idx="941">
                  <c:v>0.54902185984767893</c:v>
                </c:pt>
                <c:pt idx="942">
                  <c:v>0.53984579072633154</c:v>
                </c:pt>
                <c:pt idx="943">
                  <c:v>0.51233173774527152</c:v>
                </c:pt>
                <c:pt idx="944">
                  <c:v>0.49161804746055687</c:v>
                </c:pt>
                <c:pt idx="945">
                  <c:v>0.48069138574635295</c:v>
                </c:pt>
                <c:pt idx="946">
                  <c:v>0.48043772281999009</c:v>
                </c:pt>
                <c:pt idx="947">
                  <c:v>0.47987212810696811</c:v>
                </c:pt>
                <c:pt idx="948">
                  <c:v>0.47205821825379257</c:v>
                </c:pt>
                <c:pt idx="949">
                  <c:v>0.47205821825379257</c:v>
                </c:pt>
                <c:pt idx="950">
                  <c:v>0.47049762384791127</c:v>
                </c:pt>
                <c:pt idx="951">
                  <c:v>0.47049762384791127</c:v>
                </c:pt>
                <c:pt idx="952">
                  <c:v>0.47049762384791127</c:v>
                </c:pt>
                <c:pt idx="953">
                  <c:v>0.47049762384791127</c:v>
                </c:pt>
                <c:pt idx="954">
                  <c:v>0.47049762384791127</c:v>
                </c:pt>
                <c:pt idx="955">
                  <c:v>0.46929449963766179</c:v>
                </c:pt>
                <c:pt idx="956">
                  <c:v>0.46861774175716392</c:v>
                </c:pt>
                <c:pt idx="957">
                  <c:v>0.45909055639060625</c:v>
                </c:pt>
                <c:pt idx="958">
                  <c:v>0.45793221171402115</c:v>
                </c:pt>
                <c:pt idx="959">
                  <c:v>0.45748987951898429</c:v>
                </c:pt>
                <c:pt idx="960">
                  <c:v>0.45748987951898429</c:v>
                </c:pt>
                <c:pt idx="961">
                  <c:v>0.45748987951898429</c:v>
                </c:pt>
                <c:pt idx="962">
                  <c:v>0.45748987951898429</c:v>
                </c:pt>
                <c:pt idx="963">
                  <c:v>0.44817142391501924</c:v>
                </c:pt>
                <c:pt idx="964">
                  <c:v>0.4442013038459029</c:v>
                </c:pt>
                <c:pt idx="965">
                  <c:v>0.4442013038459029</c:v>
                </c:pt>
                <c:pt idx="966">
                  <c:v>0.4442013038459029</c:v>
                </c:pt>
                <c:pt idx="967">
                  <c:v>0.4442013038459029</c:v>
                </c:pt>
                <c:pt idx="968">
                  <c:v>0.4442013038459029</c:v>
                </c:pt>
                <c:pt idx="969">
                  <c:v>0.4442013038459029</c:v>
                </c:pt>
                <c:pt idx="970">
                  <c:v>0.4442013038459029</c:v>
                </c:pt>
                <c:pt idx="971">
                  <c:v>0.44346249743704008</c:v>
                </c:pt>
                <c:pt idx="972">
                  <c:v>0.44290630024134636</c:v>
                </c:pt>
                <c:pt idx="973">
                  <c:v>0.44290630024134636</c:v>
                </c:pt>
                <c:pt idx="974">
                  <c:v>0.44290630024134636</c:v>
                </c:pt>
                <c:pt idx="975">
                  <c:v>0.44242161067516023</c:v>
                </c:pt>
                <c:pt idx="976">
                  <c:v>0.44242161067516023</c:v>
                </c:pt>
                <c:pt idx="977">
                  <c:v>0.44242161067516023</c:v>
                </c:pt>
                <c:pt idx="978">
                  <c:v>0.44242161067516023</c:v>
                </c:pt>
                <c:pt idx="979">
                  <c:v>0.44242161067516023</c:v>
                </c:pt>
                <c:pt idx="980">
                  <c:v>0.44242161067516023</c:v>
                </c:pt>
                <c:pt idx="981">
                  <c:v>0.44242161067516023</c:v>
                </c:pt>
                <c:pt idx="982">
                  <c:v>0.44242161067516023</c:v>
                </c:pt>
                <c:pt idx="983">
                  <c:v>0.44167647250016245</c:v>
                </c:pt>
                <c:pt idx="984">
                  <c:v>0.44057247576754016</c:v>
                </c:pt>
                <c:pt idx="985">
                  <c:v>0.44057247576754016</c:v>
                </c:pt>
                <c:pt idx="986">
                  <c:v>0.44057247576754016</c:v>
                </c:pt>
                <c:pt idx="987">
                  <c:v>0.43980707134919794</c:v>
                </c:pt>
                <c:pt idx="988">
                  <c:v>0.43773632910485594</c:v>
                </c:pt>
                <c:pt idx="989">
                  <c:v>0.43694824349798633</c:v>
                </c:pt>
                <c:pt idx="990">
                  <c:v>0.43421663081351475</c:v>
                </c:pt>
                <c:pt idx="991">
                  <c:v>0.43179839183550517</c:v>
                </c:pt>
                <c:pt idx="992">
                  <c:v>0.43022019296659525</c:v>
                </c:pt>
                <c:pt idx="993">
                  <c:v>0.42624047556299605</c:v>
                </c:pt>
                <c:pt idx="994">
                  <c:v>0.42624047556299605</c:v>
                </c:pt>
                <c:pt idx="995">
                  <c:v>0.4236024607719765</c:v>
                </c:pt>
                <c:pt idx="996">
                  <c:v>0.42168062524714095</c:v>
                </c:pt>
                <c:pt idx="997">
                  <c:v>0.41978452739345035</c:v>
                </c:pt>
                <c:pt idx="998">
                  <c:v>0.41978452739345035</c:v>
                </c:pt>
                <c:pt idx="999">
                  <c:v>0.40618003156041349</c:v>
                </c:pt>
                <c:pt idx="1000">
                  <c:v>0.40430461647801591</c:v>
                </c:pt>
                <c:pt idx="1001">
                  <c:v>0.40430461647801591</c:v>
                </c:pt>
                <c:pt idx="1002">
                  <c:v>0.40387422464398176</c:v>
                </c:pt>
                <c:pt idx="1003">
                  <c:v>0.40313228854920463</c:v>
                </c:pt>
                <c:pt idx="1004">
                  <c:v>0.39840495353096506</c:v>
                </c:pt>
                <c:pt idx="1005">
                  <c:v>0.39793704400181446</c:v>
                </c:pt>
                <c:pt idx="1006">
                  <c:v>0.39793704400181446</c:v>
                </c:pt>
                <c:pt idx="1007">
                  <c:v>0.39793704400181446</c:v>
                </c:pt>
                <c:pt idx="1008">
                  <c:v>0.39793704400181446</c:v>
                </c:pt>
                <c:pt idx="1009">
                  <c:v>0.39793704400181446</c:v>
                </c:pt>
                <c:pt idx="1010">
                  <c:v>0.39793704400181446</c:v>
                </c:pt>
                <c:pt idx="1011">
                  <c:v>0.39793704400181446</c:v>
                </c:pt>
                <c:pt idx="1012">
                  <c:v>0.39793704400181446</c:v>
                </c:pt>
                <c:pt idx="1013">
                  <c:v>0.39432216926753305</c:v>
                </c:pt>
                <c:pt idx="1014">
                  <c:v>0.39234568265341502</c:v>
                </c:pt>
                <c:pt idx="1015">
                  <c:v>0.38955550634420588</c:v>
                </c:pt>
                <c:pt idx="1016">
                  <c:v>0.38754092696154285</c:v>
                </c:pt>
                <c:pt idx="1017">
                  <c:v>0.38754092696154285</c:v>
                </c:pt>
                <c:pt idx="1018">
                  <c:v>0.38701158550113768</c:v>
                </c:pt>
                <c:pt idx="1019">
                  <c:v>0.3831169185926413</c:v>
                </c:pt>
                <c:pt idx="1020">
                  <c:v>0.38014202018315596</c:v>
                </c:pt>
                <c:pt idx="1021">
                  <c:v>0.37879729574066828</c:v>
                </c:pt>
                <c:pt idx="1022">
                  <c:v>0.37728490845386692</c:v>
                </c:pt>
                <c:pt idx="1023">
                  <c:v>0.37728490845386692</c:v>
                </c:pt>
                <c:pt idx="1024">
                  <c:v>0.37728490845386692</c:v>
                </c:pt>
                <c:pt idx="1025">
                  <c:v>0.37728490845386692</c:v>
                </c:pt>
                <c:pt idx="1026">
                  <c:v>0.3771326956158238</c:v>
                </c:pt>
                <c:pt idx="1027">
                  <c:v>0.37428927160690828</c:v>
                </c:pt>
                <c:pt idx="1028">
                  <c:v>0.37239894753545122</c:v>
                </c:pt>
                <c:pt idx="1029">
                  <c:v>0.37163495453580636</c:v>
                </c:pt>
                <c:pt idx="1030">
                  <c:v>0.37163495453580636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AC22-41F4-A914-B9BE69AE6336}"/>
            </c:ext>
          </c:extLst>
        </c:ser>
        <c:ser>
          <c:idx val="2"/>
          <c:order val="2"/>
          <c:tx>
            <c:strRef>
              <c:f>Indice!$AK$5</c:f>
              <c:strCache>
                <c:ptCount val="1"/>
                <c:pt idx="0">
                  <c:v>Q25</c:v>
                </c:pt>
              </c:strCache>
            </c:strRef>
          </c:tx>
          <c:spPr>
            <a:ln w="28575" cap="rnd">
              <a:solidFill>
                <a:srgbClr val="92D050"/>
              </a:solidFill>
              <a:prstDash val="sysDot"/>
              <a:round/>
            </a:ln>
            <a:effectLst/>
          </c:spPr>
          <c:marker>
            <c:symbol val="none"/>
          </c:marker>
          <c:cat>
            <c:numRef>
              <c:f>Indice!$AH$58:$AH$1500</c:f>
              <c:numCache>
                <c:formatCode>m/d/yyyy</c:formatCode>
                <c:ptCount val="1443"/>
                <c:pt idx="0">
                  <c:v>39087</c:v>
                </c:pt>
                <c:pt idx="1">
                  <c:v>39094</c:v>
                </c:pt>
                <c:pt idx="2">
                  <c:v>39101</c:v>
                </c:pt>
                <c:pt idx="3">
                  <c:v>39108</c:v>
                </c:pt>
                <c:pt idx="4">
                  <c:v>39115</c:v>
                </c:pt>
                <c:pt idx="5">
                  <c:v>39122</c:v>
                </c:pt>
                <c:pt idx="6">
                  <c:v>39129</c:v>
                </c:pt>
                <c:pt idx="7">
                  <c:v>39136</c:v>
                </c:pt>
                <c:pt idx="8">
                  <c:v>39143</c:v>
                </c:pt>
                <c:pt idx="9">
                  <c:v>39150</c:v>
                </c:pt>
                <c:pt idx="10">
                  <c:v>39157</c:v>
                </c:pt>
                <c:pt idx="11">
                  <c:v>39164</c:v>
                </c:pt>
                <c:pt idx="12">
                  <c:v>39171</c:v>
                </c:pt>
                <c:pt idx="13">
                  <c:v>39178</c:v>
                </c:pt>
                <c:pt idx="14">
                  <c:v>39185</c:v>
                </c:pt>
                <c:pt idx="15">
                  <c:v>39192</c:v>
                </c:pt>
                <c:pt idx="16">
                  <c:v>39199</c:v>
                </c:pt>
                <c:pt idx="17">
                  <c:v>39206</c:v>
                </c:pt>
                <c:pt idx="18">
                  <c:v>39213</c:v>
                </c:pt>
                <c:pt idx="19">
                  <c:v>39220</c:v>
                </c:pt>
                <c:pt idx="20">
                  <c:v>39227</c:v>
                </c:pt>
                <c:pt idx="21">
                  <c:v>39234</c:v>
                </c:pt>
                <c:pt idx="22">
                  <c:v>39241</c:v>
                </c:pt>
                <c:pt idx="23">
                  <c:v>39248</c:v>
                </c:pt>
                <c:pt idx="24">
                  <c:v>39255</c:v>
                </c:pt>
                <c:pt idx="25">
                  <c:v>39262</c:v>
                </c:pt>
                <c:pt idx="26">
                  <c:v>39269</c:v>
                </c:pt>
                <c:pt idx="27">
                  <c:v>39276</c:v>
                </c:pt>
                <c:pt idx="28">
                  <c:v>39283</c:v>
                </c:pt>
                <c:pt idx="29">
                  <c:v>39290</c:v>
                </c:pt>
                <c:pt idx="30">
                  <c:v>39297</c:v>
                </c:pt>
                <c:pt idx="31">
                  <c:v>39304</c:v>
                </c:pt>
                <c:pt idx="32">
                  <c:v>39311</c:v>
                </c:pt>
                <c:pt idx="33">
                  <c:v>39318</c:v>
                </c:pt>
                <c:pt idx="34">
                  <c:v>39325</c:v>
                </c:pt>
                <c:pt idx="35">
                  <c:v>39332</c:v>
                </c:pt>
                <c:pt idx="36">
                  <c:v>39339</c:v>
                </c:pt>
                <c:pt idx="37">
                  <c:v>39346</c:v>
                </c:pt>
                <c:pt idx="38">
                  <c:v>39353</c:v>
                </c:pt>
                <c:pt idx="39">
                  <c:v>39360</c:v>
                </c:pt>
                <c:pt idx="40">
                  <c:v>39367</c:v>
                </c:pt>
                <c:pt idx="41">
                  <c:v>39374</c:v>
                </c:pt>
                <c:pt idx="42">
                  <c:v>39381</c:v>
                </c:pt>
                <c:pt idx="43">
                  <c:v>39388</c:v>
                </c:pt>
                <c:pt idx="44">
                  <c:v>39395</c:v>
                </c:pt>
                <c:pt idx="45">
                  <c:v>39402</c:v>
                </c:pt>
                <c:pt idx="46">
                  <c:v>39409</c:v>
                </c:pt>
                <c:pt idx="47">
                  <c:v>39416</c:v>
                </c:pt>
                <c:pt idx="48">
                  <c:v>39423</c:v>
                </c:pt>
                <c:pt idx="49">
                  <c:v>39430</c:v>
                </c:pt>
                <c:pt idx="50">
                  <c:v>39437</c:v>
                </c:pt>
                <c:pt idx="51">
                  <c:v>39444</c:v>
                </c:pt>
                <c:pt idx="52">
                  <c:v>39451</c:v>
                </c:pt>
                <c:pt idx="53">
                  <c:v>39458</c:v>
                </c:pt>
                <c:pt idx="54">
                  <c:v>39465</c:v>
                </c:pt>
                <c:pt idx="55">
                  <c:v>39472</c:v>
                </c:pt>
                <c:pt idx="56">
                  <c:v>39479</c:v>
                </c:pt>
                <c:pt idx="57">
                  <c:v>39486</c:v>
                </c:pt>
                <c:pt idx="58">
                  <c:v>39493</c:v>
                </c:pt>
                <c:pt idx="59">
                  <c:v>39500</c:v>
                </c:pt>
                <c:pt idx="60">
                  <c:v>39507</c:v>
                </c:pt>
                <c:pt idx="61">
                  <c:v>39514</c:v>
                </c:pt>
                <c:pt idx="62">
                  <c:v>39521</c:v>
                </c:pt>
                <c:pt idx="63">
                  <c:v>39528</c:v>
                </c:pt>
                <c:pt idx="64">
                  <c:v>39535</c:v>
                </c:pt>
                <c:pt idx="65">
                  <c:v>39542</c:v>
                </c:pt>
                <c:pt idx="66">
                  <c:v>39549</c:v>
                </c:pt>
                <c:pt idx="67">
                  <c:v>39556</c:v>
                </c:pt>
                <c:pt idx="68">
                  <c:v>39563</c:v>
                </c:pt>
                <c:pt idx="69">
                  <c:v>39570</c:v>
                </c:pt>
                <c:pt idx="70">
                  <c:v>39577</c:v>
                </c:pt>
                <c:pt idx="71">
                  <c:v>39584</c:v>
                </c:pt>
                <c:pt idx="72">
                  <c:v>39591</c:v>
                </c:pt>
                <c:pt idx="73">
                  <c:v>39598</c:v>
                </c:pt>
                <c:pt idx="74">
                  <c:v>39605</c:v>
                </c:pt>
                <c:pt idx="75">
                  <c:v>39612</c:v>
                </c:pt>
                <c:pt idx="76">
                  <c:v>39619</c:v>
                </c:pt>
                <c:pt idx="77">
                  <c:v>39626</c:v>
                </c:pt>
                <c:pt idx="78">
                  <c:v>39633</c:v>
                </c:pt>
                <c:pt idx="79">
                  <c:v>39640</c:v>
                </c:pt>
                <c:pt idx="80">
                  <c:v>39647</c:v>
                </c:pt>
                <c:pt idx="81">
                  <c:v>39654</c:v>
                </c:pt>
                <c:pt idx="82">
                  <c:v>39661</c:v>
                </c:pt>
                <c:pt idx="83">
                  <c:v>39668</c:v>
                </c:pt>
                <c:pt idx="84">
                  <c:v>39675</c:v>
                </c:pt>
                <c:pt idx="85">
                  <c:v>39682</c:v>
                </c:pt>
                <c:pt idx="86">
                  <c:v>39689</c:v>
                </c:pt>
                <c:pt idx="87">
                  <c:v>39696</c:v>
                </c:pt>
                <c:pt idx="88">
                  <c:v>39703</c:v>
                </c:pt>
                <c:pt idx="89">
                  <c:v>39710</c:v>
                </c:pt>
                <c:pt idx="90">
                  <c:v>39717</c:v>
                </c:pt>
                <c:pt idx="91">
                  <c:v>39724</c:v>
                </c:pt>
                <c:pt idx="92">
                  <c:v>39731</c:v>
                </c:pt>
                <c:pt idx="93">
                  <c:v>39738</c:v>
                </c:pt>
                <c:pt idx="94">
                  <c:v>39745</c:v>
                </c:pt>
                <c:pt idx="95">
                  <c:v>39752</c:v>
                </c:pt>
                <c:pt idx="96">
                  <c:v>39759</c:v>
                </c:pt>
                <c:pt idx="97">
                  <c:v>39766</c:v>
                </c:pt>
                <c:pt idx="98">
                  <c:v>39773</c:v>
                </c:pt>
                <c:pt idx="99">
                  <c:v>39780</c:v>
                </c:pt>
                <c:pt idx="100">
                  <c:v>39787</c:v>
                </c:pt>
                <c:pt idx="101">
                  <c:v>39794</c:v>
                </c:pt>
                <c:pt idx="102">
                  <c:v>39801</c:v>
                </c:pt>
                <c:pt idx="103">
                  <c:v>39808</c:v>
                </c:pt>
                <c:pt idx="104">
                  <c:v>39815</c:v>
                </c:pt>
                <c:pt idx="105">
                  <c:v>39822</c:v>
                </c:pt>
                <c:pt idx="106">
                  <c:v>39829</c:v>
                </c:pt>
                <c:pt idx="107">
                  <c:v>39836</c:v>
                </c:pt>
                <c:pt idx="108">
                  <c:v>39843</c:v>
                </c:pt>
                <c:pt idx="109">
                  <c:v>39850</c:v>
                </c:pt>
                <c:pt idx="110">
                  <c:v>39857</c:v>
                </c:pt>
                <c:pt idx="111">
                  <c:v>39864</c:v>
                </c:pt>
                <c:pt idx="112">
                  <c:v>39871</c:v>
                </c:pt>
                <c:pt idx="113">
                  <c:v>39878</c:v>
                </c:pt>
                <c:pt idx="114">
                  <c:v>39885</c:v>
                </c:pt>
                <c:pt idx="115">
                  <c:v>39892</c:v>
                </c:pt>
                <c:pt idx="116">
                  <c:v>39899</c:v>
                </c:pt>
                <c:pt idx="117">
                  <c:v>39906</c:v>
                </c:pt>
                <c:pt idx="118">
                  <c:v>39913</c:v>
                </c:pt>
                <c:pt idx="119">
                  <c:v>39920</c:v>
                </c:pt>
                <c:pt idx="120">
                  <c:v>39927</c:v>
                </c:pt>
                <c:pt idx="121">
                  <c:v>39934</c:v>
                </c:pt>
                <c:pt idx="122">
                  <c:v>39941</c:v>
                </c:pt>
                <c:pt idx="123">
                  <c:v>39948</c:v>
                </c:pt>
                <c:pt idx="124">
                  <c:v>39955</c:v>
                </c:pt>
                <c:pt idx="125">
                  <c:v>39962</c:v>
                </c:pt>
                <c:pt idx="126">
                  <c:v>39969</c:v>
                </c:pt>
                <c:pt idx="127">
                  <c:v>39976</c:v>
                </c:pt>
                <c:pt idx="128">
                  <c:v>39983</c:v>
                </c:pt>
                <c:pt idx="129">
                  <c:v>39990</c:v>
                </c:pt>
                <c:pt idx="130">
                  <c:v>39997</c:v>
                </c:pt>
                <c:pt idx="131">
                  <c:v>40004</c:v>
                </c:pt>
                <c:pt idx="132">
                  <c:v>40011</c:v>
                </c:pt>
                <c:pt idx="133">
                  <c:v>40018</c:v>
                </c:pt>
                <c:pt idx="134">
                  <c:v>40025</c:v>
                </c:pt>
                <c:pt idx="135">
                  <c:v>40032</c:v>
                </c:pt>
                <c:pt idx="136">
                  <c:v>40039</c:v>
                </c:pt>
                <c:pt idx="137">
                  <c:v>40046</c:v>
                </c:pt>
                <c:pt idx="138">
                  <c:v>40053</c:v>
                </c:pt>
                <c:pt idx="139">
                  <c:v>40060</c:v>
                </c:pt>
                <c:pt idx="140">
                  <c:v>40067</c:v>
                </c:pt>
                <c:pt idx="141">
                  <c:v>40074</c:v>
                </c:pt>
                <c:pt idx="142">
                  <c:v>40081</c:v>
                </c:pt>
                <c:pt idx="143">
                  <c:v>40088</c:v>
                </c:pt>
                <c:pt idx="144">
                  <c:v>40095</c:v>
                </c:pt>
                <c:pt idx="145">
                  <c:v>40102</c:v>
                </c:pt>
                <c:pt idx="146">
                  <c:v>40109</c:v>
                </c:pt>
                <c:pt idx="147">
                  <c:v>40116</c:v>
                </c:pt>
                <c:pt idx="148">
                  <c:v>40123</c:v>
                </c:pt>
                <c:pt idx="149">
                  <c:v>40130</c:v>
                </c:pt>
                <c:pt idx="150">
                  <c:v>40137</c:v>
                </c:pt>
                <c:pt idx="151">
                  <c:v>40144</c:v>
                </c:pt>
                <c:pt idx="152">
                  <c:v>40151</c:v>
                </c:pt>
                <c:pt idx="153">
                  <c:v>40158</c:v>
                </c:pt>
                <c:pt idx="154">
                  <c:v>40165</c:v>
                </c:pt>
                <c:pt idx="155">
                  <c:v>40172</c:v>
                </c:pt>
                <c:pt idx="156">
                  <c:v>40179</c:v>
                </c:pt>
                <c:pt idx="157">
                  <c:v>40186</c:v>
                </c:pt>
                <c:pt idx="158">
                  <c:v>40193</c:v>
                </c:pt>
                <c:pt idx="159">
                  <c:v>40200</c:v>
                </c:pt>
                <c:pt idx="160">
                  <c:v>40207</c:v>
                </c:pt>
                <c:pt idx="161">
                  <c:v>40214</c:v>
                </c:pt>
                <c:pt idx="162">
                  <c:v>40221</c:v>
                </c:pt>
                <c:pt idx="163">
                  <c:v>40228</c:v>
                </c:pt>
                <c:pt idx="164">
                  <c:v>40235</c:v>
                </c:pt>
                <c:pt idx="165">
                  <c:v>40242</c:v>
                </c:pt>
                <c:pt idx="166">
                  <c:v>40249</c:v>
                </c:pt>
                <c:pt idx="167">
                  <c:v>40256</c:v>
                </c:pt>
                <c:pt idx="168">
                  <c:v>40263</c:v>
                </c:pt>
                <c:pt idx="169">
                  <c:v>40270</c:v>
                </c:pt>
                <c:pt idx="170">
                  <c:v>40277</c:v>
                </c:pt>
                <c:pt idx="171">
                  <c:v>40284</c:v>
                </c:pt>
                <c:pt idx="172">
                  <c:v>40291</c:v>
                </c:pt>
                <c:pt idx="173">
                  <c:v>40298</c:v>
                </c:pt>
                <c:pt idx="174">
                  <c:v>40305</c:v>
                </c:pt>
                <c:pt idx="175">
                  <c:v>40312</c:v>
                </c:pt>
                <c:pt idx="176">
                  <c:v>40319</c:v>
                </c:pt>
                <c:pt idx="177">
                  <c:v>40326</c:v>
                </c:pt>
                <c:pt idx="178">
                  <c:v>40333</c:v>
                </c:pt>
                <c:pt idx="179">
                  <c:v>40340</c:v>
                </c:pt>
                <c:pt idx="180">
                  <c:v>40347</c:v>
                </c:pt>
                <c:pt idx="181">
                  <c:v>40354</c:v>
                </c:pt>
                <c:pt idx="182">
                  <c:v>40361</c:v>
                </c:pt>
                <c:pt idx="183">
                  <c:v>40368</c:v>
                </c:pt>
                <c:pt idx="184">
                  <c:v>40375</c:v>
                </c:pt>
                <c:pt idx="185">
                  <c:v>40382</c:v>
                </c:pt>
                <c:pt idx="186">
                  <c:v>40389</c:v>
                </c:pt>
                <c:pt idx="187">
                  <c:v>40396</c:v>
                </c:pt>
                <c:pt idx="188">
                  <c:v>40403</c:v>
                </c:pt>
                <c:pt idx="189">
                  <c:v>40410</c:v>
                </c:pt>
                <c:pt idx="190">
                  <c:v>40417</c:v>
                </c:pt>
                <c:pt idx="191">
                  <c:v>40424</c:v>
                </c:pt>
                <c:pt idx="192">
                  <c:v>40431</c:v>
                </c:pt>
                <c:pt idx="193">
                  <c:v>40438</c:v>
                </c:pt>
                <c:pt idx="194">
                  <c:v>40445</c:v>
                </c:pt>
                <c:pt idx="195">
                  <c:v>40452</c:v>
                </c:pt>
                <c:pt idx="196">
                  <c:v>40459</c:v>
                </c:pt>
                <c:pt idx="197">
                  <c:v>40466</c:v>
                </c:pt>
                <c:pt idx="198">
                  <c:v>40473</c:v>
                </c:pt>
                <c:pt idx="199">
                  <c:v>40480</c:v>
                </c:pt>
                <c:pt idx="200">
                  <c:v>40487</c:v>
                </c:pt>
                <c:pt idx="201">
                  <c:v>40494</c:v>
                </c:pt>
                <c:pt idx="202">
                  <c:v>40501</c:v>
                </c:pt>
                <c:pt idx="203">
                  <c:v>40508</c:v>
                </c:pt>
                <c:pt idx="204">
                  <c:v>40515</c:v>
                </c:pt>
                <c:pt idx="205">
                  <c:v>40522</c:v>
                </c:pt>
                <c:pt idx="206">
                  <c:v>40529</c:v>
                </c:pt>
                <c:pt idx="207">
                  <c:v>40536</c:v>
                </c:pt>
                <c:pt idx="208">
                  <c:v>40543</c:v>
                </c:pt>
                <c:pt idx="209">
                  <c:v>40550</c:v>
                </c:pt>
                <c:pt idx="210">
                  <c:v>40557</c:v>
                </c:pt>
                <c:pt idx="211">
                  <c:v>40564</c:v>
                </c:pt>
                <c:pt idx="212">
                  <c:v>40571</c:v>
                </c:pt>
                <c:pt idx="213">
                  <c:v>40578</c:v>
                </c:pt>
                <c:pt idx="214">
                  <c:v>40585</c:v>
                </c:pt>
                <c:pt idx="215">
                  <c:v>40592</c:v>
                </c:pt>
                <c:pt idx="216">
                  <c:v>40599</c:v>
                </c:pt>
                <c:pt idx="217">
                  <c:v>40606</c:v>
                </c:pt>
                <c:pt idx="218">
                  <c:v>40613</c:v>
                </c:pt>
                <c:pt idx="219">
                  <c:v>40620</c:v>
                </c:pt>
                <c:pt idx="220">
                  <c:v>40627</c:v>
                </c:pt>
                <c:pt idx="221">
                  <c:v>40634</c:v>
                </c:pt>
                <c:pt idx="222">
                  <c:v>40641</c:v>
                </c:pt>
                <c:pt idx="223">
                  <c:v>40648</c:v>
                </c:pt>
                <c:pt idx="224">
                  <c:v>40655</c:v>
                </c:pt>
                <c:pt idx="225">
                  <c:v>40662</c:v>
                </c:pt>
                <c:pt idx="226">
                  <c:v>40669</c:v>
                </c:pt>
                <c:pt idx="227">
                  <c:v>40676</c:v>
                </c:pt>
                <c:pt idx="228">
                  <c:v>40683</c:v>
                </c:pt>
                <c:pt idx="229">
                  <c:v>40690</c:v>
                </c:pt>
                <c:pt idx="230">
                  <c:v>40697</c:v>
                </c:pt>
                <c:pt idx="231">
                  <c:v>40704</c:v>
                </c:pt>
                <c:pt idx="232">
                  <c:v>40711</c:v>
                </c:pt>
                <c:pt idx="233">
                  <c:v>40718</c:v>
                </c:pt>
                <c:pt idx="234">
                  <c:v>40725</c:v>
                </c:pt>
                <c:pt idx="235">
                  <c:v>40732</c:v>
                </c:pt>
                <c:pt idx="236">
                  <c:v>40739</c:v>
                </c:pt>
                <c:pt idx="237">
                  <c:v>40746</c:v>
                </c:pt>
                <c:pt idx="238">
                  <c:v>40753</c:v>
                </c:pt>
                <c:pt idx="239">
                  <c:v>40760</c:v>
                </c:pt>
                <c:pt idx="240">
                  <c:v>40767</c:v>
                </c:pt>
                <c:pt idx="241">
                  <c:v>40774</c:v>
                </c:pt>
                <c:pt idx="242">
                  <c:v>40781</c:v>
                </c:pt>
                <c:pt idx="243">
                  <c:v>40788</c:v>
                </c:pt>
                <c:pt idx="244">
                  <c:v>40795</c:v>
                </c:pt>
                <c:pt idx="245">
                  <c:v>40802</c:v>
                </c:pt>
                <c:pt idx="246">
                  <c:v>40809</c:v>
                </c:pt>
                <c:pt idx="247">
                  <c:v>40816</c:v>
                </c:pt>
                <c:pt idx="248">
                  <c:v>40823</c:v>
                </c:pt>
                <c:pt idx="249">
                  <c:v>40830</c:v>
                </c:pt>
                <c:pt idx="250">
                  <c:v>40837</c:v>
                </c:pt>
                <c:pt idx="251">
                  <c:v>40844</c:v>
                </c:pt>
                <c:pt idx="252">
                  <c:v>40851</c:v>
                </c:pt>
                <c:pt idx="253">
                  <c:v>40858</c:v>
                </c:pt>
                <c:pt idx="254">
                  <c:v>40865</c:v>
                </c:pt>
                <c:pt idx="255">
                  <c:v>40872</c:v>
                </c:pt>
                <c:pt idx="256">
                  <c:v>40879</c:v>
                </c:pt>
                <c:pt idx="257">
                  <c:v>40886</c:v>
                </c:pt>
                <c:pt idx="258">
                  <c:v>40893</c:v>
                </c:pt>
                <c:pt idx="259">
                  <c:v>40900</c:v>
                </c:pt>
                <c:pt idx="260">
                  <c:v>40907</c:v>
                </c:pt>
                <c:pt idx="261">
                  <c:v>40914</c:v>
                </c:pt>
                <c:pt idx="262">
                  <c:v>40921</c:v>
                </c:pt>
                <c:pt idx="263">
                  <c:v>40928</c:v>
                </c:pt>
                <c:pt idx="264">
                  <c:v>40935</c:v>
                </c:pt>
                <c:pt idx="265">
                  <c:v>40942</c:v>
                </c:pt>
                <c:pt idx="266">
                  <c:v>40949</c:v>
                </c:pt>
                <c:pt idx="267">
                  <c:v>40956</c:v>
                </c:pt>
                <c:pt idx="268">
                  <c:v>40963</c:v>
                </c:pt>
                <c:pt idx="269">
                  <c:v>40970</c:v>
                </c:pt>
                <c:pt idx="270">
                  <c:v>40977</c:v>
                </c:pt>
                <c:pt idx="271">
                  <c:v>40984</c:v>
                </c:pt>
                <c:pt idx="272">
                  <c:v>40991</c:v>
                </c:pt>
                <c:pt idx="273">
                  <c:v>40998</c:v>
                </c:pt>
                <c:pt idx="274">
                  <c:v>41005</c:v>
                </c:pt>
                <c:pt idx="275">
                  <c:v>41012</c:v>
                </c:pt>
                <c:pt idx="276">
                  <c:v>41019</c:v>
                </c:pt>
                <c:pt idx="277">
                  <c:v>41026</c:v>
                </c:pt>
                <c:pt idx="278">
                  <c:v>41033</c:v>
                </c:pt>
                <c:pt idx="279">
                  <c:v>41040</c:v>
                </c:pt>
                <c:pt idx="280">
                  <c:v>41047</c:v>
                </c:pt>
                <c:pt idx="281">
                  <c:v>41054</c:v>
                </c:pt>
                <c:pt idx="282">
                  <c:v>41061</c:v>
                </c:pt>
                <c:pt idx="283">
                  <c:v>41068</c:v>
                </c:pt>
                <c:pt idx="284">
                  <c:v>41075</c:v>
                </c:pt>
                <c:pt idx="285">
                  <c:v>41082</c:v>
                </c:pt>
                <c:pt idx="286">
                  <c:v>41089</c:v>
                </c:pt>
                <c:pt idx="287">
                  <c:v>41096</c:v>
                </c:pt>
                <c:pt idx="288">
                  <c:v>41103</c:v>
                </c:pt>
                <c:pt idx="289">
                  <c:v>41110</c:v>
                </c:pt>
                <c:pt idx="290">
                  <c:v>41117</c:v>
                </c:pt>
                <c:pt idx="291">
                  <c:v>41124</c:v>
                </c:pt>
                <c:pt idx="292">
                  <c:v>41131</c:v>
                </c:pt>
                <c:pt idx="293">
                  <c:v>41138</c:v>
                </c:pt>
                <c:pt idx="294">
                  <c:v>41145</c:v>
                </c:pt>
                <c:pt idx="295">
                  <c:v>41152</c:v>
                </c:pt>
                <c:pt idx="296">
                  <c:v>41159</c:v>
                </c:pt>
                <c:pt idx="297">
                  <c:v>41166</c:v>
                </c:pt>
                <c:pt idx="298">
                  <c:v>41173</c:v>
                </c:pt>
                <c:pt idx="299">
                  <c:v>41180</c:v>
                </c:pt>
                <c:pt idx="300">
                  <c:v>41187</c:v>
                </c:pt>
                <c:pt idx="301">
                  <c:v>41194</c:v>
                </c:pt>
                <c:pt idx="302">
                  <c:v>41201</c:v>
                </c:pt>
                <c:pt idx="303">
                  <c:v>41208</c:v>
                </c:pt>
                <c:pt idx="304">
                  <c:v>41215</c:v>
                </c:pt>
                <c:pt idx="305">
                  <c:v>41222</c:v>
                </c:pt>
                <c:pt idx="306">
                  <c:v>41229</c:v>
                </c:pt>
                <c:pt idx="307">
                  <c:v>41236</c:v>
                </c:pt>
                <c:pt idx="308">
                  <c:v>41243</c:v>
                </c:pt>
                <c:pt idx="309">
                  <c:v>41250</c:v>
                </c:pt>
                <c:pt idx="310">
                  <c:v>41257</c:v>
                </c:pt>
                <c:pt idx="311">
                  <c:v>41264</c:v>
                </c:pt>
                <c:pt idx="312">
                  <c:v>41271</c:v>
                </c:pt>
                <c:pt idx="313">
                  <c:v>41278</c:v>
                </c:pt>
                <c:pt idx="314">
                  <c:v>41285</c:v>
                </c:pt>
                <c:pt idx="315">
                  <c:v>41292</c:v>
                </c:pt>
                <c:pt idx="316">
                  <c:v>41299</c:v>
                </c:pt>
                <c:pt idx="317">
                  <c:v>41306</c:v>
                </c:pt>
                <c:pt idx="318">
                  <c:v>41313</c:v>
                </c:pt>
                <c:pt idx="319">
                  <c:v>41320</c:v>
                </c:pt>
                <c:pt idx="320">
                  <c:v>41327</c:v>
                </c:pt>
                <c:pt idx="321">
                  <c:v>41334</c:v>
                </c:pt>
                <c:pt idx="322">
                  <c:v>41341</c:v>
                </c:pt>
                <c:pt idx="323">
                  <c:v>41348</c:v>
                </c:pt>
                <c:pt idx="324">
                  <c:v>41355</c:v>
                </c:pt>
                <c:pt idx="325">
                  <c:v>41362</c:v>
                </c:pt>
                <c:pt idx="326">
                  <c:v>41369</c:v>
                </c:pt>
                <c:pt idx="327">
                  <c:v>41376</c:v>
                </c:pt>
                <c:pt idx="328">
                  <c:v>41383</c:v>
                </c:pt>
                <c:pt idx="329">
                  <c:v>41390</c:v>
                </c:pt>
                <c:pt idx="330">
                  <c:v>41397</c:v>
                </c:pt>
                <c:pt idx="331">
                  <c:v>41404</c:v>
                </c:pt>
                <c:pt idx="332">
                  <c:v>41411</c:v>
                </c:pt>
                <c:pt idx="333">
                  <c:v>41418</c:v>
                </c:pt>
                <c:pt idx="334">
                  <c:v>41425</c:v>
                </c:pt>
                <c:pt idx="335">
                  <c:v>41432</c:v>
                </c:pt>
                <c:pt idx="336">
                  <c:v>41439</c:v>
                </c:pt>
                <c:pt idx="337">
                  <c:v>41446</c:v>
                </c:pt>
                <c:pt idx="338">
                  <c:v>41453</c:v>
                </c:pt>
                <c:pt idx="339">
                  <c:v>41460</c:v>
                </c:pt>
                <c:pt idx="340">
                  <c:v>41467</c:v>
                </c:pt>
                <c:pt idx="341">
                  <c:v>41474</c:v>
                </c:pt>
                <c:pt idx="342">
                  <c:v>41481</c:v>
                </c:pt>
                <c:pt idx="343">
                  <c:v>41488</c:v>
                </c:pt>
                <c:pt idx="344">
                  <c:v>41495</c:v>
                </c:pt>
                <c:pt idx="345">
                  <c:v>41502</c:v>
                </c:pt>
                <c:pt idx="346">
                  <c:v>41509</c:v>
                </c:pt>
                <c:pt idx="347">
                  <c:v>41516</c:v>
                </c:pt>
                <c:pt idx="348">
                  <c:v>41523</c:v>
                </c:pt>
                <c:pt idx="349">
                  <c:v>41530</c:v>
                </c:pt>
                <c:pt idx="350">
                  <c:v>41537</c:v>
                </c:pt>
                <c:pt idx="351">
                  <c:v>41544</c:v>
                </c:pt>
                <c:pt idx="352">
                  <c:v>41551</c:v>
                </c:pt>
                <c:pt idx="353">
                  <c:v>41558</c:v>
                </c:pt>
                <c:pt idx="354">
                  <c:v>41565</c:v>
                </c:pt>
                <c:pt idx="355">
                  <c:v>41572</c:v>
                </c:pt>
                <c:pt idx="356">
                  <c:v>41579</c:v>
                </c:pt>
                <c:pt idx="357">
                  <c:v>41586</c:v>
                </c:pt>
                <c:pt idx="358">
                  <c:v>41593</c:v>
                </c:pt>
                <c:pt idx="359">
                  <c:v>41600</c:v>
                </c:pt>
                <c:pt idx="360">
                  <c:v>41607</c:v>
                </c:pt>
                <c:pt idx="361">
                  <c:v>41614</c:v>
                </c:pt>
                <c:pt idx="362">
                  <c:v>41621</c:v>
                </c:pt>
                <c:pt idx="363">
                  <c:v>41628</c:v>
                </c:pt>
                <c:pt idx="364">
                  <c:v>41635</c:v>
                </c:pt>
                <c:pt idx="365">
                  <c:v>41642</c:v>
                </c:pt>
                <c:pt idx="366">
                  <c:v>41649</c:v>
                </c:pt>
                <c:pt idx="367">
                  <c:v>41656</c:v>
                </c:pt>
                <c:pt idx="368">
                  <c:v>41663</c:v>
                </c:pt>
                <c:pt idx="369">
                  <c:v>41670</c:v>
                </c:pt>
                <c:pt idx="370">
                  <c:v>41677</c:v>
                </c:pt>
                <c:pt idx="371">
                  <c:v>41684</c:v>
                </c:pt>
                <c:pt idx="372">
                  <c:v>41691</c:v>
                </c:pt>
                <c:pt idx="373">
                  <c:v>41698</c:v>
                </c:pt>
                <c:pt idx="374">
                  <c:v>41705</c:v>
                </c:pt>
                <c:pt idx="375">
                  <c:v>41712</c:v>
                </c:pt>
                <c:pt idx="376">
                  <c:v>41719</c:v>
                </c:pt>
                <c:pt idx="377">
                  <c:v>41726</c:v>
                </c:pt>
                <c:pt idx="378">
                  <c:v>41733</c:v>
                </c:pt>
                <c:pt idx="379">
                  <c:v>41740</c:v>
                </c:pt>
                <c:pt idx="380">
                  <c:v>41747</c:v>
                </c:pt>
                <c:pt idx="381">
                  <c:v>41754</c:v>
                </c:pt>
                <c:pt idx="382">
                  <c:v>41761</c:v>
                </c:pt>
                <c:pt idx="383">
                  <c:v>41768</c:v>
                </c:pt>
                <c:pt idx="384">
                  <c:v>41775</c:v>
                </c:pt>
                <c:pt idx="385">
                  <c:v>41782</c:v>
                </c:pt>
                <c:pt idx="386">
                  <c:v>41789</c:v>
                </c:pt>
                <c:pt idx="387">
                  <c:v>41796</c:v>
                </c:pt>
                <c:pt idx="388">
                  <c:v>41803</c:v>
                </c:pt>
                <c:pt idx="389">
                  <c:v>41810</c:v>
                </c:pt>
                <c:pt idx="390">
                  <c:v>41817</c:v>
                </c:pt>
                <c:pt idx="391">
                  <c:v>41824</c:v>
                </c:pt>
                <c:pt idx="392">
                  <c:v>41831</c:v>
                </c:pt>
                <c:pt idx="393">
                  <c:v>41838</c:v>
                </c:pt>
                <c:pt idx="394">
                  <c:v>41845</c:v>
                </c:pt>
                <c:pt idx="395">
                  <c:v>41852</c:v>
                </c:pt>
                <c:pt idx="396">
                  <c:v>41859</c:v>
                </c:pt>
                <c:pt idx="397">
                  <c:v>41866</c:v>
                </c:pt>
                <c:pt idx="398">
                  <c:v>41873</c:v>
                </c:pt>
                <c:pt idx="399">
                  <c:v>41880</c:v>
                </c:pt>
                <c:pt idx="400">
                  <c:v>41887</c:v>
                </c:pt>
                <c:pt idx="401">
                  <c:v>41894</c:v>
                </c:pt>
                <c:pt idx="402">
                  <c:v>41901</c:v>
                </c:pt>
                <c:pt idx="403">
                  <c:v>41908</c:v>
                </c:pt>
                <c:pt idx="404">
                  <c:v>41915</c:v>
                </c:pt>
                <c:pt idx="405">
                  <c:v>41922</c:v>
                </c:pt>
                <c:pt idx="406">
                  <c:v>41929</c:v>
                </c:pt>
                <c:pt idx="407">
                  <c:v>41936</c:v>
                </c:pt>
                <c:pt idx="408">
                  <c:v>41943</c:v>
                </c:pt>
                <c:pt idx="409">
                  <c:v>41950</c:v>
                </c:pt>
                <c:pt idx="410">
                  <c:v>41957</c:v>
                </c:pt>
                <c:pt idx="411">
                  <c:v>41964</c:v>
                </c:pt>
                <c:pt idx="412">
                  <c:v>41971</c:v>
                </c:pt>
                <c:pt idx="413">
                  <c:v>41978</c:v>
                </c:pt>
                <c:pt idx="414">
                  <c:v>41985</c:v>
                </c:pt>
                <c:pt idx="415">
                  <c:v>41992</c:v>
                </c:pt>
                <c:pt idx="416">
                  <c:v>41999</c:v>
                </c:pt>
                <c:pt idx="417">
                  <c:v>42006</c:v>
                </c:pt>
                <c:pt idx="418">
                  <c:v>42013</c:v>
                </c:pt>
                <c:pt idx="419">
                  <c:v>42020</c:v>
                </c:pt>
                <c:pt idx="420">
                  <c:v>42027</c:v>
                </c:pt>
                <c:pt idx="421">
                  <c:v>42034</c:v>
                </c:pt>
                <c:pt idx="422">
                  <c:v>42041</c:v>
                </c:pt>
                <c:pt idx="423">
                  <c:v>42048</c:v>
                </c:pt>
                <c:pt idx="424">
                  <c:v>42055</c:v>
                </c:pt>
                <c:pt idx="425">
                  <c:v>42062</c:v>
                </c:pt>
                <c:pt idx="426">
                  <c:v>42069</c:v>
                </c:pt>
                <c:pt idx="427">
                  <c:v>42076</c:v>
                </c:pt>
                <c:pt idx="428">
                  <c:v>42083</c:v>
                </c:pt>
                <c:pt idx="429">
                  <c:v>42090</c:v>
                </c:pt>
                <c:pt idx="430">
                  <c:v>42097</c:v>
                </c:pt>
                <c:pt idx="431">
                  <c:v>42104</c:v>
                </c:pt>
                <c:pt idx="432">
                  <c:v>42111</c:v>
                </c:pt>
                <c:pt idx="433">
                  <c:v>42118</c:v>
                </c:pt>
                <c:pt idx="434">
                  <c:v>42125</c:v>
                </c:pt>
                <c:pt idx="435">
                  <c:v>42132</c:v>
                </c:pt>
                <c:pt idx="436">
                  <c:v>42139</c:v>
                </c:pt>
                <c:pt idx="437">
                  <c:v>42146</c:v>
                </c:pt>
                <c:pt idx="438">
                  <c:v>42153</c:v>
                </c:pt>
                <c:pt idx="439">
                  <c:v>42160</c:v>
                </c:pt>
                <c:pt idx="440">
                  <c:v>42167</c:v>
                </c:pt>
                <c:pt idx="441">
                  <c:v>42174</c:v>
                </c:pt>
                <c:pt idx="442">
                  <c:v>42181</c:v>
                </c:pt>
                <c:pt idx="443">
                  <c:v>42188</c:v>
                </c:pt>
                <c:pt idx="444">
                  <c:v>42195</c:v>
                </c:pt>
                <c:pt idx="445">
                  <c:v>42202</c:v>
                </c:pt>
                <c:pt idx="446">
                  <c:v>42209</c:v>
                </c:pt>
                <c:pt idx="447">
                  <c:v>42216</c:v>
                </c:pt>
                <c:pt idx="448">
                  <c:v>42223</c:v>
                </c:pt>
                <c:pt idx="449">
                  <c:v>42230</c:v>
                </c:pt>
                <c:pt idx="450">
                  <c:v>42237</c:v>
                </c:pt>
                <c:pt idx="451">
                  <c:v>42244</c:v>
                </c:pt>
                <c:pt idx="452">
                  <c:v>42251</c:v>
                </c:pt>
                <c:pt idx="453">
                  <c:v>42258</c:v>
                </c:pt>
                <c:pt idx="454">
                  <c:v>42265</c:v>
                </c:pt>
                <c:pt idx="455">
                  <c:v>42272</c:v>
                </c:pt>
                <c:pt idx="456">
                  <c:v>42279</c:v>
                </c:pt>
                <c:pt idx="457">
                  <c:v>42286</c:v>
                </c:pt>
                <c:pt idx="458">
                  <c:v>42293</c:v>
                </c:pt>
                <c:pt idx="459">
                  <c:v>42300</c:v>
                </c:pt>
                <c:pt idx="460">
                  <c:v>42307</c:v>
                </c:pt>
                <c:pt idx="461">
                  <c:v>42314</c:v>
                </c:pt>
                <c:pt idx="462">
                  <c:v>42321</c:v>
                </c:pt>
                <c:pt idx="463">
                  <c:v>42328</c:v>
                </c:pt>
                <c:pt idx="464">
                  <c:v>42335</c:v>
                </c:pt>
                <c:pt idx="465">
                  <c:v>42342</c:v>
                </c:pt>
                <c:pt idx="466">
                  <c:v>42349</c:v>
                </c:pt>
                <c:pt idx="467">
                  <c:v>42356</c:v>
                </c:pt>
                <c:pt idx="468">
                  <c:v>42363</c:v>
                </c:pt>
                <c:pt idx="469">
                  <c:v>42370</c:v>
                </c:pt>
                <c:pt idx="470">
                  <c:v>42377</c:v>
                </c:pt>
                <c:pt idx="471">
                  <c:v>42384</c:v>
                </c:pt>
                <c:pt idx="472">
                  <c:v>42391</c:v>
                </c:pt>
                <c:pt idx="473">
                  <c:v>42398</c:v>
                </c:pt>
                <c:pt idx="474">
                  <c:v>42405</c:v>
                </c:pt>
                <c:pt idx="475">
                  <c:v>42412</c:v>
                </c:pt>
                <c:pt idx="476">
                  <c:v>42419</c:v>
                </c:pt>
                <c:pt idx="477">
                  <c:v>42426</c:v>
                </c:pt>
                <c:pt idx="478">
                  <c:v>42433</c:v>
                </c:pt>
                <c:pt idx="479">
                  <c:v>42440</c:v>
                </c:pt>
                <c:pt idx="480">
                  <c:v>42447</c:v>
                </c:pt>
                <c:pt idx="481">
                  <c:v>42454</c:v>
                </c:pt>
                <c:pt idx="482">
                  <c:v>42461</c:v>
                </c:pt>
                <c:pt idx="483">
                  <c:v>42468</c:v>
                </c:pt>
                <c:pt idx="484">
                  <c:v>42475</c:v>
                </c:pt>
                <c:pt idx="485">
                  <c:v>42482</c:v>
                </c:pt>
                <c:pt idx="486">
                  <c:v>42489</c:v>
                </c:pt>
                <c:pt idx="487">
                  <c:v>42496</c:v>
                </c:pt>
                <c:pt idx="488">
                  <c:v>42503</c:v>
                </c:pt>
                <c:pt idx="489">
                  <c:v>42510</c:v>
                </c:pt>
                <c:pt idx="490">
                  <c:v>42517</c:v>
                </c:pt>
                <c:pt idx="491">
                  <c:v>42524</c:v>
                </c:pt>
                <c:pt idx="492">
                  <c:v>42531</c:v>
                </c:pt>
                <c:pt idx="493">
                  <c:v>42538</c:v>
                </c:pt>
                <c:pt idx="494">
                  <c:v>42545</c:v>
                </c:pt>
                <c:pt idx="495">
                  <c:v>42552</c:v>
                </c:pt>
                <c:pt idx="496">
                  <c:v>42559</c:v>
                </c:pt>
                <c:pt idx="497">
                  <c:v>42566</c:v>
                </c:pt>
                <c:pt idx="498">
                  <c:v>42573</c:v>
                </c:pt>
                <c:pt idx="499">
                  <c:v>42580</c:v>
                </c:pt>
                <c:pt idx="500">
                  <c:v>42587</c:v>
                </c:pt>
                <c:pt idx="501">
                  <c:v>42594</c:v>
                </c:pt>
                <c:pt idx="502">
                  <c:v>42601</c:v>
                </c:pt>
                <c:pt idx="503">
                  <c:v>42608</c:v>
                </c:pt>
                <c:pt idx="504">
                  <c:v>42615</c:v>
                </c:pt>
                <c:pt idx="505">
                  <c:v>42622</c:v>
                </c:pt>
                <c:pt idx="506">
                  <c:v>42629</c:v>
                </c:pt>
                <c:pt idx="507">
                  <c:v>42636</c:v>
                </c:pt>
                <c:pt idx="508">
                  <c:v>42643</c:v>
                </c:pt>
                <c:pt idx="509">
                  <c:v>42650</c:v>
                </c:pt>
                <c:pt idx="510">
                  <c:v>42657</c:v>
                </c:pt>
                <c:pt idx="511">
                  <c:v>42664</c:v>
                </c:pt>
                <c:pt idx="512">
                  <c:v>42671</c:v>
                </c:pt>
                <c:pt idx="513">
                  <c:v>42678</c:v>
                </c:pt>
                <c:pt idx="514">
                  <c:v>42685</c:v>
                </c:pt>
                <c:pt idx="515">
                  <c:v>42692</c:v>
                </c:pt>
                <c:pt idx="516">
                  <c:v>42699</c:v>
                </c:pt>
                <c:pt idx="517">
                  <c:v>42706</c:v>
                </c:pt>
                <c:pt idx="518">
                  <c:v>42713</c:v>
                </c:pt>
                <c:pt idx="519">
                  <c:v>42720</c:v>
                </c:pt>
                <c:pt idx="520">
                  <c:v>42727</c:v>
                </c:pt>
                <c:pt idx="521">
                  <c:v>42734</c:v>
                </c:pt>
                <c:pt idx="522">
                  <c:v>42741</c:v>
                </c:pt>
                <c:pt idx="523">
                  <c:v>42748</c:v>
                </c:pt>
                <c:pt idx="524">
                  <c:v>42755</c:v>
                </c:pt>
                <c:pt idx="525">
                  <c:v>42762</c:v>
                </c:pt>
                <c:pt idx="526">
                  <c:v>42769</c:v>
                </c:pt>
                <c:pt idx="527">
                  <c:v>42776</c:v>
                </c:pt>
                <c:pt idx="528">
                  <c:v>42783</c:v>
                </c:pt>
                <c:pt idx="529">
                  <c:v>42790</c:v>
                </c:pt>
                <c:pt idx="530">
                  <c:v>42797</c:v>
                </c:pt>
                <c:pt idx="531">
                  <c:v>42804</c:v>
                </c:pt>
                <c:pt idx="532">
                  <c:v>42811</c:v>
                </c:pt>
                <c:pt idx="533">
                  <c:v>42818</c:v>
                </c:pt>
                <c:pt idx="534">
                  <c:v>42825</c:v>
                </c:pt>
                <c:pt idx="535">
                  <c:v>42832</c:v>
                </c:pt>
                <c:pt idx="536">
                  <c:v>42839</c:v>
                </c:pt>
                <c:pt idx="537">
                  <c:v>42846</c:v>
                </c:pt>
                <c:pt idx="538">
                  <c:v>42853</c:v>
                </c:pt>
                <c:pt idx="539">
                  <c:v>42860</c:v>
                </c:pt>
                <c:pt idx="540">
                  <c:v>42867</c:v>
                </c:pt>
                <c:pt idx="541">
                  <c:v>42874</c:v>
                </c:pt>
                <c:pt idx="542">
                  <c:v>42881</c:v>
                </c:pt>
                <c:pt idx="543">
                  <c:v>42888</c:v>
                </c:pt>
                <c:pt idx="544">
                  <c:v>42895</c:v>
                </c:pt>
                <c:pt idx="545">
                  <c:v>42902</c:v>
                </c:pt>
                <c:pt idx="546">
                  <c:v>42909</c:v>
                </c:pt>
                <c:pt idx="547">
                  <c:v>42916</c:v>
                </c:pt>
                <c:pt idx="548">
                  <c:v>42923</c:v>
                </c:pt>
                <c:pt idx="549">
                  <c:v>42930</c:v>
                </c:pt>
                <c:pt idx="550">
                  <c:v>42937</c:v>
                </c:pt>
                <c:pt idx="551">
                  <c:v>42944</c:v>
                </c:pt>
                <c:pt idx="552">
                  <c:v>42951</c:v>
                </c:pt>
                <c:pt idx="553">
                  <c:v>42958</c:v>
                </c:pt>
                <c:pt idx="554">
                  <c:v>42965</c:v>
                </c:pt>
                <c:pt idx="555">
                  <c:v>42972</c:v>
                </c:pt>
                <c:pt idx="556">
                  <c:v>42979</c:v>
                </c:pt>
                <c:pt idx="557">
                  <c:v>42986</c:v>
                </c:pt>
                <c:pt idx="558">
                  <c:v>42993</c:v>
                </c:pt>
                <c:pt idx="559">
                  <c:v>43000</c:v>
                </c:pt>
                <c:pt idx="560">
                  <c:v>43007</c:v>
                </c:pt>
                <c:pt idx="561">
                  <c:v>43014</c:v>
                </c:pt>
                <c:pt idx="562">
                  <c:v>43021</c:v>
                </c:pt>
                <c:pt idx="563">
                  <c:v>43028</c:v>
                </c:pt>
                <c:pt idx="564">
                  <c:v>43035</c:v>
                </c:pt>
                <c:pt idx="565">
                  <c:v>43042</c:v>
                </c:pt>
                <c:pt idx="566">
                  <c:v>43049</c:v>
                </c:pt>
                <c:pt idx="567">
                  <c:v>43056</c:v>
                </c:pt>
                <c:pt idx="568">
                  <c:v>43063</c:v>
                </c:pt>
                <c:pt idx="569">
                  <c:v>43070</c:v>
                </c:pt>
                <c:pt idx="570">
                  <c:v>43077</c:v>
                </c:pt>
                <c:pt idx="571">
                  <c:v>43084</c:v>
                </c:pt>
                <c:pt idx="572">
                  <c:v>43091</c:v>
                </c:pt>
                <c:pt idx="573">
                  <c:v>43098</c:v>
                </c:pt>
                <c:pt idx="574">
                  <c:v>43105</c:v>
                </c:pt>
                <c:pt idx="575">
                  <c:v>43112</c:v>
                </c:pt>
                <c:pt idx="576">
                  <c:v>43119</c:v>
                </c:pt>
                <c:pt idx="577">
                  <c:v>43126</c:v>
                </c:pt>
                <c:pt idx="578">
                  <c:v>43133</c:v>
                </c:pt>
                <c:pt idx="579">
                  <c:v>43140</c:v>
                </c:pt>
                <c:pt idx="580">
                  <c:v>43147</c:v>
                </c:pt>
                <c:pt idx="581">
                  <c:v>43154</c:v>
                </c:pt>
                <c:pt idx="582">
                  <c:v>43161</c:v>
                </c:pt>
                <c:pt idx="583">
                  <c:v>43168</c:v>
                </c:pt>
                <c:pt idx="584">
                  <c:v>43175</c:v>
                </c:pt>
                <c:pt idx="585">
                  <c:v>43182</c:v>
                </c:pt>
                <c:pt idx="586">
                  <c:v>43189</c:v>
                </c:pt>
                <c:pt idx="587">
                  <c:v>43196</c:v>
                </c:pt>
                <c:pt idx="588">
                  <c:v>43203</c:v>
                </c:pt>
                <c:pt idx="589">
                  <c:v>43210</c:v>
                </c:pt>
                <c:pt idx="590">
                  <c:v>43217</c:v>
                </c:pt>
                <c:pt idx="591">
                  <c:v>43224</c:v>
                </c:pt>
                <c:pt idx="592">
                  <c:v>43231</c:v>
                </c:pt>
                <c:pt idx="593">
                  <c:v>43238</c:v>
                </c:pt>
                <c:pt idx="594">
                  <c:v>43245</c:v>
                </c:pt>
                <c:pt idx="595">
                  <c:v>43252</c:v>
                </c:pt>
                <c:pt idx="596">
                  <c:v>43259</c:v>
                </c:pt>
                <c:pt idx="597">
                  <c:v>43266</c:v>
                </c:pt>
                <c:pt idx="598">
                  <c:v>43273</c:v>
                </c:pt>
                <c:pt idx="599">
                  <c:v>43280</c:v>
                </c:pt>
                <c:pt idx="600">
                  <c:v>43287</c:v>
                </c:pt>
                <c:pt idx="601">
                  <c:v>43294</c:v>
                </c:pt>
                <c:pt idx="602">
                  <c:v>43301</c:v>
                </c:pt>
                <c:pt idx="603">
                  <c:v>43308</c:v>
                </c:pt>
                <c:pt idx="604">
                  <c:v>43315</c:v>
                </c:pt>
                <c:pt idx="605">
                  <c:v>43322</c:v>
                </c:pt>
                <c:pt idx="606">
                  <c:v>43329</c:v>
                </c:pt>
                <c:pt idx="607">
                  <c:v>43336</c:v>
                </c:pt>
                <c:pt idx="608">
                  <c:v>43343</c:v>
                </c:pt>
                <c:pt idx="609">
                  <c:v>43350</c:v>
                </c:pt>
                <c:pt idx="610">
                  <c:v>43357</c:v>
                </c:pt>
                <c:pt idx="611">
                  <c:v>43364</c:v>
                </c:pt>
                <c:pt idx="612">
                  <c:v>43371</c:v>
                </c:pt>
                <c:pt idx="613">
                  <c:v>43378</c:v>
                </c:pt>
                <c:pt idx="614">
                  <c:v>43385</c:v>
                </c:pt>
                <c:pt idx="615">
                  <c:v>43392</c:v>
                </c:pt>
                <c:pt idx="616">
                  <c:v>43399</c:v>
                </c:pt>
                <c:pt idx="617">
                  <c:v>43406</c:v>
                </c:pt>
                <c:pt idx="618">
                  <c:v>43413</c:v>
                </c:pt>
                <c:pt idx="619">
                  <c:v>43420</c:v>
                </c:pt>
                <c:pt idx="620">
                  <c:v>43427</c:v>
                </c:pt>
                <c:pt idx="621">
                  <c:v>43434</c:v>
                </c:pt>
                <c:pt idx="622">
                  <c:v>43441</c:v>
                </c:pt>
                <c:pt idx="623">
                  <c:v>43448</c:v>
                </c:pt>
                <c:pt idx="624">
                  <c:v>43455</c:v>
                </c:pt>
                <c:pt idx="625">
                  <c:v>43462</c:v>
                </c:pt>
                <c:pt idx="626">
                  <c:v>43469</c:v>
                </c:pt>
                <c:pt idx="627">
                  <c:v>43476</c:v>
                </c:pt>
                <c:pt idx="628">
                  <c:v>43483</c:v>
                </c:pt>
                <c:pt idx="629">
                  <c:v>43490</c:v>
                </c:pt>
                <c:pt idx="630">
                  <c:v>43497</c:v>
                </c:pt>
                <c:pt idx="631">
                  <c:v>43504</c:v>
                </c:pt>
                <c:pt idx="632">
                  <c:v>43511</c:v>
                </c:pt>
                <c:pt idx="633">
                  <c:v>43518</c:v>
                </c:pt>
                <c:pt idx="634">
                  <c:v>43525</c:v>
                </c:pt>
                <c:pt idx="635">
                  <c:v>43532</c:v>
                </c:pt>
                <c:pt idx="636">
                  <c:v>43539</c:v>
                </c:pt>
                <c:pt idx="637">
                  <c:v>43546</c:v>
                </c:pt>
                <c:pt idx="638">
                  <c:v>43553</c:v>
                </c:pt>
                <c:pt idx="639">
                  <c:v>43560</c:v>
                </c:pt>
                <c:pt idx="640">
                  <c:v>43567</c:v>
                </c:pt>
                <c:pt idx="641">
                  <c:v>43574</c:v>
                </c:pt>
                <c:pt idx="642">
                  <c:v>43581</c:v>
                </c:pt>
                <c:pt idx="643">
                  <c:v>43588</c:v>
                </c:pt>
                <c:pt idx="644">
                  <c:v>43595</c:v>
                </c:pt>
                <c:pt idx="645">
                  <c:v>43602</c:v>
                </c:pt>
                <c:pt idx="646">
                  <c:v>43609</c:v>
                </c:pt>
                <c:pt idx="647">
                  <c:v>43616</c:v>
                </c:pt>
                <c:pt idx="648">
                  <c:v>43623</c:v>
                </c:pt>
                <c:pt idx="649">
                  <c:v>43630</c:v>
                </c:pt>
                <c:pt idx="650">
                  <c:v>43637</c:v>
                </c:pt>
                <c:pt idx="651">
                  <c:v>43644</c:v>
                </c:pt>
                <c:pt idx="652">
                  <c:v>43651</c:v>
                </c:pt>
                <c:pt idx="653">
                  <c:v>43658</c:v>
                </c:pt>
                <c:pt idx="654">
                  <c:v>43665</c:v>
                </c:pt>
                <c:pt idx="655">
                  <c:v>43672</c:v>
                </c:pt>
                <c:pt idx="656">
                  <c:v>43679</c:v>
                </c:pt>
                <c:pt idx="657">
                  <c:v>43686</c:v>
                </c:pt>
                <c:pt idx="658">
                  <c:v>43693</c:v>
                </c:pt>
                <c:pt idx="659">
                  <c:v>43700</c:v>
                </c:pt>
                <c:pt idx="660">
                  <c:v>43707</c:v>
                </c:pt>
                <c:pt idx="661">
                  <c:v>43714</c:v>
                </c:pt>
                <c:pt idx="662">
                  <c:v>43721</c:v>
                </c:pt>
                <c:pt idx="663">
                  <c:v>43728</c:v>
                </c:pt>
                <c:pt idx="664">
                  <c:v>43735</c:v>
                </c:pt>
                <c:pt idx="665">
                  <c:v>43742</c:v>
                </c:pt>
                <c:pt idx="666">
                  <c:v>43749</c:v>
                </c:pt>
                <c:pt idx="667">
                  <c:v>43756</c:v>
                </c:pt>
                <c:pt idx="668">
                  <c:v>43763</c:v>
                </c:pt>
                <c:pt idx="669">
                  <c:v>43770</c:v>
                </c:pt>
                <c:pt idx="670">
                  <c:v>43777</c:v>
                </c:pt>
                <c:pt idx="671">
                  <c:v>43784</c:v>
                </c:pt>
                <c:pt idx="672">
                  <c:v>43791</c:v>
                </c:pt>
                <c:pt idx="673">
                  <c:v>43798</c:v>
                </c:pt>
                <c:pt idx="674">
                  <c:v>43805</c:v>
                </c:pt>
                <c:pt idx="675">
                  <c:v>43812</c:v>
                </c:pt>
                <c:pt idx="676">
                  <c:v>43819</c:v>
                </c:pt>
                <c:pt idx="677">
                  <c:v>43826</c:v>
                </c:pt>
                <c:pt idx="678">
                  <c:v>43833</c:v>
                </c:pt>
                <c:pt idx="679">
                  <c:v>43840</c:v>
                </c:pt>
                <c:pt idx="680">
                  <c:v>43847</c:v>
                </c:pt>
                <c:pt idx="681">
                  <c:v>43854</c:v>
                </c:pt>
                <c:pt idx="682">
                  <c:v>43861</c:v>
                </c:pt>
                <c:pt idx="683">
                  <c:v>43868</c:v>
                </c:pt>
                <c:pt idx="684">
                  <c:v>43875</c:v>
                </c:pt>
                <c:pt idx="685">
                  <c:v>43882</c:v>
                </c:pt>
                <c:pt idx="686">
                  <c:v>43889</c:v>
                </c:pt>
                <c:pt idx="687">
                  <c:v>43896</c:v>
                </c:pt>
                <c:pt idx="688">
                  <c:v>43903</c:v>
                </c:pt>
                <c:pt idx="689">
                  <c:v>43910</c:v>
                </c:pt>
                <c:pt idx="690">
                  <c:v>43917</c:v>
                </c:pt>
                <c:pt idx="691">
                  <c:v>43924</c:v>
                </c:pt>
                <c:pt idx="692">
                  <c:v>43931</c:v>
                </c:pt>
                <c:pt idx="693">
                  <c:v>43938</c:v>
                </c:pt>
                <c:pt idx="694">
                  <c:v>43945</c:v>
                </c:pt>
                <c:pt idx="695">
                  <c:v>43952</c:v>
                </c:pt>
                <c:pt idx="696">
                  <c:v>43959</c:v>
                </c:pt>
                <c:pt idx="697">
                  <c:v>43966</c:v>
                </c:pt>
                <c:pt idx="698">
                  <c:v>43973</c:v>
                </c:pt>
                <c:pt idx="699">
                  <c:v>43980</c:v>
                </c:pt>
                <c:pt idx="700">
                  <c:v>43987</c:v>
                </c:pt>
                <c:pt idx="701">
                  <c:v>43994</c:v>
                </c:pt>
                <c:pt idx="702">
                  <c:v>44001</c:v>
                </c:pt>
                <c:pt idx="703">
                  <c:v>44008</c:v>
                </c:pt>
                <c:pt idx="704">
                  <c:v>44015</c:v>
                </c:pt>
                <c:pt idx="705">
                  <c:v>44022</c:v>
                </c:pt>
                <c:pt idx="706">
                  <c:v>44029</c:v>
                </c:pt>
                <c:pt idx="707">
                  <c:v>44036</c:v>
                </c:pt>
                <c:pt idx="708">
                  <c:v>44043</c:v>
                </c:pt>
                <c:pt idx="709">
                  <c:v>44050</c:v>
                </c:pt>
                <c:pt idx="710">
                  <c:v>44057</c:v>
                </c:pt>
                <c:pt idx="711">
                  <c:v>44064</c:v>
                </c:pt>
                <c:pt idx="712">
                  <c:v>44071</c:v>
                </c:pt>
                <c:pt idx="713">
                  <c:v>44078</c:v>
                </c:pt>
                <c:pt idx="714">
                  <c:v>44085</c:v>
                </c:pt>
                <c:pt idx="715">
                  <c:v>44092</c:v>
                </c:pt>
                <c:pt idx="716">
                  <c:v>44099</c:v>
                </c:pt>
                <c:pt idx="717">
                  <c:v>44106</c:v>
                </c:pt>
                <c:pt idx="718">
                  <c:v>44113</c:v>
                </c:pt>
                <c:pt idx="719">
                  <c:v>44120</c:v>
                </c:pt>
                <c:pt idx="720">
                  <c:v>44127</c:v>
                </c:pt>
                <c:pt idx="721">
                  <c:v>44134</c:v>
                </c:pt>
                <c:pt idx="722">
                  <c:v>44141</c:v>
                </c:pt>
                <c:pt idx="723">
                  <c:v>44148</c:v>
                </c:pt>
                <c:pt idx="724">
                  <c:v>44155</c:v>
                </c:pt>
                <c:pt idx="725">
                  <c:v>44162</c:v>
                </c:pt>
                <c:pt idx="726">
                  <c:v>44169</c:v>
                </c:pt>
                <c:pt idx="727">
                  <c:v>44176</c:v>
                </c:pt>
                <c:pt idx="728">
                  <c:v>44183</c:v>
                </c:pt>
                <c:pt idx="729">
                  <c:v>44190</c:v>
                </c:pt>
                <c:pt idx="730">
                  <c:v>44197</c:v>
                </c:pt>
                <c:pt idx="731">
                  <c:v>44204</c:v>
                </c:pt>
                <c:pt idx="732">
                  <c:v>44211</c:v>
                </c:pt>
                <c:pt idx="733">
                  <c:v>44218</c:v>
                </c:pt>
                <c:pt idx="734">
                  <c:v>44225</c:v>
                </c:pt>
                <c:pt idx="735">
                  <c:v>44232</c:v>
                </c:pt>
                <c:pt idx="736">
                  <c:v>44239</c:v>
                </c:pt>
                <c:pt idx="737">
                  <c:v>44246</c:v>
                </c:pt>
                <c:pt idx="738">
                  <c:v>44253</c:v>
                </c:pt>
                <c:pt idx="739">
                  <c:v>44260</c:v>
                </c:pt>
                <c:pt idx="740">
                  <c:v>44267</c:v>
                </c:pt>
                <c:pt idx="741">
                  <c:v>44274</c:v>
                </c:pt>
                <c:pt idx="742">
                  <c:v>44281</c:v>
                </c:pt>
                <c:pt idx="743">
                  <c:v>44288</c:v>
                </c:pt>
                <c:pt idx="744">
                  <c:v>44295</c:v>
                </c:pt>
                <c:pt idx="745">
                  <c:v>44302</c:v>
                </c:pt>
                <c:pt idx="746">
                  <c:v>44309</c:v>
                </c:pt>
                <c:pt idx="747">
                  <c:v>44316</c:v>
                </c:pt>
                <c:pt idx="748">
                  <c:v>44323</c:v>
                </c:pt>
                <c:pt idx="749">
                  <c:v>44330</c:v>
                </c:pt>
                <c:pt idx="750">
                  <c:v>44337</c:v>
                </c:pt>
                <c:pt idx="751">
                  <c:v>44344</c:v>
                </c:pt>
                <c:pt idx="752">
                  <c:v>44351</c:v>
                </c:pt>
                <c:pt idx="753">
                  <c:v>44358</c:v>
                </c:pt>
                <c:pt idx="754">
                  <c:v>44365</c:v>
                </c:pt>
                <c:pt idx="755">
                  <c:v>44372</c:v>
                </c:pt>
                <c:pt idx="756">
                  <c:v>44379</c:v>
                </c:pt>
                <c:pt idx="757">
                  <c:v>44386</c:v>
                </c:pt>
                <c:pt idx="758">
                  <c:v>44393</c:v>
                </c:pt>
                <c:pt idx="759">
                  <c:v>44400</c:v>
                </c:pt>
                <c:pt idx="760">
                  <c:v>44407</c:v>
                </c:pt>
                <c:pt idx="761">
                  <c:v>44414</c:v>
                </c:pt>
                <c:pt idx="762">
                  <c:v>44421</c:v>
                </c:pt>
                <c:pt idx="763">
                  <c:v>44428</c:v>
                </c:pt>
                <c:pt idx="764">
                  <c:v>44435</c:v>
                </c:pt>
                <c:pt idx="765">
                  <c:v>44442</c:v>
                </c:pt>
                <c:pt idx="766">
                  <c:v>44449</c:v>
                </c:pt>
                <c:pt idx="767">
                  <c:v>44456</c:v>
                </c:pt>
                <c:pt idx="768">
                  <c:v>44463</c:v>
                </c:pt>
                <c:pt idx="769">
                  <c:v>44470</c:v>
                </c:pt>
                <c:pt idx="770">
                  <c:v>44477</c:v>
                </c:pt>
                <c:pt idx="771">
                  <c:v>44484</c:v>
                </c:pt>
                <c:pt idx="772">
                  <c:v>44491</c:v>
                </c:pt>
                <c:pt idx="773">
                  <c:v>44498</c:v>
                </c:pt>
                <c:pt idx="774">
                  <c:v>44505</c:v>
                </c:pt>
                <c:pt idx="775">
                  <c:v>44512</c:v>
                </c:pt>
                <c:pt idx="776">
                  <c:v>44519</c:v>
                </c:pt>
                <c:pt idx="777">
                  <c:v>44526</c:v>
                </c:pt>
                <c:pt idx="778">
                  <c:v>44533</c:v>
                </c:pt>
                <c:pt idx="779">
                  <c:v>44540</c:v>
                </c:pt>
                <c:pt idx="780">
                  <c:v>44547</c:v>
                </c:pt>
                <c:pt idx="781">
                  <c:v>44554</c:v>
                </c:pt>
                <c:pt idx="782">
                  <c:v>44561</c:v>
                </c:pt>
                <c:pt idx="783">
                  <c:v>44568</c:v>
                </c:pt>
                <c:pt idx="784">
                  <c:v>44575</c:v>
                </c:pt>
                <c:pt idx="785">
                  <c:v>44582</c:v>
                </c:pt>
                <c:pt idx="786">
                  <c:v>44589</c:v>
                </c:pt>
                <c:pt idx="787">
                  <c:v>44596</c:v>
                </c:pt>
                <c:pt idx="788">
                  <c:v>44603</c:v>
                </c:pt>
                <c:pt idx="789">
                  <c:v>44610</c:v>
                </c:pt>
                <c:pt idx="790">
                  <c:v>44617</c:v>
                </c:pt>
                <c:pt idx="791">
                  <c:v>44624</c:v>
                </c:pt>
                <c:pt idx="792">
                  <c:v>44631</c:v>
                </c:pt>
                <c:pt idx="793">
                  <c:v>44638</c:v>
                </c:pt>
                <c:pt idx="794">
                  <c:v>44645</c:v>
                </c:pt>
                <c:pt idx="795">
                  <c:v>44652</c:v>
                </c:pt>
                <c:pt idx="796">
                  <c:v>44659</c:v>
                </c:pt>
                <c:pt idx="797">
                  <c:v>44666</c:v>
                </c:pt>
                <c:pt idx="798">
                  <c:v>44673</c:v>
                </c:pt>
                <c:pt idx="799">
                  <c:v>44680</c:v>
                </c:pt>
                <c:pt idx="800">
                  <c:v>44687</c:v>
                </c:pt>
                <c:pt idx="801">
                  <c:v>44694</c:v>
                </c:pt>
                <c:pt idx="802">
                  <c:v>44701</c:v>
                </c:pt>
                <c:pt idx="803">
                  <c:v>44708</c:v>
                </c:pt>
                <c:pt idx="804">
                  <c:v>44715</c:v>
                </c:pt>
                <c:pt idx="805">
                  <c:v>44722</c:v>
                </c:pt>
                <c:pt idx="806">
                  <c:v>44729</c:v>
                </c:pt>
                <c:pt idx="807">
                  <c:v>44736</c:v>
                </c:pt>
                <c:pt idx="808">
                  <c:v>44743</c:v>
                </c:pt>
                <c:pt idx="809">
                  <c:v>44750</c:v>
                </c:pt>
                <c:pt idx="810">
                  <c:v>44757</c:v>
                </c:pt>
                <c:pt idx="811">
                  <c:v>44764</c:v>
                </c:pt>
                <c:pt idx="812">
                  <c:v>44771</c:v>
                </c:pt>
                <c:pt idx="813">
                  <c:v>44778</c:v>
                </c:pt>
                <c:pt idx="814">
                  <c:v>44785</c:v>
                </c:pt>
                <c:pt idx="815">
                  <c:v>44792</c:v>
                </c:pt>
                <c:pt idx="816">
                  <c:v>44799</c:v>
                </c:pt>
                <c:pt idx="817">
                  <c:v>44806</c:v>
                </c:pt>
                <c:pt idx="818">
                  <c:v>44813</c:v>
                </c:pt>
                <c:pt idx="819">
                  <c:v>44820</c:v>
                </c:pt>
                <c:pt idx="820">
                  <c:v>44827</c:v>
                </c:pt>
                <c:pt idx="821">
                  <c:v>44834</c:v>
                </c:pt>
                <c:pt idx="822">
                  <c:v>44841</c:v>
                </c:pt>
                <c:pt idx="823">
                  <c:v>44848</c:v>
                </c:pt>
                <c:pt idx="824">
                  <c:v>44855</c:v>
                </c:pt>
                <c:pt idx="825">
                  <c:v>44862</c:v>
                </c:pt>
                <c:pt idx="826">
                  <c:v>44869</c:v>
                </c:pt>
                <c:pt idx="827">
                  <c:v>44876</c:v>
                </c:pt>
                <c:pt idx="828">
                  <c:v>44883</c:v>
                </c:pt>
                <c:pt idx="829">
                  <c:v>44890</c:v>
                </c:pt>
                <c:pt idx="830">
                  <c:v>44897</c:v>
                </c:pt>
                <c:pt idx="831">
                  <c:v>44904</c:v>
                </c:pt>
                <c:pt idx="832">
                  <c:v>44911</c:v>
                </c:pt>
                <c:pt idx="833">
                  <c:v>44918</c:v>
                </c:pt>
                <c:pt idx="834">
                  <c:v>44925</c:v>
                </c:pt>
                <c:pt idx="835">
                  <c:v>44932</c:v>
                </c:pt>
                <c:pt idx="836">
                  <c:v>44939</c:v>
                </c:pt>
                <c:pt idx="837">
                  <c:v>44946</c:v>
                </c:pt>
                <c:pt idx="838">
                  <c:v>44953</c:v>
                </c:pt>
                <c:pt idx="839">
                  <c:v>44960</c:v>
                </c:pt>
                <c:pt idx="840">
                  <c:v>44967</c:v>
                </c:pt>
                <c:pt idx="841">
                  <c:v>44974</c:v>
                </c:pt>
                <c:pt idx="842">
                  <c:v>44981</c:v>
                </c:pt>
                <c:pt idx="843">
                  <c:v>44988</c:v>
                </c:pt>
                <c:pt idx="844">
                  <c:v>44995</c:v>
                </c:pt>
                <c:pt idx="845">
                  <c:v>45002</c:v>
                </c:pt>
                <c:pt idx="846">
                  <c:v>45009</c:v>
                </c:pt>
                <c:pt idx="847">
                  <c:v>45016</c:v>
                </c:pt>
                <c:pt idx="848">
                  <c:v>45023</c:v>
                </c:pt>
                <c:pt idx="849">
                  <c:v>45030</c:v>
                </c:pt>
                <c:pt idx="850">
                  <c:v>45037</c:v>
                </c:pt>
                <c:pt idx="851">
                  <c:v>45044</c:v>
                </c:pt>
                <c:pt idx="852">
                  <c:v>45051</c:v>
                </c:pt>
                <c:pt idx="853">
                  <c:v>45058</c:v>
                </c:pt>
                <c:pt idx="854">
                  <c:v>45065</c:v>
                </c:pt>
                <c:pt idx="855">
                  <c:v>45072</c:v>
                </c:pt>
                <c:pt idx="856">
                  <c:v>45079</c:v>
                </c:pt>
                <c:pt idx="857">
                  <c:v>45086</c:v>
                </c:pt>
                <c:pt idx="858">
                  <c:v>45093</c:v>
                </c:pt>
                <c:pt idx="859">
                  <c:v>45100</c:v>
                </c:pt>
                <c:pt idx="860">
                  <c:v>45107</c:v>
                </c:pt>
                <c:pt idx="861">
                  <c:v>45114</c:v>
                </c:pt>
                <c:pt idx="862">
                  <c:v>45121</c:v>
                </c:pt>
                <c:pt idx="863">
                  <c:v>45128</c:v>
                </c:pt>
                <c:pt idx="864">
                  <c:v>45135</c:v>
                </c:pt>
                <c:pt idx="865">
                  <c:v>45142</c:v>
                </c:pt>
                <c:pt idx="866">
                  <c:v>45149</c:v>
                </c:pt>
                <c:pt idx="867">
                  <c:v>45156</c:v>
                </c:pt>
                <c:pt idx="868">
                  <c:v>45163</c:v>
                </c:pt>
                <c:pt idx="869">
                  <c:v>45170</c:v>
                </c:pt>
                <c:pt idx="870">
                  <c:v>45177</c:v>
                </c:pt>
                <c:pt idx="871">
                  <c:v>45184</c:v>
                </c:pt>
                <c:pt idx="872">
                  <c:v>45191</c:v>
                </c:pt>
                <c:pt idx="873">
                  <c:v>45198</c:v>
                </c:pt>
                <c:pt idx="874">
                  <c:v>45205</c:v>
                </c:pt>
                <c:pt idx="875">
                  <c:v>45212</c:v>
                </c:pt>
                <c:pt idx="876">
                  <c:v>45219</c:v>
                </c:pt>
                <c:pt idx="877">
                  <c:v>45226</c:v>
                </c:pt>
                <c:pt idx="878">
                  <c:v>45233</c:v>
                </c:pt>
                <c:pt idx="879">
                  <c:v>45240</c:v>
                </c:pt>
                <c:pt idx="880">
                  <c:v>45247</c:v>
                </c:pt>
                <c:pt idx="881">
                  <c:v>45254</c:v>
                </c:pt>
                <c:pt idx="882">
                  <c:v>45261</c:v>
                </c:pt>
                <c:pt idx="883">
                  <c:v>45268</c:v>
                </c:pt>
                <c:pt idx="884">
                  <c:v>45275</c:v>
                </c:pt>
                <c:pt idx="885">
                  <c:v>45282</c:v>
                </c:pt>
                <c:pt idx="886">
                  <c:v>45289</c:v>
                </c:pt>
                <c:pt idx="887">
                  <c:v>45296</c:v>
                </c:pt>
                <c:pt idx="888">
                  <c:v>45303</c:v>
                </c:pt>
                <c:pt idx="889">
                  <c:v>45310</c:v>
                </c:pt>
                <c:pt idx="890">
                  <c:v>45317</c:v>
                </c:pt>
                <c:pt idx="891">
                  <c:v>45324</c:v>
                </c:pt>
                <c:pt idx="892">
                  <c:v>45331</c:v>
                </c:pt>
                <c:pt idx="893">
                  <c:v>45338</c:v>
                </c:pt>
                <c:pt idx="894">
                  <c:v>45345</c:v>
                </c:pt>
                <c:pt idx="895">
                  <c:v>45352</c:v>
                </c:pt>
                <c:pt idx="896">
                  <c:v>45359</c:v>
                </c:pt>
                <c:pt idx="897">
                  <c:v>45366</c:v>
                </c:pt>
                <c:pt idx="898">
                  <c:v>45373</c:v>
                </c:pt>
                <c:pt idx="899">
                  <c:v>45380</c:v>
                </c:pt>
                <c:pt idx="900">
                  <c:v>45387</c:v>
                </c:pt>
                <c:pt idx="901">
                  <c:v>45394</c:v>
                </c:pt>
                <c:pt idx="902">
                  <c:v>45401</c:v>
                </c:pt>
                <c:pt idx="903">
                  <c:v>45408</c:v>
                </c:pt>
                <c:pt idx="904">
                  <c:v>45415</c:v>
                </c:pt>
                <c:pt idx="905">
                  <c:v>45422</c:v>
                </c:pt>
                <c:pt idx="906">
                  <c:v>45429</c:v>
                </c:pt>
                <c:pt idx="907">
                  <c:v>45436</c:v>
                </c:pt>
                <c:pt idx="908">
                  <c:v>45443</c:v>
                </c:pt>
                <c:pt idx="909">
                  <c:v>45450</c:v>
                </c:pt>
                <c:pt idx="910">
                  <c:v>45457</c:v>
                </c:pt>
                <c:pt idx="911">
                  <c:v>45464</c:v>
                </c:pt>
                <c:pt idx="912">
                  <c:v>45471</c:v>
                </c:pt>
                <c:pt idx="913">
                  <c:v>45478</c:v>
                </c:pt>
                <c:pt idx="914">
                  <c:v>45485</c:v>
                </c:pt>
                <c:pt idx="915">
                  <c:v>45492</c:v>
                </c:pt>
                <c:pt idx="916">
                  <c:v>45499</c:v>
                </c:pt>
                <c:pt idx="917">
                  <c:v>45506</c:v>
                </c:pt>
                <c:pt idx="918">
                  <c:v>45513</c:v>
                </c:pt>
                <c:pt idx="919">
                  <c:v>45520</c:v>
                </c:pt>
                <c:pt idx="920">
                  <c:v>45527</c:v>
                </c:pt>
                <c:pt idx="921">
                  <c:v>45534</c:v>
                </c:pt>
                <c:pt idx="922">
                  <c:v>45541</c:v>
                </c:pt>
                <c:pt idx="923">
                  <c:v>45548</c:v>
                </c:pt>
                <c:pt idx="924">
                  <c:v>45555</c:v>
                </c:pt>
                <c:pt idx="925">
                  <c:v>45562</c:v>
                </c:pt>
                <c:pt idx="926">
                  <c:v>45569</c:v>
                </c:pt>
                <c:pt idx="927">
                  <c:v>45576</c:v>
                </c:pt>
                <c:pt idx="928">
                  <c:v>45583</c:v>
                </c:pt>
                <c:pt idx="929">
                  <c:v>45590</c:v>
                </c:pt>
                <c:pt idx="930">
                  <c:v>45597</c:v>
                </c:pt>
                <c:pt idx="931">
                  <c:v>45604</c:v>
                </c:pt>
                <c:pt idx="932">
                  <c:v>45611</c:v>
                </c:pt>
                <c:pt idx="933">
                  <c:v>45618</c:v>
                </c:pt>
                <c:pt idx="934">
                  <c:v>45625</c:v>
                </c:pt>
                <c:pt idx="935">
                  <c:v>45632</c:v>
                </c:pt>
                <c:pt idx="936">
                  <c:v>45639</c:v>
                </c:pt>
                <c:pt idx="937">
                  <c:v>45646</c:v>
                </c:pt>
                <c:pt idx="938">
                  <c:v>45653</c:v>
                </c:pt>
                <c:pt idx="939">
                  <c:v>45660</c:v>
                </c:pt>
                <c:pt idx="940">
                  <c:v>45667</c:v>
                </c:pt>
                <c:pt idx="941">
                  <c:v>45674</c:v>
                </c:pt>
                <c:pt idx="942">
                  <c:v>45681</c:v>
                </c:pt>
                <c:pt idx="943">
                  <c:v>45688</c:v>
                </c:pt>
                <c:pt idx="944">
                  <c:v>45695</c:v>
                </c:pt>
                <c:pt idx="945">
                  <c:v>45702</c:v>
                </c:pt>
                <c:pt idx="946">
                  <c:v>45709</c:v>
                </c:pt>
                <c:pt idx="947">
                  <c:v>45716</c:v>
                </c:pt>
                <c:pt idx="948">
                  <c:v>45723</c:v>
                </c:pt>
                <c:pt idx="949">
                  <c:v>45730</c:v>
                </c:pt>
                <c:pt idx="950">
                  <c:v>45737</c:v>
                </c:pt>
                <c:pt idx="951">
                  <c:v>45744</c:v>
                </c:pt>
                <c:pt idx="952">
                  <c:v>45751</c:v>
                </c:pt>
                <c:pt idx="953">
                  <c:v>45758</c:v>
                </c:pt>
                <c:pt idx="954">
                  <c:v>45765</c:v>
                </c:pt>
                <c:pt idx="955">
                  <c:v>45772</c:v>
                </c:pt>
                <c:pt idx="956">
                  <c:v>45779</c:v>
                </c:pt>
                <c:pt idx="957">
                  <c:v>45786</c:v>
                </c:pt>
                <c:pt idx="958">
                  <c:v>45793</c:v>
                </c:pt>
                <c:pt idx="959">
                  <c:v>45800</c:v>
                </c:pt>
                <c:pt idx="960">
                  <c:v>45807</c:v>
                </c:pt>
                <c:pt idx="961">
                  <c:v>45814</c:v>
                </c:pt>
                <c:pt idx="962">
                  <c:v>45821</c:v>
                </c:pt>
                <c:pt idx="963">
                  <c:v>45828</c:v>
                </c:pt>
                <c:pt idx="964">
                  <c:v>45835</c:v>
                </c:pt>
                <c:pt idx="965">
                  <c:v>45842</c:v>
                </c:pt>
                <c:pt idx="966">
                  <c:v>45849</c:v>
                </c:pt>
                <c:pt idx="967">
                  <c:v>45856</c:v>
                </c:pt>
                <c:pt idx="968">
                  <c:v>45863</c:v>
                </c:pt>
                <c:pt idx="969">
                  <c:v>45870</c:v>
                </c:pt>
                <c:pt idx="970">
                  <c:v>45877</c:v>
                </c:pt>
                <c:pt idx="971">
                  <c:v>45884</c:v>
                </c:pt>
                <c:pt idx="972">
                  <c:v>45891</c:v>
                </c:pt>
                <c:pt idx="973">
                  <c:v>45898</c:v>
                </c:pt>
                <c:pt idx="974">
                  <c:v>45905</c:v>
                </c:pt>
                <c:pt idx="975">
                  <c:v>45912</c:v>
                </c:pt>
                <c:pt idx="976">
                  <c:v>45919</c:v>
                </c:pt>
                <c:pt idx="977">
                  <c:v>45926</c:v>
                </c:pt>
                <c:pt idx="978">
                  <c:v>45933</c:v>
                </c:pt>
                <c:pt idx="979">
                  <c:v>45940</c:v>
                </c:pt>
                <c:pt idx="980">
                  <c:v>45947</c:v>
                </c:pt>
                <c:pt idx="981">
                  <c:v>45954</c:v>
                </c:pt>
                <c:pt idx="982">
                  <c:v>45961</c:v>
                </c:pt>
                <c:pt idx="983">
                  <c:v>45968</c:v>
                </c:pt>
                <c:pt idx="984">
                  <c:v>45975</c:v>
                </c:pt>
                <c:pt idx="985">
                  <c:v>45982</c:v>
                </c:pt>
                <c:pt idx="986">
                  <c:v>45989</c:v>
                </c:pt>
                <c:pt idx="987">
                  <c:v>45996</c:v>
                </c:pt>
                <c:pt idx="988">
                  <c:v>46003</c:v>
                </c:pt>
                <c:pt idx="989">
                  <c:v>46010</c:v>
                </c:pt>
                <c:pt idx="990">
                  <c:v>46017</c:v>
                </c:pt>
                <c:pt idx="991">
                  <c:v>46024</c:v>
                </c:pt>
                <c:pt idx="992">
                  <c:v>46031</c:v>
                </c:pt>
                <c:pt idx="993">
                  <c:v>46038</c:v>
                </c:pt>
                <c:pt idx="994">
                  <c:v>46045</c:v>
                </c:pt>
                <c:pt idx="995">
                  <c:v>46052</c:v>
                </c:pt>
                <c:pt idx="996">
                  <c:v>46059</c:v>
                </c:pt>
                <c:pt idx="997">
                  <c:v>46066</c:v>
                </c:pt>
                <c:pt idx="998">
                  <c:v>46073</c:v>
                </c:pt>
                <c:pt idx="999">
                  <c:v>46080</c:v>
                </c:pt>
                <c:pt idx="1000">
                  <c:v>46087</c:v>
                </c:pt>
                <c:pt idx="1001">
                  <c:v>46094</c:v>
                </c:pt>
                <c:pt idx="1002">
                  <c:v>46101</c:v>
                </c:pt>
                <c:pt idx="1003">
                  <c:v>46108</c:v>
                </c:pt>
                <c:pt idx="1004">
                  <c:v>46115</c:v>
                </c:pt>
                <c:pt idx="1005">
                  <c:v>46122</c:v>
                </c:pt>
                <c:pt idx="1006">
                  <c:v>46129</c:v>
                </c:pt>
                <c:pt idx="1007">
                  <c:v>46136</c:v>
                </c:pt>
                <c:pt idx="1008">
                  <c:v>46143</c:v>
                </c:pt>
                <c:pt idx="1009">
                  <c:v>46150</c:v>
                </c:pt>
                <c:pt idx="1010">
                  <c:v>46157</c:v>
                </c:pt>
                <c:pt idx="1011">
                  <c:v>46164</c:v>
                </c:pt>
                <c:pt idx="1012">
                  <c:v>46171</c:v>
                </c:pt>
                <c:pt idx="1013">
                  <c:v>46178</c:v>
                </c:pt>
                <c:pt idx="1014">
                  <c:v>46185</c:v>
                </c:pt>
                <c:pt idx="1015">
                  <c:v>46192</c:v>
                </c:pt>
                <c:pt idx="1016">
                  <c:v>46199</c:v>
                </c:pt>
                <c:pt idx="1017">
                  <c:v>46206</c:v>
                </c:pt>
                <c:pt idx="1018">
                  <c:v>46213</c:v>
                </c:pt>
                <c:pt idx="1019">
                  <c:v>46220</c:v>
                </c:pt>
                <c:pt idx="1020">
                  <c:v>46227</c:v>
                </c:pt>
                <c:pt idx="1021">
                  <c:v>46234</c:v>
                </c:pt>
                <c:pt idx="1022">
                  <c:v>46241</c:v>
                </c:pt>
                <c:pt idx="1023">
                  <c:v>46248</c:v>
                </c:pt>
                <c:pt idx="1024">
                  <c:v>46255</c:v>
                </c:pt>
                <c:pt idx="1025">
                  <c:v>46262</c:v>
                </c:pt>
                <c:pt idx="1026">
                  <c:v>46269</c:v>
                </c:pt>
                <c:pt idx="1027">
                  <c:v>46276</c:v>
                </c:pt>
                <c:pt idx="1028">
                  <c:v>46283</c:v>
                </c:pt>
                <c:pt idx="1029">
                  <c:v>46290</c:v>
                </c:pt>
                <c:pt idx="1030">
                  <c:v>46297</c:v>
                </c:pt>
              </c:numCache>
            </c:numRef>
          </c:cat>
          <c:val>
            <c:numRef>
              <c:f>Indice!$AK$58:$AK$1500</c:f>
              <c:numCache>
                <c:formatCode>General</c:formatCode>
                <c:ptCount val="1443"/>
                <c:pt idx="0">
                  <c:v>0.85650190279225891</c:v>
                </c:pt>
                <c:pt idx="1">
                  <c:v>0.85622648021114689</c:v>
                </c:pt>
                <c:pt idx="2">
                  <c:v>0.85497318228219177</c:v>
                </c:pt>
                <c:pt idx="3">
                  <c:v>0.84995887536327419</c:v>
                </c:pt>
                <c:pt idx="4">
                  <c:v>0.84488421889153176</c:v>
                </c:pt>
                <c:pt idx="5">
                  <c:v>0.84391143833457472</c:v>
                </c:pt>
                <c:pt idx="6">
                  <c:v>0.84228364991843974</c:v>
                </c:pt>
                <c:pt idx="7">
                  <c:v>0.83469166539968442</c:v>
                </c:pt>
                <c:pt idx="8">
                  <c:v>0.82210257570386758</c:v>
                </c:pt>
                <c:pt idx="9">
                  <c:v>0.81663855340468738</c:v>
                </c:pt>
                <c:pt idx="10">
                  <c:v>0.80271076032264532</c:v>
                </c:pt>
                <c:pt idx="11">
                  <c:v>0.79776364516335929</c:v>
                </c:pt>
                <c:pt idx="12">
                  <c:v>0.79109066809195117</c:v>
                </c:pt>
                <c:pt idx="13">
                  <c:v>0.78028860233141639</c:v>
                </c:pt>
                <c:pt idx="14">
                  <c:v>0.77633039005610083</c:v>
                </c:pt>
                <c:pt idx="15">
                  <c:v>0.77429106722708985</c:v>
                </c:pt>
                <c:pt idx="16">
                  <c:v>0.77246888411733894</c:v>
                </c:pt>
                <c:pt idx="17">
                  <c:v>0.76977661905425099</c:v>
                </c:pt>
                <c:pt idx="18">
                  <c:v>0.76873617213507384</c:v>
                </c:pt>
                <c:pt idx="19">
                  <c:v>0.76873617213507384</c:v>
                </c:pt>
                <c:pt idx="20">
                  <c:v>0.76873617213507384</c:v>
                </c:pt>
                <c:pt idx="21">
                  <c:v>0.76873617213507384</c:v>
                </c:pt>
                <c:pt idx="22">
                  <c:v>0.76873617213507384</c:v>
                </c:pt>
                <c:pt idx="23">
                  <c:v>0.76873617213507384</c:v>
                </c:pt>
                <c:pt idx="24">
                  <c:v>0.76873617213507384</c:v>
                </c:pt>
                <c:pt idx="25">
                  <c:v>0.76873617213507384</c:v>
                </c:pt>
                <c:pt idx="26">
                  <c:v>0.76873617213507384</c:v>
                </c:pt>
                <c:pt idx="27">
                  <c:v>0.76873617213507384</c:v>
                </c:pt>
                <c:pt idx="28">
                  <c:v>0.76873617213507384</c:v>
                </c:pt>
                <c:pt idx="29">
                  <c:v>0.76873617213507384</c:v>
                </c:pt>
                <c:pt idx="30">
                  <c:v>0.76873617213507384</c:v>
                </c:pt>
                <c:pt idx="31">
                  <c:v>0.76873617213507384</c:v>
                </c:pt>
                <c:pt idx="32">
                  <c:v>0.76873617213507384</c:v>
                </c:pt>
                <c:pt idx="33">
                  <c:v>0.76873617213507384</c:v>
                </c:pt>
                <c:pt idx="34">
                  <c:v>0.76873617213507384</c:v>
                </c:pt>
                <c:pt idx="35">
                  <c:v>0.76873617213507384</c:v>
                </c:pt>
                <c:pt idx="36">
                  <c:v>0.76873617213507384</c:v>
                </c:pt>
                <c:pt idx="37">
                  <c:v>0.76873617213507384</c:v>
                </c:pt>
                <c:pt idx="38">
                  <c:v>0.76873617213507384</c:v>
                </c:pt>
                <c:pt idx="39">
                  <c:v>0.76873617213507384</c:v>
                </c:pt>
                <c:pt idx="40">
                  <c:v>0.76873617213507384</c:v>
                </c:pt>
                <c:pt idx="41">
                  <c:v>0.76873617213507384</c:v>
                </c:pt>
                <c:pt idx="42">
                  <c:v>0.76873617213507384</c:v>
                </c:pt>
                <c:pt idx="43">
                  <c:v>0.76873617213507384</c:v>
                </c:pt>
                <c:pt idx="44">
                  <c:v>0.76873617213507384</c:v>
                </c:pt>
                <c:pt idx="45">
                  <c:v>0.76873617213507384</c:v>
                </c:pt>
                <c:pt idx="46">
                  <c:v>0.76873617213507384</c:v>
                </c:pt>
                <c:pt idx="47">
                  <c:v>0.76873617213507384</c:v>
                </c:pt>
                <c:pt idx="48">
                  <c:v>0.76873617213507384</c:v>
                </c:pt>
                <c:pt idx="49">
                  <c:v>0.76873617213507384</c:v>
                </c:pt>
                <c:pt idx="50">
                  <c:v>0.76873617213507384</c:v>
                </c:pt>
                <c:pt idx="51">
                  <c:v>0.76873617213507384</c:v>
                </c:pt>
                <c:pt idx="52">
                  <c:v>0.76873617213507384</c:v>
                </c:pt>
                <c:pt idx="53">
                  <c:v>0.76873617213507384</c:v>
                </c:pt>
                <c:pt idx="54">
                  <c:v>0.76897266017719046</c:v>
                </c:pt>
                <c:pt idx="55">
                  <c:v>0.77246888411733894</c:v>
                </c:pt>
                <c:pt idx="56">
                  <c:v>0.77939748630592853</c:v>
                </c:pt>
                <c:pt idx="57">
                  <c:v>0.78676227194841841</c:v>
                </c:pt>
                <c:pt idx="58">
                  <c:v>0.78957681462127782</c:v>
                </c:pt>
                <c:pt idx="59">
                  <c:v>0.8158466002974849</c:v>
                </c:pt>
                <c:pt idx="60">
                  <c:v>0.83568473851655356</c:v>
                </c:pt>
                <c:pt idx="61">
                  <c:v>0.84118451196822008</c:v>
                </c:pt>
                <c:pt idx="62">
                  <c:v>0.84815179527956031</c:v>
                </c:pt>
                <c:pt idx="63">
                  <c:v>0.85313938863252148</c:v>
                </c:pt>
                <c:pt idx="64">
                  <c:v>0.85855675314506141</c:v>
                </c:pt>
                <c:pt idx="65">
                  <c:v>0.86718782291665275</c:v>
                </c:pt>
                <c:pt idx="66">
                  <c:v>0.8736582310246408</c:v>
                </c:pt>
                <c:pt idx="67">
                  <c:v>0.87549476535537596</c:v>
                </c:pt>
                <c:pt idx="68">
                  <c:v>0.87581882467741723</c:v>
                </c:pt>
                <c:pt idx="69">
                  <c:v>0.87704169289290501</c:v>
                </c:pt>
                <c:pt idx="70">
                  <c:v>0.8829009948388461</c:v>
                </c:pt>
                <c:pt idx="71">
                  <c:v>0.88472674651072725</c:v>
                </c:pt>
                <c:pt idx="72">
                  <c:v>0.88475132337076812</c:v>
                </c:pt>
                <c:pt idx="73">
                  <c:v>0.88876868225837324</c:v>
                </c:pt>
                <c:pt idx="74">
                  <c:v>0.89853770002857758</c:v>
                </c:pt>
                <c:pt idx="75">
                  <c:v>0.906184743331368</c:v>
                </c:pt>
                <c:pt idx="76">
                  <c:v>0.91075403079723238</c:v>
                </c:pt>
                <c:pt idx="77">
                  <c:v>0.91413398938996782</c:v>
                </c:pt>
                <c:pt idx="78">
                  <c:v>0.91637709332287931</c:v>
                </c:pt>
                <c:pt idx="79">
                  <c:v>0.91709110334985222</c:v>
                </c:pt>
                <c:pt idx="80">
                  <c:v>0.91840243688282219</c:v>
                </c:pt>
                <c:pt idx="81">
                  <c:v>0.91999196453836773</c:v>
                </c:pt>
                <c:pt idx="82">
                  <c:v>0.9206703725757216</c:v>
                </c:pt>
                <c:pt idx="83">
                  <c:v>0.92227553062018763</c:v>
                </c:pt>
                <c:pt idx="84">
                  <c:v>0.92428596577639677</c:v>
                </c:pt>
                <c:pt idx="85">
                  <c:v>0.92485597425155086</c:v>
                </c:pt>
                <c:pt idx="86">
                  <c:v>0.92826665108147632</c:v>
                </c:pt>
                <c:pt idx="87">
                  <c:v>0.93237833473786891</c:v>
                </c:pt>
                <c:pt idx="88">
                  <c:v>0.93475508850496425</c:v>
                </c:pt>
                <c:pt idx="89">
                  <c:v>0.93523785976460827</c:v>
                </c:pt>
                <c:pt idx="90">
                  <c:v>0.93524916090167431</c:v>
                </c:pt>
                <c:pt idx="91">
                  <c:v>0.93950607227850658</c:v>
                </c:pt>
                <c:pt idx="92">
                  <c:v>0.94275233557295757</c:v>
                </c:pt>
                <c:pt idx="93">
                  <c:v>0.94338993355791245</c:v>
                </c:pt>
                <c:pt idx="94">
                  <c:v>0.94396822180322115</c:v>
                </c:pt>
                <c:pt idx="95">
                  <c:v>0.94799116515103932</c:v>
                </c:pt>
                <c:pt idx="96">
                  <c:v>0.94993829804980967</c:v>
                </c:pt>
                <c:pt idx="97">
                  <c:v>0.95424531169937299</c:v>
                </c:pt>
                <c:pt idx="98">
                  <c:v>0.95810986983781543</c:v>
                </c:pt>
                <c:pt idx="99">
                  <c:v>0.96256293131971349</c:v>
                </c:pt>
                <c:pt idx="100">
                  <c:v>0.96521415347129547</c:v>
                </c:pt>
                <c:pt idx="101">
                  <c:v>0.96636971420005502</c:v>
                </c:pt>
                <c:pt idx="102">
                  <c:v>0.96865789148865689</c:v>
                </c:pt>
                <c:pt idx="103">
                  <c:v>0.97007693880596035</c:v>
                </c:pt>
                <c:pt idx="104">
                  <c:v>0.97040935788930616</c:v>
                </c:pt>
                <c:pt idx="105">
                  <c:v>0.97040935788930616</c:v>
                </c:pt>
                <c:pt idx="106">
                  <c:v>0.97007693880596035</c:v>
                </c:pt>
                <c:pt idx="107">
                  <c:v>0.96865789148865689</c:v>
                </c:pt>
                <c:pt idx="108">
                  <c:v>0.96636971420005502</c:v>
                </c:pt>
                <c:pt idx="109">
                  <c:v>0.96521415347129547</c:v>
                </c:pt>
                <c:pt idx="110">
                  <c:v>0.96256293131971349</c:v>
                </c:pt>
                <c:pt idx="111">
                  <c:v>0.95810986983781543</c:v>
                </c:pt>
                <c:pt idx="112">
                  <c:v>0.95424531169937299</c:v>
                </c:pt>
                <c:pt idx="113">
                  <c:v>0.95424531169937299</c:v>
                </c:pt>
                <c:pt idx="114">
                  <c:v>0.94993829804980967</c:v>
                </c:pt>
                <c:pt idx="115">
                  <c:v>0.94631480068663976</c:v>
                </c:pt>
                <c:pt idx="116">
                  <c:v>0.93689327545051637</c:v>
                </c:pt>
                <c:pt idx="117">
                  <c:v>0.9337609864095624</c:v>
                </c:pt>
                <c:pt idx="118">
                  <c:v>0.91467076934522928</c:v>
                </c:pt>
                <c:pt idx="119">
                  <c:v>0.86884424001565275</c:v>
                </c:pt>
                <c:pt idx="120">
                  <c:v>0.86385888685664436</c:v>
                </c:pt>
                <c:pt idx="121">
                  <c:v>0.86328915122034711</c:v>
                </c:pt>
                <c:pt idx="122">
                  <c:v>0.84071562968607627</c:v>
                </c:pt>
                <c:pt idx="123">
                  <c:v>0.77513473449341697</c:v>
                </c:pt>
                <c:pt idx="124">
                  <c:v>0.75914317117073193</c:v>
                </c:pt>
                <c:pt idx="125">
                  <c:v>0.72360230745445675</c:v>
                </c:pt>
                <c:pt idx="126">
                  <c:v>0.69632903514284128</c:v>
                </c:pt>
                <c:pt idx="127">
                  <c:v>0.65869085370570946</c:v>
                </c:pt>
                <c:pt idx="128">
                  <c:v>0.61781604670112145</c:v>
                </c:pt>
                <c:pt idx="129">
                  <c:v>0.61561828453691825</c:v>
                </c:pt>
                <c:pt idx="130">
                  <c:v>0.60855770352898442</c:v>
                </c:pt>
                <c:pt idx="131">
                  <c:v>0.60855770352898442</c:v>
                </c:pt>
                <c:pt idx="132">
                  <c:v>0.60855770352898442</c:v>
                </c:pt>
                <c:pt idx="133">
                  <c:v>0.60855770352898442</c:v>
                </c:pt>
                <c:pt idx="134">
                  <c:v>0.60832534867670462</c:v>
                </c:pt>
                <c:pt idx="135">
                  <c:v>0.60832534867670462</c:v>
                </c:pt>
                <c:pt idx="136">
                  <c:v>0.60832534867670462</c:v>
                </c:pt>
                <c:pt idx="137">
                  <c:v>0.60832534867670462</c:v>
                </c:pt>
                <c:pt idx="138">
                  <c:v>0.60832534867670462</c:v>
                </c:pt>
                <c:pt idx="139">
                  <c:v>0.60832534867670462</c:v>
                </c:pt>
                <c:pt idx="140">
                  <c:v>0.60832534867670462</c:v>
                </c:pt>
                <c:pt idx="141">
                  <c:v>0.60832534867670462</c:v>
                </c:pt>
                <c:pt idx="142">
                  <c:v>0.60832534867670462</c:v>
                </c:pt>
                <c:pt idx="143">
                  <c:v>0.60832534867670462</c:v>
                </c:pt>
                <c:pt idx="144">
                  <c:v>0.60832534867670462</c:v>
                </c:pt>
                <c:pt idx="145">
                  <c:v>0.60832534867670462</c:v>
                </c:pt>
                <c:pt idx="146">
                  <c:v>0.60832534867670462</c:v>
                </c:pt>
                <c:pt idx="147">
                  <c:v>0.60832534867670462</c:v>
                </c:pt>
                <c:pt idx="148">
                  <c:v>0.60832534867670462</c:v>
                </c:pt>
                <c:pt idx="149">
                  <c:v>0.60832534867670462</c:v>
                </c:pt>
                <c:pt idx="150">
                  <c:v>0.60832534867670462</c:v>
                </c:pt>
                <c:pt idx="151">
                  <c:v>0.60832534867670462</c:v>
                </c:pt>
                <c:pt idx="152">
                  <c:v>0.60832534867670462</c:v>
                </c:pt>
                <c:pt idx="153">
                  <c:v>0.60832534867670462</c:v>
                </c:pt>
                <c:pt idx="154">
                  <c:v>0.60832534867670462</c:v>
                </c:pt>
                <c:pt idx="155">
                  <c:v>0.60832534867670462</c:v>
                </c:pt>
                <c:pt idx="156">
                  <c:v>0.60832534867670462</c:v>
                </c:pt>
                <c:pt idx="157">
                  <c:v>0.60832534867670462</c:v>
                </c:pt>
                <c:pt idx="158">
                  <c:v>0.60832534867670462</c:v>
                </c:pt>
                <c:pt idx="159">
                  <c:v>0.60832534867670462</c:v>
                </c:pt>
                <c:pt idx="160">
                  <c:v>0.60832534867670462</c:v>
                </c:pt>
                <c:pt idx="161">
                  <c:v>0.60832534867670462</c:v>
                </c:pt>
                <c:pt idx="162">
                  <c:v>0.60832534867670462</c:v>
                </c:pt>
                <c:pt idx="163">
                  <c:v>0.60832534867670462</c:v>
                </c:pt>
                <c:pt idx="164">
                  <c:v>0.60832534867670462</c:v>
                </c:pt>
                <c:pt idx="165">
                  <c:v>0.60832534867670462</c:v>
                </c:pt>
                <c:pt idx="166">
                  <c:v>0.60832534867670462</c:v>
                </c:pt>
                <c:pt idx="167">
                  <c:v>0.60832534867670462</c:v>
                </c:pt>
                <c:pt idx="168">
                  <c:v>0.60832534867670462</c:v>
                </c:pt>
                <c:pt idx="169">
                  <c:v>0.60832534867670462</c:v>
                </c:pt>
                <c:pt idx="170">
                  <c:v>0.61508786220846379</c:v>
                </c:pt>
                <c:pt idx="171">
                  <c:v>0.63225805956942249</c:v>
                </c:pt>
                <c:pt idx="172">
                  <c:v>0.64156364460580118</c:v>
                </c:pt>
                <c:pt idx="173">
                  <c:v>0.6500031326824377</c:v>
                </c:pt>
                <c:pt idx="174">
                  <c:v>0.65707203811703596</c:v>
                </c:pt>
                <c:pt idx="175">
                  <c:v>0.66027291385118514</c:v>
                </c:pt>
                <c:pt idx="176">
                  <c:v>0.66636039194362251</c:v>
                </c:pt>
                <c:pt idx="177">
                  <c:v>0.67094559801041842</c:v>
                </c:pt>
                <c:pt idx="178">
                  <c:v>0.68504214099784133</c:v>
                </c:pt>
                <c:pt idx="179">
                  <c:v>0.69197710209632579</c:v>
                </c:pt>
                <c:pt idx="180">
                  <c:v>0.69842729786125268</c:v>
                </c:pt>
                <c:pt idx="181">
                  <c:v>0.70499720155793444</c:v>
                </c:pt>
                <c:pt idx="182">
                  <c:v>0.70702036771565013</c:v>
                </c:pt>
                <c:pt idx="183">
                  <c:v>0.70780344589216515</c:v>
                </c:pt>
                <c:pt idx="184">
                  <c:v>0.70898484621120372</c:v>
                </c:pt>
                <c:pt idx="185">
                  <c:v>0.70947346694715474</c:v>
                </c:pt>
                <c:pt idx="186">
                  <c:v>0.71297817700289956</c:v>
                </c:pt>
                <c:pt idx="187">
                  <c:v>0.71712091838545688</c:v>
                </c:pt>
                <c:pt idx="188">
                  <c:v>0.71980686816301642</c:v>
                </c:pt>
                <c:pt idx="189">
                  <c:v>0.72570457968375512</c:v>
                </c:pt>
                <c:pt idx="190">
                  <c:v>0.7292408426590673</c:v>
                </c:pt>
                <c:pt idx="191">
                  <c:v>0.72986029785053663</c:v>
                </c:pt>
                <c:pt idx="192">
                  <c:v>0.74720930898211357</c:v>
                </c:pt>
                <c:pt idx="193">
                  <c:v>0.76006518308744031</c:v>
                </c:pt>
                <c:pt idx="194">
                  <c:v>0.76706624387111644</c:v>
                </c:pt>
                <c:pt idx="195">
                  <c:v>0.76724561264267077</c:v>
                </c:pt>
                <c:pt idx="196">
                  <c:v>0.77973629169328162</c:v>
                </c:pt>
                <c:pt idx="197">
                  <c:v>0.78646682491194875</c:v>
                </c:pt>
                <c:pt idx="198">
                  <c:v>0.78721786208022304</c:v>
                </c:pt>
                <c:pt idx="199">
                  <c:v>0.79214303843733236</c:v>
                </c:pt>
                <c:pt idx="200">
                  <c:v>0.79214303843733236</c:v>
                </c:pt>
                <c:pt idx="201">
                  <c:v>0.79214303843733236</c:v>
                </c:pt>
                <c:pt idx="202">
                  <c:v>0.79214303843733236</c:v>
                </c:pt>
                <c:pt idx="203">
                  <c:v>0.79214303843733236</c:v>
                </c:pt>
                <c:pt idx="204">
                  <c:v>0.79214303843733236</c:v>
                </c:pt>
                <c:pt idx="205">
                  <c:v>0.79214303843733236</c:v>
                </c:pt>
                <c:pt idx="206">
                  <c:v>0.79214303843733236</c:v>
                </c:pt>
                <c:pt idx="207">
                  <c:v>0.79214303843733236</c:v>
                </c:pt>
                <c:pt idx="208">
                  <c:v>0.79214303843733236</c:v>
                </c:pt>
                <c:pt idx="209">
                  <c:v>0.78721786208022304</c:v>
                </c:pt>
                <c:pt idx="210">
                  <c:v>0.78721786208022304</c:v>
                </c:pt>
                <c:pt idx="211">
                  <c:v>0.79214303843733236</c:v>
                </c:pt>
                <c:pt idx="212">
                  <c:v>0.78721786208022304</c:v>
                </c:pt>
                <c:pt idx="213">
                  <c:v>0.78653797908655898</c:v>
                </c:pt>
                <c:pt idx="214">
                  <c:v>0.78653797908655898</c:v>
                </c:pt>
                <c:pt idx="215">
                  <c:v>0.78532593550980612</c:v>
                </c:pt>
                <c:pt idx="216">
                  <c:v>0.78532593550980612</c:v>
                </c:pt>
                <c:pt idx="217">
                  <c:v>0.78387053273030594</c:v>
                </c:pt>
                <c:pt idx="218">
                  <c:v>0.78387053273030594</c:v>
                </c:pt>
                <c:pt idx="219">
                  <c:v>0.78328957598120552</c:v>
                </c:pt>
                <c:pt idx="220">
                  <c:v>0.78187916895746679</c:v>
                </c:pt>
                <c:pt idx="221">
                  <c:v>0.78117520260939888</c:v>
                </c:pt>
                <c:pt idx="222">
                  <c:v>0.78073465867069736</c:v>
                </c:pt>
                <c:pt idx="223">
                  <c:v>0.7797207315485386</c:v>
                </c:pt>
                <c:pt idx="224">
                  <c:v>0.7797207315485386</c:v>
                </c:pt>
                <c:pt idx="225">
                  <c:v>0.77699959245394701</c:v>
                </c:pt>
                <c:pt idx="226">
                  <c:v>0.77634441995837367</c:v>
                </c:pt>
                <c:pt idx="227">
                  <c:v>0.77634441995837367</c:v>
                </c:pt>
                <c:pt idx="228">
                  <c:v>0.77572767276966714</c:v>
                </c:pt>
                <c:pt idx="229">
                  <c:v>0.77526042016990637</c:v>
                </c:pt>
                <c:pt idx="230">
                  <c:v>0.77437207381521711</c:v>
                </c:pt>
                <c:pt idx="231">
                  <c:v>0.77212514094341955</c:v>
                </c:pt>
                <c:pt idx="232">
                  <c:v>0.77047093272386502</c:v>
                </c:pt>
                <c:pt idx="233">
                  <c:v>0.76861151116800985</c:v>
                </c:pt>
                <c:pt idx="234">
                  <c:v>0.76573740770487142</c:v>
                </c:pt>
                <c:pt idx="235">
                  <c:v>0.76397932629411014</c:v>
                </c:pt>
                <c:pt idx="236">
                  <c:v>0.75986535154467949</c:v>
                </c:pt>
                <c:pt idx="237">
                  <c:v>0.75674633060490315</c:v>
                </c:pt>
                <c:pt idx="238">
                  <c:v>0.75674633060490315</c:v>
                </c:pt>
                <c:pt idx="239">
                  <c:v>0.75674633060490315</c:v>
                </c:pt>
                <c:pt idx="240">
                  <c:v>0.75674633060490315</c:v>
                </c:pt>
                <c:pt idx="241">
                  <c:v>0.75674633060490315</c:v>
                </c:pt>
                <c:pt idx="242">
                  <c:v>0.75674633060490315</c:v>
                </c:pt>
                <c:pt idx="243">
                  <c:v>0.75674633060490315</c:v>
                </c:pt>
                <c:pt idx="244">
                  <c:v>0.75674633060490315</c:v>
                </c:pt>
                <c:pt idx="245">
                  <c:v>0.75674633060490315</c:v>
                </c:pt>
                <c:pt idx="246">
                  <c:v>0.75674633060490315</c:v>
                </c:pt>
                <c:pt idx="247">
                  <c:v>0.75674633060490315</c:v>
                </c:pt>
                <c:pt idx="248">
                  <c:v>0.75674633060490315</c:v>
                </c:pt>
                <c:pt idx="249">
                  <c:v>0.75456619291465821</c:v>
                </c:pt>
                <c:pt idx="250">
                  <c:v>0.75456619291465821</c:v>
                </c:pt>
                <c:pt idx="251">
                  <c:v>0.75456619291465821</c:v>
                </c:pt>
                <c:pt idx="252">
                  <c:v>0.75456619291465821</c:v>
                </c:pt>
                <c:pt idx="253">
                  <c:v>0.75632690085040966</c:v>
                </c:pt>
                <c:pt idx="254">
                  <c:v>0.75325413585783141</c:v>
                </c:pt>
                <c:pt idx="255">
                  <c:v>0.75325413585783141</c:v>
                </c:pt>
                <c:pt idx="256">
                  <c:v>0.75496278642708781</c:v>
                </c:pt>
                <c:pt idx="257">
                  <c:v>0.75592848575613936</c:v>
                </c:pt>
                <c:pt idx="258">
                  <c:v>0.75701655235474019</c:v>
                </c:pt>
                <c:pt idx="259">
                  <c:v>0.75701655235474019</c:v>
                </c:pt>
                <c:pt idx="260">
                  <c:v>0.75701655235474019</c:v>
                </c:pt>
                <c:pt idx="261">
                  <c:v>0.75701655235474019</c:v>
                </c:pt>
                <c:pt idx="262">
                  <c:v>0.75701655235474019</c:v>
                </c:pt>
                <c:pt idx="263">
                  <c:v>0.75701655235474019</c:v>
                </c:pt>
                <c:pt idx="264">
                  <c:v>0.75701655235474019</c:v>
                </c:pt>
                <c:pt idx="265">
                  <c:v>0.75701655235474019</c:v>
                </c:pt>
                <c:pt idx="266">
                  <c:v>0.75701655235474019</c:v>
                </c:pt>
                <c:pt idx="267">
                  <c:v>0.75701655235474019</c:v>
                </c:pt>
                <c:pt idx="268">
                  <c:v>0.75592848575613936</c:v>
                </c:pt>
                <c:pt idx="269">
                  <c:v>0.75496278642708781</c:v>
                </c:pt>
                <c:pt idx="270">
                  <c:v>0.75325413585783141</c:v>
                </c:pt>
                <c:pt idx="271">
                  <c:v>0.75325413585783141</c:v>
                </c:pt>
                <c:pt idx="272">
                  <c:v>0.75303467378360534</c:v>
                </c:pt>
                <c:pt idx="273">
                  <c:v>0.75268788932549069</c:v>
                </c:pt>
                <c:pt idx="274">
                  <c:v>0.75154762421522125</c:v>
                </c:pt>
                <c:pt idx="275">
                  <c:v>0.75123423875178341</c:v>
                </c:pt>
                <c:pt idx="276">
                  <c:v>0.74778419038301158</c:v>
                </c:pt>
                <c:pt idx="277">
                  <c:v>0.74457497599913491</c:v>
                </c:pt>
                <c:pt idx="278">
                  <c:v>0.74034836488212885</c:v>
                </c:pt>
                <c:pt idx="279">
                  <c:v>0.73877708943345632</c:v>
                </c:pt>
                <c:pt idx="280">
                  <c:v>0.73715565156141083</c:v>
                </c:pt>
                <c:pt idx="281">
                  <c:v>0.73715565156141083</c:v>
                </c:pt>
                <c:pt idx="282">
                  <c:v>0.73715565156141083</c:v>
                </c:pt>
                <c:pt idx="283">
                  <c:v>0.73877708943345632</c:v>
                </c:pt>
                <c:pt idx="284">
                  <c:v>0.74034836488212885</c:v>
                </c:pt>
                <c:pt idx="285">
                  <c:v>0.74370773064133766</c:v>
                </c:pt>
                <c:pt idx="286">
                  <c:v>0.74370773064133766</c:v>
                </c:pt>
                <c:pt idx="287">
                  <c:v>0.75030528493821924</c:v>
                </c:pt>
                <c:pt idx="288">
                  <c:v>0.75030528493821924</c:v>
                </c:pt>
                <c:pt idx="289">
                  <c:v>0.75082221006487981</c:v>
                </c:pt>
                <c:pt idx="290">
                  <c:v>0.75082221006487981</c:v>
                </c:pt>
                <c:pt idx="291">
                  <c:v>0.75082221006487981</c:v>
                </c:pt>
                <c:pt idx="292">
                  <c:v>0.75082221006487981</c:v>
                </c:pt>
                <c:pt idx="293">
                  <c:v>0.74570649551226331</c:v>
                </c:pt>
                <c:pt idx="294">
                  <c:v>0.74370773064133766</c:v>
                </c:pt>
                <c:pt idx="295">
                  <c:v>0.73985053807564327</c:v>
                </c:pt>
                <c:pt idx="296">
                  <c:v>0.73715565156141083</c:v>
                </c:pt>
                <c:pt idx="297">
                  <c:v>0.73573500556125138</c:v>
                </c:pt>
                <c:pt idx="298">
                  <c:v>0.73032587054490505</c:v>
                </c:pt>
                <c:pt idx="299">
                  <c:v>0.72333428891362195</c:v>
                </c:pt>
                <c:pt idx="300">
                  <c:v>0.72249625266724582</c:v>
                </c:pt>
                <c:pt idx="301">
                  <c:v>0.72028613078329673</c:v>
                </c:pt>
                <c:pt idx="302">
                  <c:v>0.71791512021307402</c:v>
                </c:pt>
                <c:pt idx="303">
                  <c:v>0.71537425437874469</c:v>
                </c:pt>
                <c:pt idx="304">
                  <c:v>0.7136048403227282</c:v>
                </c:pt>
                <c:pt idx="305">
                  <c:v>0.71166641131162856</c:v>
                </c:pt>
                <c:pt idx="306">
                  <c:v>0.7101235519531478</c:v>
                </c:pt>
                <c:pt idx="307">
                  <c:v>0.70396824844681249</c:v>
                </c:pt>
                <c:pt idx="308">
                  <c:v>0.69304221310433045</c:v>
                </c:pt>
                <c:pt idx="309">
                  <c:v>0.68929078517072118</c:v>
                </c:pt>
                <c:pt idx="310">
                  <c:v>0.68071145865940419</c:v>
                </c:pt>
                <c:pt idx="311">
                  <c:v>0.6734831399574317</c:v>
                </c:pt>
                <c:pt idx="312">
                  <c:v>0.67215782387197831</c:v>
                </c:pt>
                <c:pt idx="313">
                  <c:v>0.66894678706403921</c:v>
                </c:pt>
                <c:pt idx="314">
                  <c:v>0.66478936637960562</c:v>
                </c:pt>
                <c:pt idx="315">
                  <c:v>0.65862484138658728</c:v>
                </c:pt>
                <c:pt idx="316">
                  <c:v>0.65390431026738483</c:v>
                </c:pt>
                <c:pt idx="317">
                  <c:v>0.65086401401427119</c:v>
                </c:pt>
                <c:pt idx="318">
                  <c:v>0.64738944501280127</c:v>
                </c:pt>
                <c:pt idx="319">
                  <c:v>0.64719002572805373</c:v>
                </c:pt>
                <c:pt idx="320">
                  <c:v>0.64719002572805373</c:v>
                </c:pt>
                <c:pt idx="321">
                  <c:v>0.64719002572805373</c:v>
                </c:pt>
                <c:pt idx="322">
                  <c:v>0.64535390277860194</c:v>
                </c:pt>
                <c:pt idx="323">
                  <c:v>0.64156663437930195</c:v>
                </c:pt>
                <c:pt idx="324">
                  <c:v>0.64095761569037868</c:v>
                </c:pt>
                <c:pt idx="325">
                  <c:v>0.63850244101050135</c:v>
                </c:pt>
                <c:pt idx="326">
                  <c:v>0.6356883995834911</c:v>
                </c:pt>
                <c:pt idx="327">
                  <c:v>0.6356883995834911</c:v>
                </c:pt>
                <c:pt idx="328">
                  <c:v>0.6356883995834911</c:v>
                </c:pt>
                <c:pt idx="329">
                  <c:v>0.6356883995834911</c:v>
                </c:pt>
                <c:pt idx="330">
                  <c:v>0.6356883995834911</c:v>
                </c:pt>
                <c:pt idx="331">
                  <c:v>0.6356883995834911</c:v>
                </c:pt>
                <c:pt idx="332">
                  <c:v>0.6356883995834911</c:v>
                </c:pt>
                <c:pt idx="333">
                  <c:v>0.6356883995834911</c:v>
                </c:pt>
                <c:pt idx="334">
                  <c:v>0.6356883995834911</c:v>
                </c:pt>
                <c:pt idx="335">
                  <c:v>0.6356883995834911</c:v>
                </c:pt>
                <c:pt idx="336">
                  <c:v>0.6356883995834911</c:v>
                </c:pt>
                <c:pt idx="337">
                  <c:v>0.6356883995834911</c:v>
                </c:pt>
                <c:pt idx="338">
                  <c:v>0.6356883995834911</c:v>
                </c:pt>
                <c:pt idx="339">
                  <c:v>0.6356883995834911</c:v>
                </c:pt>
                <c:pt idx="340">
                  <c:v>0.6356883995834911</c:v>
                </c:pt>
                <c:pt idx="341">
                  <c:v>0.6356883995834911</c:v>
                </c:pt>
                <c:pt idx="342">
                  <c:v>0.6356883995834911</c:v>
                </c:pt>
                <c:pt idx="343">
                  <c:v>0.6356883995834911</c:v>
                </c:pt>
                <c:pt idx="344">
                  <c:v>0.6356883995834911</c:v>
                </c:pt>
                <c:pt idx="345">
                  <c:v>0.6356883995834911</c:v>
                </c:pt>
                <c:pt idx="346">
                  <c:v>0.6356883995834911</c:v>
                </c:pt>
                <c:pt idx="347">
                  <c:v>0.6356883995834911</c:v>
                </c:pt>
                <c:pt idx="348">
                  <c:v>0.6356883995834911</c:v>
                </c:pt>
                <c:pt idx="349">
                  <c:v>0.6356883995834911</c:v>
                </c:pt>
                <c:pt idx="350">
                  <c:v>0.6356883995834911</c:v>
                </c:pt>
                <c:pt idx="351">
                  <c:v>0.63511384055898379</c:v>
                </c:pt>
                <c:pt idx="352">
                  <c:v>0.63353019036455549</c:v>
                </c:pt>
                <c:pt idx="353">
                  <c:v>0.63251947949130893</c:v>
                </c:pt>
                <c:pt idx="354">
                  <c:v>0.63209917907820268</c:v>
                </c:pt>
                <c:pt idx="355">
                  <c:v>0.63085443803515218</c:v>
                </c:pt>
                <c:pt idx="356">
                  <c:v>0.62861152605837567</c:v>
                </c:pt>
                <c:pt idx="357">
                  <c:v>0.62814826406320157</c:v>
                </c:pt>
                <c:pt idx="358">
                  <c:v>0.6262898393622276</c:v>
                </c:pt>
                <c:pt idx="359">
                  <c:v>0.62187996039220506</c:v>
                </c:pt>
                <c:pt idx="360">
                  <c:v>0.61972392957560885</c:v>
                </c:pt>
                <c:pt idx="361">
                  <c:v>0.61972392957560885</c:v>
                </c:pt>
                <c:pt idx="362">
                  <c:v>0.61862847192060944</c:v>
                </c:pt>
                <c:pt idx="363">
                  <c:v>0.61972392957560885</c:v>
                </c:pt>
                <c:pt idx="364">
                  <c:v>0.61972392957560885</c:v>
                </c:pt>
                <c:pt idx="365">
                  <c:v>0.61849945047968413</c:v>
                </c:pt>
                <c:pt idx="366">
                  <c:v>0.61578174756036419</c:v>
                </c:pt>
                <c:pt idx="367">
                  <c:v>0.61533792392060105</c:v>
                </c:pt>
                <c:pt idx="368">
                  <c:v>0.61507368721270439</c:v>
                </c:pt>
                <c:pt idx="369">
                  <c:v>0.61507368721270439</c:v>
                </c:pt>
                <c:pt idx="370">
                  <c:v>0.61507368721270439</c:v>
                </c:pt>
                <c:pt idx="371">
                  <c:v>0.61533792392060105</c:v>
                </c:pt>
                <c:pt idx="372">
                  <c:v>0.61533792392060105</c:v>
                </c:pt>
                <c:pt idx="373">
                  <c:v>0.61533792392060105</c:v>
                </c:pt>
                <c:pt idx="374">
                  <c:v>0.61533792392060105</c:v>
                </c:pt>
                <c:pt idx="375">
                  <c:v>0.6156922787077328</c:v>
                </c:pt>
                <c:pt idx="376">
                  <c:v>0.61589065590355641</c:v>
                </c:pt>
                <c:pt idx="377">
                  <c:v>0.6156922787077328</c:v>
                </c:pt>
                <c:pt idx="378">
                  <c:v>0.61533792392060105</c:v>
                </c:pt>
                <c:pt idx="379">
                  <c:v>0.61507368721270439</c:v>
                </c:pt>
                <c:pt idx="380">
                  <c:v>0.61373455845286906</c:v>
                </c:pt>
                <c:pt idx="381">
                  <c:v>0.61095215739259434</c:v>
                </c:pt>
                <c:pt idx="382">
                  <c:v>0.60787370701606969</c:v>
                </c:pt>
                <c:pt idx="383">
                  <c:v>0.60207785230423905</c:v>
                </c:pt>
                <c:pt idx="384">
                  <c:v>0.60157646192233738</c:v>
                </c:pt>
                <c:pt idx="385">
                  <c:v>0.60106077529188862</c:v>
                </c:pt>
                <c:pt idx="386">
                  <c:v>0.59960788402047127</c:v>
                </c:pt>
                <c:pt idx="387">
                  <c:v>0.59717037827846553</c:v>
                </c:pt>
                <c:pt idx="388">
                  <c:v>0.59679605182778428</c:v>
                </c:pt>
                <c:pt idx="389">
                  <c:v>0.59616001174428335</c:v>
                </c:pt>
                <c:pt idx="390">
                  <c:v>0.59227155432289968</c:v>
                </c:pt>
                <c:pt idx="391">
                  <c:v>0.58358392670118997</c:v>
                </c:pt>
                <c:pt idx="392">
                  <c:v>0.58084260989487624</c:v>
                </c:pt>
                <c:pt idx="393">
                  <c:v>0.57831463939898342</c:v>
                </c:pt>
                <c:pt idx="394">
                  <c:v>0.5762586701236122</c:v>
                </c:pt>
                <c:pt idx="395">
                  <c:v>0.57569416194130163</c:v>
                </c:pt>
                <c:pt idx="396">
                  <c:v>0.57339616853062969</c:v>
                </c:pt>
                <c:pt idx="397">
                  <c:v>0.56787195243500888</c:v>
                </c:pt>
                <c:pt idx="398">
                  <c:v>0.561005440119281</c:v>
                </c:pt>
                <c:pt idx="399">
                  <c:v>0.54224138454222559</c:v>
                </c:pt>
                <c:pt idx="400">
                  <c:v>0.54224138454222559</c:v>
                </c:pt>
                <c:pt idx="401">
                  <c:v>0.54224138454222559</c:v>
                </c:pt>
                <c:pt idx="402">
                  <c:v>0.54224138454222559</c:v>
                </c:pt>
                <c:pt idx="403">
                  <c:v>0.54224138454222559</c:v>
                </c:pt>
                <c:pt idx="404">
                  <c:v>0.54224138454222559</c:v>
                </c:pt>
                <c:pt idx="405">
                  <c:v>0.54224138454222559</c:v>
                </c:pt>
                <c:pt idx="406">
                  <c:v>0.54224138454222559</c:v>
                </c:pt>
                <c:pt idx="407">
                  <c:v>0.54224138454222559</c:v>
                </c:pt>
                <c:pt idx="408">
                  <c:v>0.54224138454222559</c:v>
                </c:pt>
                <c:pt idx="409">
                  <c:v>0.54224138454222559</c:v>
                </c:pt>
                <c:pt idx="410">
                  <c:v>0.54224138454222559</c:v>
                </c:pt>
                <c:pt idx="411">
                  <c:v>0.54224138454222559</c:v>
                </c:pt>
                <c:pt idx="412">
                  <c:v>0.54224138454222559</c:v>
                </c:pt>
                <c:pt idx="413">
                  <c:v>0.54224138454222559</c:v>
                </c:pt>
                <c:pt idx="414">
                  <c:v>0.54224138454222559</c:v>
                </c:pt>
                <c:pt idx="415">
                  <c:v>0.54224138454222559</c:v>
                </c:pt>
                <c:pt idx="416">
                  <c:v>0.54224138454222559</c:v>
                </c:pt>
                <c:pt idx="417">
                  <c:v>0.54224138454222559</c:v>
                </c:pt>
                <c:pt idx="418">
                  <c:v>0.54224138454222559</c:v>
                </c:pt>
                <c:pt idx="419">
                  <c:v>0.54224138454222559</c:v>
                </c:pt>
                <c:pt idx="420">
                  <c:v>0.54224138454222559</c:v>
                </c:pt>
                <c:pt idx="421">
                  <c:v>0.54224138454222559</c:v>
                </c:pt>
                <c:pt idx="422">
                  <c:v>0.54224138454222559</c:v>
                </c:pt>
                <c:pt idx="423">
                  <c:v>0.54224138454222559</c:v>
                </c:pt>
                <c:pt idx="424">
                  <c:v>0.54224138454222559</c:v>
                </c:pt>
                <c:pt idx="425">
                  <c:v>0.54224138454222559</c:v>
                </c:pt>
                <c:pt idx="426">
                  <c:v>0.54224138454222559</c:v>
                </c:pt>
                <c:pt idx="427">
                  <c:v>0.54224138454222559</c:v>
                </c:pt>
                <c:pt idx="428">
                  <c:v>0.54224138454222559</c:v>
                </c:pt>
                <c:pt idx="429">
                  <c:v>0.54224138454222559</c:v>
                </c:pt>
                <c:pt idx="430">
                  <c:v>0.54224138454222559</c:v>
                </c:pt>
                <c:pt idx="431">
                  <c:v>0.54224138454222559</c:v>
                </c:pt>
                <c:pt idx="432">
                  <c:v>0.54224138454222559</c:v>
                </c:pt>
                <c:pt idx="433">
                  <c:v>0.54224138454222559</c:v>
                </c:pt>
                <c:pt idx="434">
                  <c:v>0.54224138454222559</c:v>
                </c:pt>
                <c:pt idx="435">
                  <c:v>0.54224138454222559</c:v>
                </c:pt>
                <c:pt idx="436">
                  <c:v>0.54224138454222559</c:v>
                </c:pt>
                <c:pt idx="437">
                  <c:v>0.54224138454222559</c:v>
                </c:pt>
                <c:pt idx="438">
                  <c:v>0.54476484004612347</c:v>
                </c:pt>
                <c:pt idx="439">
                  <c:v>0.54674865058245015</c:v>
                </c:pt>
                <c:pt idx="440">
                  <c:v>0.55718962616653589</c:v>
                </c:pt>
                <c:pt idx="441">
                  <c:v>0.56387843518834357</c:v>
                </c:pt>
                <c:pt idx="442">
                  <c:v>0.63190194712845116</c:v>
                </c:pt>
                <c:pt idx="443">
                  <c:v>0.65771754787201286</c:v>
                </c:pt>
                <c:pt idx="444">
                  <c:v>0.65949341129961569</c:v>
                </c:pt>
                <c:pt idx="445">
                  <c:v>0.66587761200131235</c:v>
                </c:pt>
                <c:pt idx="446">
                  <c:v>0.67964598236031393</c:v>
                </c:pt>
                <c:pt idx="447">
                  <c:v>0.68885184233987984</c:v>
                </c:pt>
                <c:pt idx="448">
                  <c:v>0.69767596879731952</c:v>
                </c:pt>
                <c:pt idx="449">
                  <c:v>0.69767596879731952</c:v>
                </c:pt>
                <c:pt idx="450">
                  <c:v>0.69767596879731952</c:v>
                </c:pt>
                <c:pt idx="451">
                  <c:v>0.69767596879731952</c:v>
                </c:pt>
                <c:pt idx="452">
                  <c:v>0.69767596879731952</c:v>
                </c:pt>
                <c:pt idx="453">
                  <c:v>0.69767596879731952</c:v>
                </c:pt>
                <c:pt idx="454">
                  <c:v>0.69767596879731952</c:v>
                </c:pt>
                <c:pt idx="455">
                  <c:v>0.69767596879731952</c:v>
                </c:pt>
                <c:pt idx="456">
                  <c:v>0.70118530276297764</c:v>
                </c:pt>
                <c:pt idx="457">
                  <c:v>0.7024397596399059</c:v>
                </c:pt>
                <c:pt idx="458">
                  <c:v>0.70118530276297764</c:v>
                </c:pt>
                <c:pt idx="459">
                  <c:v>0.69767596879731952</c:v>
                </c:pt>
                <c:pt idx="460">
                  <c:v>0.68885184233987984</c:v>
                </c:pt>
                <c:pt idx="461">
                  <c:v>0.68885184233987984</c:v>
                </c:pt>
                <c:pt idx="462">
                  <c:v>0.68885184233987984</c:v>
                </c:pt>
                <c:pt idx="463">
                  <c:v>0.68885184233987984</c:v>
                </c:pt>
                <c:pt idx="464">
                  <c:v>0.69767596879731952</c:v>
                </c:pt>
                <c:pt idx="465">
                  <c:v>0.69767596879731952</c:v>
                </c:pt>
                <c:pt idx="466">
                  <c:v>0.69767596879731952</c:v>
                </c:pt>
                <c:pt idx="467">
                  <c:v>0.69767596879731952</c:v>
                </c:pt>
                <c:pt idx="468">
                  <c:v>0.69767596879731952</c:v>
                </c:pt>
                <c:pt idx="469">
                  <c:v>0.69767596879731952</c:v>
                </c:pt>
                <c:pt idx="470">
                  <c:v>0.69767596879731952</c:v>
                </c:pt>
                <c:pt idx="471">
                  <c:v>0.69767596879731952</c:v>
                </c:pt>
                <c:pt idx="472">
                  <c:v>0.69767596879731952</c:v>
                </c:pt>
                <c:pt idx="473">
                  <c:v>0.69767596879731952</c:v>
                </c:pt>
                <c:pt idx="474">
                  <c:v>0.69767596879731952</c:v>
                </c:pt>
                <c:pt idx="475">
                  <c:v>0.69767596879731952</c:v>
                </c:pt>
                <c:pt idx="476">
                  <c:v>0.69767596879731952</c:v>
                </c:pt>
                <c:pt idx="477">
                  <c:v>0.69767596879731952</c:v>
                </c:pt>
                <c:pt idx="478">
                  <c:v>0.69767596879731952</c:v>
                </c:pt>
                <c:pt idx="479">
                  <c:v>0.69767596879731952</c:v>
                </c:pt>
                <c:pt idx="480">
                  <c:v>0.69767596879731952</c:v>
                </c:pt>
                <c:pt idx="481">
                  <c:v>0.69767596879731952</c:v>
                </c:pt>
                <c:pt idx="482">
                  <c:v>0.69767596879731952</c:v>
                </c:pt>
                <c:pt idx="483">
                  <c:v>0.69767596879731952</c:v>
                </c:pt>
                <c:pt idx="484">
                  <c:v>0.69767596879731952</c:v>
                </c:pt>
                <c:pt idx="485">
                  <c:v>0.68945599154899884</c:v>
                </c:pt>
                <c:pt idx="486">
                  <c:v>0.68539210342576606</c:v>
                </c:pt>
                <c:pt idx="487">
                  <c:v>0.68364199177146989</c:v>
                </c:pt>
                <c:pt idx="488">
                  <c:v>0.68138274535561894</c:v>
                </c:pt>
                <c:pt idx="489">
                  <c:v>0.67471880020685027</c:v>
                </c:pt>
                <c:pt idx="490">
                  <c:v>0.67387797661688797</c:v>
                </c:pt>
                <c:pt idx="491">
                  <c:v>0.67387797661688797</c:v>
                </c:pt>
                <c:pt idx="492">
                  <c:v>0.67387797661688797</c:v>
                </c:pt>
                <c:pt idx="493">
                  <c:v>0.67387797661688797</c:v>
                </c:pt>
                <c:pt idx="494">
                  <c:v>0.67162873220775066</c:v>
                </c:pt>
                <c:pt idx="495">
                  <c:v>0.67162873220775066</c:v>
                </c:pt>
                <c:pt idx="496">
                  <c:v>0.66771033438264715</c:v>
                </c:pt>
                <c:pt idx="497">
                  <c:v>0.66705218459351823</c:v>
                </c:pt>
                <c:pt idx="498">
                  <c:v>0.66698575954922767</c:v>
                </c:pt>
                <c:pt idx="499">
                  <c:v>0.66693029245082291</c:v>
                </c:pt>
                <c:pt idx="500">
                  <c:v>0.66584700725409007</c:v>
                </c:pt>
                <c:pt idx="501">
                  <c:v>0.66241002924868109</c:v>
                </c:pt>
                <c:pt idx="502">
                  <c:v>0.6604905252270713</c:v>
                </c:pt>
                <c:pt idx="503">
                  <c:v>0.6569802823441504</c:v>
                </c:pt>
                <c:pt idx="504">
                  <c:v>0.6569802823441504</c:v>
                </c:pt>
                <c:pt idx="505">
                  <c:v>0.6569802823441504</c:v>
                </c:pt>
                <c:pt idx="506">
                  <c:v>0.6569802823441504</c:v>
                </c:pt>
                <c:pt idx="507">
                  <c:v>0.6569802823441504</c:v>
                </c:pt>
                <c:pt idx="508">
                  <c:v>0.65549757075194304</c:v>
                </c:pt>
                <c:pt idx="509">
                  <c:v>0.65549757075194304</c:v>
                </c:pt>
                <c:pt idx="510">
                  <c:v>0.65549757075194304</c:v>
                </c:pt>
                <c:pt idx="511">
                  <c:v>0.6532638369698851</c:v>
                </c:pt>
                <c:pt idx="512">
                  <c:v>0.647746742047274</c:v>
                </c:pt>
                <c:pt idx="513">
                  <c:v>0.64363120422749964</c:v>
                </c:pt>
                <c:pt idx="514">
                  <c:v>0.64115881108861872</c:v>
                </c:pt>
                <c:pt idx="515">
                  <c:v>0.63986115849287928</c:v>
                </c:pt>
                <c:pt idx="516">
                  <c:v>0.63657657708862248</c:v>
                </c:pt>
                <c:pt idx="517">
                  <c:v>0.63657657708862248</c:v>
                </c:pt>
                <c:pt idx="518">
                  <c:v>0.63657657708862248</c:v>
                </c:pt>
                <c:pt idx="519">
                  <c:v>0.63329226609088018</c:v>
                </c:pt>
                <c:pt idx="520">
                  <c:v>0.63329226609088018</c:v>
                </c:pt>
                <c:pt idx="521">
                  <c:v>0.63329226609088018</c:v>
                </c:pt>
                <c:pt idx="522">
                  <c:v>0.63329226609088018</c:v>
                </c:pt>
                <c:pt idx="523">
                  <c:v>0.63279888060615574</c:v>
                </c:pt>
                <c:pt idx="524">
                  <c:v>0.63218647991612453</c:v>
                </c:pt>
                <c:pt idx="525">
                  <c:v>0.6316438840588362</c:v>
                </c:pt>
                <c:pt idx="526">
                  <c:v>0.6316438840588362</c:v>
                </c:pt>
                <c:pt idx="527">
                  <c:v>0.63059142723607875</c:v>
                </c:pt>
                <c:pt idx="528">
                  <c:v>0.62847937004435428</c:v>
                </c:pt>
                <c:pt idx="529">
                  <c:v>0.6271689565466706</c:v>
                </c:pt>
                <c:pt idx="530">
                  <c:v>0.6253126352042766</c:v>
                </c:pt>
                <c:pt idx="531">
                  <c:v>0.6253126352042766</c:v>
                </c:pt>
                <c:pt idx="532">
                  <c:v>0.62437568135386901</c:v>
                </c:pt>
                <c:pt idx="533">
                  <c:v>0.62437568135386901</c:v>
                </c:pt>
                <c:pt idx="534">
                  <c:v>0.62287943700260406</c:v>
                </c:pt>
                <c:pt idx="535">
                  <c:v>0.62121482199530187</c:v>
                </c:pt>
                <c:pt idx="536">
                  <c:v>0.62081513757003659</c:v>
                </c:pt>
                <c:pt idx="537">
                  <c:v>0.62081513757003659</c:v>
                </c:pt>
                <c:pt idx="538">
                  <c:v>0.61986670122506649</c:v>
                </c:pt>
                <c:pt idx="539">
                  <c:v>0.61986670122506649</c:v>
                </c:pt>
                <c:pt idx="540">
                  <c:v>0.61986670122506649</c:v>
                </c:pt>
                <c:pt idx="541">
                  <c:v>0.61855853510372749</c:v>
                </c:pt>
                <c:pt idx="542">
                  <c:v>0.61796105723988592</c:v>
                </c:pt>
                <c:pt idx="543">
                  <c:v>0.61707343724386132</c:v>
                </c:pt>
                <c:pt idx="544">
                  <c:v>0.61551060893652543</c:v>
                </c:pt>
                <c:pt idx="545">
                  <c:v>0.61490030895261361</c:v>
                </c:pt>
                <c:pt idx="546">
                  <c:v>0.61302423388089955</c:v>
                </c:pt>
                <c:pt idx="547">
                  <c:v>0.61000677785049084</c:v>
                </c:pt>
                <c:pt idx="548">
                  <c:v>0.60550974351204812</c:v>
                </c:pt>
                <c:pt idx="549">
                  <c:v>0.60473046914447237</c:v>
                </c:pt>
                <c:pt idx="550">
                  <c:v>0.60473046914447237</c:v>
                </c:pt>
                <c:pt idx="551">
                  <c:v>0.60460661723487252</c:v>
                </c:pt>
                <c:pt idx="552">
                  <c:v>0.60399169056090773</c:v>
                </c:pt>
                <c:pt idx="553">
                  <c:v>0.60172617879692902</c:v>
                </c:pt>
                <c:pt idx="554">
                  <c:v>0.59976433554735031</c:v>
                </c:pt>
                <c:pt idx="555">
                  <c:v>0.59976433554735031</c:v>
                </c:pt>
                <c:pt idx="556">
                  <c:v>0.59943782964033643</c:v>
                </c:pt>
                <c:pt idx="557">
                  <c:v>0.59782683438916695</c:v>
                </c:pt>
                <c:pt idx="558">
                  <c:v>0.59782683438916695</c:v>
                </c:pt>
                <c:pt idx="559">
                  <c:v>0.59782683438916695</c:v>
                </c:pt>
                <c:pt idx="560">
                  <c:v>0.59782683438916695</c:v>
                </c:pt>
                <c:pt idx="561">
                  <c:v>0.59544472391904413</c:v>
                </c:pt>
                <c:pt idx="562">
                  <c:v>0.59339111491286711</c:v>
                </c:pt>
                <c:pt idx="563">
                  <c:v>0.59259755478298937</c:v>
                </c:pt>
                <c:pt idx="564">
                  <c:v>0.59100780912621598</c:v>
                </c:pt>
                <c:pt idx="565">
                  <c:v>0.5901975050767001</c:v>
                </c:pt>
                <c:pt idx="566">
                  <c:v>0.5901975050767001</c:v>
                </c:pt>
                <c:pt idx="567">
                  <c:v>0.5901975050767001</c:v>
                </c:pt>
                <c:pt idx="568">
                  <c:v>0.5901975050767001</c:v>
                </c:pt>
                <c:pt idx="569">
                  <c:v>0.5901975050767001</c:v>
                </c:pt>
                <c:pt idx="570">
                  <c:v>0.5901975050767001</c:v>
                </c:pt>
                <c:pt idx="571">
                  <c:v>0.5901975050767001</c:v>
                </c:pt>
                <c:pt idx="572">
                  <c:v>0.5901975050767001</c:v>
                </c:pt>
                <c:pt idx="573">
                  <c:v>0.5895429102950992</c:v>
                </c:pt>
                <c:pt idx="574">
                  <c:v>0.5895429102950992</c:v>
                </c:pt>
                <c:pt idx="575">
                  <c:v>0.5895429102950992</c:v>
                </c:pt>
                <c:pt idx="576">
                  <c:v>0.58909605404410925</c:v>
                </c:pt>
                <c:pt idx="577">
                  <c:v>0.58909605404410925</c:v>
                </c:pt>
                <c:pt idx="578">
                  <c:v>0.58909605404410925</c:v>
                </c:pt>
                <c:pt idx="579">
                  <c:v>0.58909605404410925</c:v>
                </c:pt>
                <c:pt idx="580">
                  <c:v>0.58909605404410925</c:v>
                </c:pt>
                <c:pt idx="581">
                  <c:v>0.58909605404410925</c:v>
                </c:pt>
                <c:pt idx="582">
                  <c:v>0.58821728305005394</c:v>
                </c:pt>
                <c:pt idx="583">
                  <c:v>0.58606285370947453</c:v>
                </c:pt>
                <c:pt idx="584">
                  <c:v>0.58478068518487203</c:v>
                </c:pt>
                <c:pt idx="585">
                  <c:v>0.58459101675226854</c:v>
                </c:pt>
                <c:pt idx="586">
                  <c:v>0.58414802357840734</c:v>
                </c:pt>
                <c:pt idx="587">
                  <c:v>0.58355887485890845</c:v>
                </c:pt>
                <c:pt idx="588">
                  <c:v>0.58264712752222358</c:v>
                </c:pt>
                <c:pt idx="589">
                  <c:v>0.58264712752222358</c:v>
                </c:pt>
                <c:pt idx="590">
                  <c:v>0.58264712752222358</c:v>
                </c:pt>
                <c:pt idx="591">
                  <c:v>0.58264712752222358</c:v>
                </c:pt>
                <c:pt idx="592">
                  <c:v>0.58264712752222358</c:v>
                </c:pt>
                <c:pt idx="593">
                  <c:v>0.58264712752222358</c:v>
                </c:pt>
                <c:pt idx="594">
                  <c:v>0.58264712752222358</c:v>
                </c:pt>
                <c:pt idx="595">
                  <c:v>0.58130235811915443</c:v>
                </c:pt>
                <c:pt idx="596">
                  <c:v>0.58130235811915443</c:v>
                </c:pt>
                <c:pt idx="597">
                  <c:v>0.58130235811915443</c:v>
                </c:pt>
                <c:pt idx="598">
                  <c:v>0.58130235811915443</c:v>
                </c:pt>
                <c:pt idx="599">
                  <c:v>0.58130235811915443</c:v>
                </c:pt>
                <c:pt idx="600">
                  <c:v>0.58264712752222358</c:v>
                </c:pt>
                <c:pt idx="601">
                  <c:v>0.58264712752222358</c:v>
                </c:pt>
                <c:pt idx="602">
                  <c:v>0.58264712752222358</c:v>
                </c:pt>
                <c:pt idx="603">
                  <c:v>0.58341064231745765</c:v>
                </c:pt>
                <c:pt idx="604">
                  <c:v>0.58341064231745765</c:v>
                </c:pt>
                <c:pt idx="605">
                  <c:v>0.58341064231745765</c:v>
                </c:pt>
                <c:pt idx="606">
                  <c:v>0.58341064231745765</c:v>
                </c:pt>
                <c:pt idx="607">
                  <c:v>0.58341064231745765</c:v>
                </c:pt>
                <c:pt idx="608">
                  <c:v>0.58341064231745765</c:v>
                </c:pt>
                <c:pt idx="609">
                  <c:v>0.58341064231745765</c:v>
                </c:pt>
                <c:pt idx="610">
                  <c:v>0.58341064231745765</c:v>
                </c:pt>
                <c:pt idx="611">
                  <c:v>0.58341064231745765</c:v>
                </c:pt>
                <c:pt idx="612">
                  <c:v>0.58341064231745765</c:v>
                </c:pt>
                <c:pt idx="613">
                  <c:v>0.58341064231745765</c:v>
                </c:pt>
                <c:pt idx="614">
                  <c:v>0.58814298840154677</c:v>
                </c:pt>
                <c:pt idx="615">
                  <c:v>0.59012608912776721</c:v>
                </c:pt>
                <c:pt idx="616">
                  <c:v>0.59167595379923432</c:v>
                </c:pt>
                <c:pt idx="617">
                  <c:v>0.59523884924997905</c:v>
                </c:pt>
                <c:pt idx="618">
                  <c:v>0.59523884924997905</c:v>
                </c:pt>
                <c:pt idx="619">
                  <c:v>0.59523884924997905</c:v>
                </c:pt>
                <c:pt idx="620">
                  <c:v>0.59523884924997905</c:v>
                </c:pt>
                <c:pt idx="621">
                  <c:v>0.59523884924997905</c:v>
                </c:pt>
                <c:pt idx="622">
                  <c:v>0.59523884924997905</c:v>
                </c:pt>
                <c:pt idx="623">
                  <c:v>0.59608035081048905</c:v>
                </c:pt>
                <c:pt idx="624">
                  <c:v>0.598077458637153</c:v>
                </c:pt>
                <c:pt idx="625">
                  <c:v>0.59868724605490886</c:v>
                </c:pt>
                <c:pt idx="626">
                  <c:v>0.59868724605490886</c:v>
                </c:pt>
                <c:pt idx="627">
                  <c:v>0.59905596508843351</c:v>
                </c:pt>
                <c:pt idx="628">
                  <c:v>0.59916590927880087</c:v>
                </c:pt>
                <c:pt idx="629">
                  <c:v>0.59916590927880087</c:v>
                </c:pt>
                <c:pt idx="630">
                  <c:v>0.60006560234701023</c:v>
                </c:pt>
                <c:pt idx="631">
                  <c:v>0.60006560234701023</c:v>
                </c:pt>
                <c:pt idx="632">
                  <c:v>0.59916590927880087</c:v>
                </c:pt>
                <c:pt idx="633">
                  <c:v>0.59905596508843351</c:v>
                </c:pt>
                <c:pt idx="634">
                  <c:v>0.59905596508843351</c:v>
                </c:pt>
                <c:pt idx="635">
                  <c:v>0.60005578112750735</c:v>
                </c:pt>
                <c:pt idx="636">
                  <c:v>0.60068368655705684</c:v>
                </c:pt>
                <c:pt idx="637">
                  <c:v>0.60240023679873245</c:v>
                </c:pt>
                <c:pt idx="638">
                  <c:v>0.60460546463353715</c:v>
                </c:pt>
                <c:pt idx="639">
                  <c:v>0.60675393549175283</c:v>
                </c:pt>
                <c:pt idx="640">
                  <c:v>0.60728898310903201</c:v>
                </c:pt>
                <c:pt idx="641">
                  <c:v>0.60774503253251788</c:v>
                </c:pt>
                <c:pt idx="642">
                  <c:v>0.60774503253251788</c:v>
                </c:pt>
                <c:pt idx="643">
                  <c:v>0.60774503253251788</c:v>
                </c:pt>
                <c:pt idx="644">
                  <c:v>0.60728898310903201</c:v>
                </c:pt>
                <c:pt idx="645">
                  <c:v>0.60720671537843773</c:v>
                </c:pt>
                <c:pt idx="646">
                  <c:v>0.60652005836946921</c:v>
                </c:pt>
                <c:pt idx="647">
                  <c:v>0.60652005836946921</c:v>
                </c:pt>
                <c:pt idx="648">
                  <c:v>0.60460546463353715</c:v>
                </c:pt>
                <c:pt idx="649">
                  <c:v>0.60229308337857324</c:v>
                </c:pt>
                <c:pt idx="650">
                  <c:v>0.60005578112750735</c:v>
                </c:pt>
                <c:pt idx="651">
                  <c:v>0.59905596508843351</c:v>
                </c:pt>
                <c:pt idx="652">
                  <c:v>0.59641961988291525</c:v>
                </c:pt>
                <c:pt idx="653">
                  <c:v>0.58907058511011157</c:v>
                </c:pt>
                <c:pt idx="654">
                  <c:v>0.58703038939114538</c:v>
                </c:pt>
                <c:pt idx="655">
                  <c:v>0.58155528144568835</c:v>
                </c:pt>
                <c:pt idx="656">
                  <c:v>0.57734262151485938</c:v>
                </c:pt>
                <c:pt idx="657">
                  <c:v>0.57190411811827901</c:v>
                </c:pt>
                <c:pt idx="658">
                  <c:v>0.56933534018483289</c:v>
                </c:pt>
                <c:pt idx="659">
                  <c:v>0.56933534018483289</c:v>
                </c:pt>
                <c:pt idx="660">
                  <c:v>0.56933534018483289</c:v>
                </c:pt>
                <c:pt idx="661">
                  <c:v>0.56933534018483289</c:v>
                </c:pt>
                <c:pt idx="662">
                  <c:v>0.56933534018483289</c:v>
                </c:pt>
                <c:pt idx="663">
                  <c:v>0.56933534018483289</c:v>
                </c:pt>
                <c:pt idx="664">
                  <c:v>0.56933534018483289</c:v>
                </c:pt>
                <c:pt idx="665">
                  <c:v>0.56933534018483289</c:v>
                </c:pt>
                <c:pt idx="666">
                  <c:v>0.56933534018483289</c:v>
                </c:pt>
                <c:pt idx="667">
                  <c:v>0.56933534018483289</c:v>
                </c:pt>
                <c:pt idx="668">
                  <c:v>0.56933534018483289</c:v>
                </c:pt>
                <c:pt idx="669">
                  <c:v>0.56933534018483289</c:v>
                </c:pt>
                <c:pt idx="670">
                  <c:v>0.56933534018483289</c:v>
                </c:pt>
                <c:pt idx="671">
                  <c:v>0.56933534018483289</c:v>
                </c:pt>
                <c:pt idx="672">
                  <c:v>0.56933534018483289</c:v>
                </c:pt>
                <c:pt idx="673">
                  <c:v>0.56933534018483289</c:v>
                </c:pt>
                <c:pt idx="674">
                  <c:v>0.56933534018483289</c:v>
                </c:pt>
                <c:pt idx="675">
                  <c:v>0.56933534018483289</c:v>
                </c:pt>
                <c:pt idx="676">
                  <c:v>0.56933534018483289</c:v>
                </c:pt>
                <c:pt idx="677">
                  <c:v>0.56933534018483289</c:v>
                </c:pt>
                <c:pt idx="678">
                  <c:v>0.56933534018483289</c:v>
                </c:pt>
                <c:pt idx="679">
                  <c:v>0.56933534018483289</c:v>
                </c:pt>
                <c:pt idx="680">
                  <c:v>0.56933534018483289</c:v>
                </c:pt>
                <c:pt idx="681">
                  <c:v>0.56933534018483289</c:v>
                </c:pt>
                <c:pt idx="682">
                  <c:v>0.56933534018483289</c:v>
                </c:pt>
                <c:pt idx="683">
                  <c:v>0.56933534018483289</c:v>
                </c:pt>
                <c:pt idx="684">
                  <c:v>0.56933534018483289</c:v>
                </c:pt>
                <c:pt idx="685">
                  <c:v>0.57537674374589398</c:v>
                </c:pt>
                <c:pt idx="686">
                  <c:v>0.57787705257194288</c:v>
                </c:pt>
                <c:pt idx="687">
                  <c:v>0.57787705257194288</c:v>
                </c:pt>
                <c:pt idx="688">
                  <c:v>0.57787705257194288</c:v>
                </c:pt>
                <c:pt idx="689">
                  <c:v>0.57787705257194288</c:v>
                </c:pt>
                <c:pt idx="690">
                  <c:v>0.57787705257194288</c:v>
                </c:pt>
                <c:pt idx="691">
                  <c:v>0.57787705257194288</c:v>
                </c:pt>
                <c:pt idx="692">
                  <c:v>0.57787705257194288</c:v>
                </c:pt>
                <c:pt idx="693">
                  <c:v>0.57787705257194288</c:v>
                </c:pt>
                <c:pt idx="694">
                  <c:v>0.57787705257194288</c:v>
                </c:pt>
                <c:pt idx="695">
                  <c:v>0.57787705257194288</c:v>
                </c:pt>
                <c:pt idx="696">
                  <c:v>0.57787705257194288</c:v>
                </c:pt>
                <c:pt idx="697">
                  <c:v>0.59664815967613571</c:v>
                </c:pt>
                <c:pt idx="698">
                  <c:v>0.67587943598561961</c:v>
                </c:pt>
                <c:pt idx="699">
                  <c:v>0.70122831919179807</c:v>
                </c:pt>
                <c:pt idx="700">
                  <c:v>0.72053319146533523</c:v>
                </c:pt>
                <c:pt idx="701">
                  <c:v>0.72848198909574935</c:v>
                </c:pt>
                <c:pt idx="702">
                  <c:v>0.73251235294922468</c:v>
                </c:pt>
                <c:pt idx="703">
                  <c:v>0.73468123127813922</c:v>
                </c:pt>
                <c:pt idx="704">
                  <c:v>0.73829343171106365</c:v>
                </c:pt>
                <c:pt idx="705">
                  <c:v>0.75161832275276708</c:v>
                </c:pt>
                <c:pt idx="706">
                  <c:v>0.75797296978853312</c:v>
                </c:pt>
                <c:pt idx="707">
                  <c:v>0.75966984687851702</c:v>
                </c:pt>
                <c:pt idx="708">
                  <c:v>0.7758390183791849</c:v>
                </c:pt>
                <c:pt idx="709">
                  <c:v>0.7813739515797502</c:v>
                </c:pt>
                <c:pt idx="710">
                  <c:v>0.78782950092605575</c:v>
                </c:pt>
                <c:pt idx="711">
                  <c:v>0.79188690878855783</c:v>
                </c:pt>
                <c:pt idx="712">
                  <c:v>0.79758508049858468</c:v>
                </c:pt>
                <c:pt idx="713">
                  <c:v>0.80183257935859453</c:v>
                </c:pt>
                <c:pt idx="714">
                  <c:v>0.80389215943054182</c:v>
                </c:pt>
                <c:pt idx="715">
                  <c:v>0.81541130176213272</c:v>
                </c:pt>
                <c:pt idx="716">
                  <c:v>0.82126315688572915</c:v>
                </c:pt>
                <c:pt idx="717">
                  <c:v>0.82778931040105785</c:v>
                </c:pt>
                <c:pt idx="718">
                  <c:v>0.83403606417790077</c:v>
                </c:pt>
                <c:pt idx="719">
                  <c:v>0.83702610734596539</c:v>
                </c:pt>
                <c:pt idx="720">
                  <c:v>0.84143727566875581</c:v>
                </c:pt>
                <c:pt idx="721">
                  <c:v>0.84748456478835021</c:v>
                </c:pt>
                <c:pt idx="722">
                  <c:v>0.84748456478835021</c:v>
                </c:pt>
                <c:pt idx="723">
                  <c:v>0.84748456478835021</c:v>
                </c:pt>
                <c:pt idx="724">
                  <c:v>0.84748456478835021</c:v>
                </c:pt>
                <c:pt idx="725">
                  <c:v>0.84748456478835021</c:v>
                </c:pt>
                <c:pt idx="726">
                  <c:v>0.84748456478835021</c:v>
                </c:pt>
                <c:pt idx="727">
                  <c:v>0.84989304226939122</c:v>
                </c:pt>
                <c:pt idx="728">
                  <c:v>0.84989304226939122</c:v>
                </c:pt>
                <c:pt idx="729">
                  <c:v>0.85365381086576442</c:v>
                </c:pt>
                <c:pt idx="730">
                  <c:v>0.86092598047158386</c:v>
                </c:pt>
                <c:pt idx="731">
                  <c:v>0.87628523983801365</c:v>
                </c:pt>
                <c:pt idx="732">
                  <c:v>0.88958401754942562</c:v>
                </c:pt>
                <c:pt idx="733">
                  <c:v>0.90004832896864473</c:v>
                </c:pt>
                <c:pt idx="734">
                  <c:v>0.90448811651723915</c:v>
                </c:pt>
                <c:pt idx="735">
                  <c:v>0.91316043541194647</c:v>
                </c:pt>
                <c:pt idx="736">
                  <c:v>0.91927774724764189</c:v>
                </c:pt>
                <c:pt idx="737">
                  <c:v>0.92484931148665983</c:v>
                </c:pt>
                <c:pt idx="738">
                  <c:v>0.93237444193238483</c:v>
                </c:pt>
                <c:pt idx="739">
                  <c:v>0.95770771939871691</c:v>
                </c:pt>
                <c:pt idx="740">
                  <c:v>0.96575699725788455</c:v>
                </c:pt>
                <c:pt idx="741">
                  <c:v>0.96653076956415673</c:v>
                </c:pt>
                <c:pt idx="742">
                  <c:v>0.96721117054383221</c:v>
                </c:pt>
                <c:pt idx="743">
                  <c:v>0.96891365328336865</c:v>
                </c:pt>
                <c:pt idx="744">
                  <c:v>0.9863353663588128</c:v>
                </c:pt>
                <c:pt idx="745">
                  <c:v>0.9937458670327195</c:v>
                </c:pt>
                <c:pt idx="746">
                  <c:v>1.0010339156626653</c:v>
                </c:pt>
                <c:pt idx="747">
                  <c:v>1.0051560384008111</c:v>
                </c:pt>
                <c:pt idx="748">
                  <c:v>1.0091696160396446</c:v>
                </c:pt>
                <c:pt idx="749">
                  <c:v>1.0119075314116146</c:v>
                </c:pt>
                <c:pt idx="750">
                  <c:v>1.0199352530606154</c:v>
                </c:pt>
                <c:pt idx="751">
                  <c:v>1.0333506376329935</c:v>
                </c:pt>
                <c:pt idx="752">
                  <c:v>1.0478285149668225</c:v>
                </c:pt>
                <c:pt idx="753">
                  <c:v>1.0636276031848462</c:v>
                </c:pt>
                <c:pt idx="754">
                  <c:v>1.0755967758168516</c:v>
                </c:pt>
                <c:pt idx="755">
                  <c:v>1.0898348771008652</c:v>
                </c:pt>
                <c:pt idx="756">
                  <c:v>1.0999904922286019</c:v>
                </c:pt>
                <c:pt idx="757">
                  <c:v>1.1073514026930105</c:v>
                </c:pt>
                <c:pt idx="758">
                  <c:v>1.1101603039589549</c:v>
                </c:pt>
                <c:pt idx="759">
                  <c:v>1.112321459766199</c:v>
                </c:pt>
                <c:pt idx="760">
                  <c:v>1.1156119381825533</c:v>
                </c:pt>
                <c:pt idx="761">
                  <c:v>1.1172615295397048</c:v>
                </c:pt>
                <c:pt idx="762">
                  <c:v>1.1187668306140803</c:v>
                </c:pt>
                <c:pt idx="763">
                  <c:v>1.1215555083137221</c:v>
                </c:pt>
                <c:pt idx="764">
                  <c:v>1.1257798295116268</c:v>
                </c:pt>
                <c:pt idx="765">
                  <c:v>1.1272622992671715</c:v>
                </c:pt>
                <c:pt idx="766">
                  <c:v>1.1382300744950418</c:v>
                </c:pt>
                <c:pt idx="767">
                  <c:v>1.146216541151214</c:v>
                </c:pt>
                <c:pt idx="768">
                  <c:v>1.1485426309727456</c:v>
                </c:pt>
                <c:pt idx="769">
                  <c:v>1.1512919256749687</c:v>
                </c:pt>
                <c:pt idx="770">
                  <c:v>1.1512919256749687</c:v>
                </c:pt>
                <c:pt idx="771">
                  <c:v>1.1512919256749687</c:v>
                </c:pt>
                <c:pt idx="772">
                  <c:v>1.1512919256749687</c:v>
                </c:pt>
                <c:pt idx="773">
                  <c:v>1.1512919256749687</c:v>
                </c:pt>
                <c:pt idx="774">
                  <c:v>1.1512919256749687</c:v>
                </c:pt>
                <c:pt idx="775">
                  <c:v>1.1512919256749687</c:v>
                </c:pt>
                <c:pt idx="776">
                  <c:v>1.1539046507737658</c:v>
                </c:pt>
                <c:pt idx="777">
                  <c:v>1.155097454163156</c:v>
                </c:pt>
                <c:pt idx="778">
                  <c:v>1.1581485680473054</c:v>
                </c:pt>
                <c:pt idx="779">
                  <c:v>1.1683823325748854</c:v>
                </c:pt>
                <c:pt idx="780">
                  <c:v>1.1721357250709863</c:v>
                </c:pt>
                <c:pt idx="781">
                  <c:v>1.1765846908772435</c:v>
                </c:pt>
                <c:pt idx="782">
                  <c:v>1.1781991616320422</c:v>
                </c:pt>
                <c:pt idx="783">
                  <c:v>1.18123109230106</c:v>
                </c:pt>
                <c:pt idx="784">
                  <c:v>1.18123109230106</c:v>
                </c:pt>
                <c:pt idx="785">
                  <c:v>1.18123109230106</c:v>
                </c:pt>
                <c:pt idx="786">
                  <c:v>1.18123109230106</c:v>
                </c:pt>
                <c:pt idx="787">
                  <c:v>1.1880645236054908</c:v>
                </c:pt>
                <c:pt idx="788">
                  <c:v>1.1964137812419409</c:v>
                </c:pt>
                <c:pt idx="789">
                  <c:v>1.2040488841173653</c:v>
                </c:pt>
                <c:pt idx="790">
                  <c:v>1.2081870648872335</c:v>
                </c:pt>
                <c:pt idx="791">
                  <c:v>1.2111219859360343</c:v>
                </c:pt>
                <c:pt idx="792">
                  <c:v>1.2180480854542499</c:v>
                </c:pt>
                <c:pt idx="793">
                  <c:v>1.2209978495659246</c:v>
                </c:pt>
                <c:pt idx="794">
                  <c:v>1.2249869126700361</c:v>
                </c:pt>
                <c:pt idx="795">
                  <c:v>1.2318629158839089</c:v>
                </c:pt>
                <c:pt idx="796">
                  <c:v>1.2391948518368023</c:v>
                </c:pt>
                <c:pt idx="797">
                  <c:v>1.2436490943191154</c:v>
                </c:pt>
                <c:pt idx="798">
                  <c:v>1.2455759390234895</c:v>
                </c:pt>
                <c:pt idx="799">
                  <c:v>1.2455759390234895</c:v>
                </c:pt>
                <c:pt idx="800">
                  <c:v>1.2513707084442651</c:v>
                </c:pt>
                <c:pt idx="801">
                  <c:v>1.2551344969664382</c:v>
                </c:pt>
                <c:pt idx="802">
                  <c:v>1.2574233762045202</c:v>
                </c:pt>
                <c:pt idx="803">
                  <c:v>1.2702619872884278</c:v>
                </c:pt>
                <c:pt idx="804">
                  <c:v>1.2702619872884278</c:v>
                </c:pt>
                <c:pt idx="805">
                  <c:v>1.275423615612685</c:v>
                </c:pt>
                <c:pt idx="806">
                  <c:v>1.2795473950004717</c:v>
                </c:pt>
                <c:pt idx="807">
                  <c:v>1.2795473950004717</c:v>
                </c:pt>
                <c:pt idx="808">
                  <c:v>1.2795473950004717</c:v>
                </c:pt>
                <c:pt idx="809">
                  <c:v>1.2826058905084745</c:v>
                </c:pt>
                <c:pt idx="810">
                  <c:v>1.2833275989220152</c:v>
                </c:pt>
                <c:pt idx="811">
                  <c:v>1.2833275989220152</c:v>
                </c:pt>
                <c:pt idx="812">
                  <c:v>1.2833275989220152</c:v>
                </c:pt>
                <c:pt idx="813">
                  <c:v>1.2833275989220152</c:v>
                </c:pt>
                <c:pt idx="814">
                  <c:v>1.2833275989220152</c:v>
                </c:pt>
                <c:pt idx="815">
                  <c:v>1.2833275989220152</c:v>
                </c:pt>
                <c:pt idx="816">
                  <c:v>1.2833275989220152</c:v>
                </c:pt>
                <c:pt idx="817">
                  <c:v>1.286684983473271</c:v>
                </c:pt>
                <c:pt idx="818">
                  <c:v>1.286684983473271</c:v>
                </c:pt>
                <c:pt idx="819">
                  <c:v>1.286684983473271</c:v>
                </c:pt>
                <c:pt idx="820">
                  <c:v>1.286684983473271</c:v>
                </c:pt>
                <c:pt idx="821">
                  <c:v>1.286684983473271</c:v>
                </c:pt>
                <c:pt idx="822">
                  <c:v>1.2874594440195251</c:v>
                </c:pt>
                <c:pt idx="823">
                  <c:v>1.2874594440195251</c:v>
                </c:pt>
                <c:pt idx="824">
                  <c:v>1.2874594440195251</c:v>
                </c:pt>
                <c:pt idx="825">
                  <c:v>1.2874594440195251</c:v>
                </c:pt>
                <c:pt idx="826">
                  <c:v>1.2874594440195251</c:v>
                </c:pt>
                <c:pt idx="827">
                  <c:v>1.2864922671375081</c:v>
                </c:pt>
                <c:pt idx="828">
                  <c:v>1.2864922671375081</c:v>
                </c:pt>
                <c:pt idx="829">
                  <c:v>1.2838326365488488</c:v>
                </c:pt>
                <c:pt idx="830">
                  <c:v>1.2823188520723225</c:v>
                </c:pt>
                <c:pt idx="831">
                  <c:v>1.2784280707399895</c:v>
                </c:pt>
                <c:pt idx="832">
                  <c:v>1.2690338554654654</c:v>
                </c:pt>
                <c:pt idx="833">
                  <c:v>1.2655635888583558</c:v>
                </c:pt>
                <c:pt idx="834">
                  <c:v>1.2612972465139032</c:v>
                </c:pt>
                <c:pt idx="835">
                  <c:v>1.2580552811473398</c:v>
                </c:pt>
                <c:pt idx="836">
                  <c:v>1.2558368483098754</c:v>
                </c:pt>
                <c:pt idx="837">
                  <c:v>1.2497106432171652</c:v>
                </c:pt>
                <c:pt idx="838">
                  <c:v>1.2392068756508161</c:v>
                </c:pt>
                <c:pt idx="839">
                  <c:v>1.237923833354849</c:v>
                </c:pt>
                <c:pt idx="840">
                  <c:v>1.236551244866779</c:v>
                </c:pt>
                <c:pt idx="841">
                  <c:v>1.2345818763972016</c:v>
                </c:pt>
                <c:pt idx="842">
                  <c:v>1.2288780737391936</c:v>
                </c:pt>
                <c:pt idx="843">
                  <c:v>1.2229976262763831</c:v>
                </c:pt>
                <c:pt idx="844">
                  <c:v>1.2144044410534405</c:v>
                </c:pt>
                <c:pt idx="845">
                  <c:v>1.2104271136532936</c:v>
                </c:pt>
                <c:pt idx="846">
                  <c:v>1.2051196124287589</c:v>
                </c:pt>
                <c:pt idx="847">
                  <c:v>1.2013046339881812</c:v>
                </c:pt>
                <c:pt idx="848">
                  <c:v>1.199432348944794</c:v>
                </c:pt>
                <c:pt idx="849">
                  <c:v>1.1950043121283773</c:v>
                </c:pt>
                <c:pt idx="850">
                  <c:v>1.1888932584335683</c:v>
                </c:pt>
                <c:pt idx="851">
                  <c:v>1.1829777906235561</c:v>
                </c:pt>
                <c:pt idx="852">
                  <c:v>1.1829777906235561</c:v>
                </c:pt>
                <c:pt idx="853">
                  <c:v>1.1829777906235561</c:v>
                </c:pt>
                <c:pt idx="854">
                  <c:v>1.1829777906235561</c:v>
                </c:pt>
                <c:pt idx="855">
                  <c:v>1.1829777906235561</c:v>
                </c:pt>
                <c:pt idx="856">
                  <c:v>1.1829777906235561</c:v>
                </c:pt>
                <c:pt idx="857">
                  <c:v>1.1829777906235561</c:v>
                </c:pt>
                <c:pt idx="858">
                  <c:v>1.1829777906235561</c:v>
                </c:pt>
                <c:pt idx="859">
                  <c:v>1.1748179653251416</c:v>
                </c:pt>
                <c:pt idx="860">
                  <c:v>1.1668778717825881</c:v>
                </c:pt>
                <c:pt idx="861">
                  <c:v>1.1620570132497392</c:v>
                </c:pt>
                <c:pt idx="862">
                  <c:v>1.1620570132497392</c:v>
                </c:pt>
                <c:pt idx="863">
                  <c:v>1.1620570132497392</c:v>
                </c:pt>
                <c:pt idx="864">
                  <c:v>1.1620570132497392</c:v>
                </c:pt>
                <c:pt idx="865">
                  <c:v>1.1620570132497392</c:v>
                </c:pt>
                <c:pt idx="866">
                  <c:v>1.1620570132497392</c:v>
                </c:pt>
                <c:pt idx="867">
                  <c:v>1.1620570132497392</c:v>
                </c:pt>
                <c:pt idx="868">
                  <c:v>1.1620570132497392</c:v>
                </c:pt>
                <c:pt idx="869">
                  <c:v>1.1620570132497392</c:v>
                </c:pt>
                <c:pt idx="870">
                  <c:v>1.1620570132497392</c:v>
                </c:pt>
                <c:pt idx="871">
                  <c:v>1.1620570132497392</c:v>
                </c:pt>
                <c:pt idx="872">
                  <c:v>1.1620570132497392</c:v>
                </c:pt>
                <c:pt idx="873">
                  <c:v>1.1620570132497392</c:v>
                </c:pt>
                <c:pt idx="874">
                  <c:v>1.1620570132497392</c:v>
                </c:pt>
                <c:pt idx="875">
                  <c:v>1.1620570132497392</c:v>
                </c:pt>
                <c:pt idx="876">
                  <c:v>1.1620570132497392</c:v>
                </c:pt>
                <c:pt idx="877">
                  <c:v>1.1620570132497392</c:v>
                </c:pt>
                <c:pt idx="878">
                  <c:v>1.1620570132497392</c:v>
                </c:pt>
                <c:pt idx="879">
                  <c:v>1.1620570132497392</c:v>
                </c:pt>
                <c:pt idx="880">
                  <c:v>1.1620570132497392</c:v>
                </c:pt>
                <c:pt idx="881">
                  <c:v>1.1620570132497392</c:v>
                </c:pt>
                <c:pt idx="882">
                  <c:v>1.1620570132497392</c:v>
                </c:pt>
                <c:pt idx="883">
                  <c:v>1.1620570132497392</c:v>
                </c:pt>
                <c:pt idx="884">
                  <c:v>1.1620570132497392</c:v>
                </c:pt>
                <c:pt idx="885">
                  <c:v>1.1594679534299746</c:v>
                </c:pt>
                <c:pt idx="886">
                  <c:v>1.1567059017591244</c:v>
                </c:pt>
                <c:pt idx="887">
                  <c:v>1.1567059017591244</c:v>
                </c:pt>
                <c:pt idx="888">
                  <c:v>1.1567059017591244</c:v>
                </c:pt>
                <c:pt idx="889">
                  <c:v>1.1560245200830543</c:v>
                </c:pt>
                <c:pt idx="890">
                  <c:v>1.1560245200830543</c:v>
                </c:pt>
                <c:pt idx="891">
                  <c:v>1.1560245200830543</c:v>
                </c:pt>
                <c:pt idx="892">
                  <c:v>1.1534350354748122</c:v>
                </c:pt>
                <c:pt idx="893">
                  <c:v>1.1495510505425854</c:v>
                </c:pt>
                <c:pt idx="894">
                  <c:v>1.1495510505425854</c:v>
                </c:pt>
                <c:pt idx="895">
                  <c:v>1.1495510505425854</c:v>
                </c:pt>
                <c:pt idx="896">
                  <c:v>1.1495510505425854</c:v>
                </c:pt>
                <c:pt idx="897">
                  <c:v>1.1495510505425854</c:v>
                </c:pt>
                <c:pt idx="898">
                  <c:v>1.1495510505425854</c:v>
                </c:pt>
                <c:pt idx="899">
                  <c:v>1.1451568659664013</c:v>
                </c:pt>
                <c:pt idx="900">
                  <c:v>1.1305179543515971</c:v>
                </c:pt>
                <c:pt idx="901">
                  <c:v>1.1112699231634866</c:v>
                </c:pt>
                <c:pt idx="902">
                  <c:v>1.0991469463802668</c:v>
                </c:pt>
                <c:pt idx="903">
                  <c:v>1.0565506455543949</c:v>
                </c:pt>
                <c:pt idx="904">
                  <c:v>1.0517887231769456</c:v>
                </c:pt>
                <c:pt idx="905">
                  <c:v>1.0430293214747726</c:v>
                </c:pt>
                <c:pt idx="906">
                  <c:v>1.0385863612044886</c:v>
                </c:pt>
                <c:pt idx="907">
                  <c:v>1.0200755656698681</c:v>
                </c:pt>
                <c:pt idx="908">
                  <c:v>0.99874235014968948</c:v>
                </c:pt>
                <c:pt idx="909">
                  <c:v>0.98114797785319352</c:v>
                </c:pt>
                <c:pt idx="910">
                  <c:v>0.93927900906887896</c:v>
                </c:pt>
                <c:pt idx="911">
                  <c:v>0.92278114836492864</c:v>
                </c:pt>
                <c:pt idx="912">
                  <c:v>0.91364693524636265</c:v>
                </c:pt>
                <c:pt idx="913">
                  <c:v>0.90299714703879463</c:v>
                </c:pt>
                <c:pt idx="914">
                  <c:v>0.88108295194797481</c:v>
                </c:pt>
                <c:pt idx="915">
                  <c:v>0.8748410049069828</c:v>
                </c:pt>
                <c:pt idx="916">
                  <c:v>0.85568065176144992</c:v>
                </c:pt>
                <c:pt idx="917">
                  <c:v>0.84294227317265991</c:v>
                </c:pt>
                <c:pt idx="918">
                  <c:v>0.83526239464852003</c:v>
                </c:pt>
                <c:pt idx="919">
                  <c:v>0.82612717598533159</c:v>
                </c:pt>
                <c:pt idx="920">
                  <c:v>0.81962890949513478</c:v>
                </c:pt>
                <c:pt idx="921">
                  <c:v>0.81813337802832364</c:v>
                </c:pt>
                <c:pt idx="922">
                  <c:v>0.8143242592099369</c:v>
                </c:pt>
                <c:pt idx="923">
                  <c:v>0.81264083398407805</c:v>
                </c:pt>
                <c:pt idx="924">
                  <c:v>0.80710962500470362</c:v>
                </c:pt>
                <c:pt idx="925">
                  <c:v>0.80193858271680063</c:v>
                </c:pt>
                <c:pt idx="926">
                  <c:v>0.80019213280141155</c:v>
                </c:pt>
                <c:pt idx="927">
                  <c:v>0.79590955216460979</c:v>
                </c:pt>
                <c:pt idx="928">
                  <c:v>0.78256184027077624</c:v>
                </c:pt>
                <c:pt idx="929">
                  <c:v>0.76984428845469677</c:v>
                </c:pt>
                <c:pt idx="930">
                  <c:v>0.74496655617573682</c:v>
                </c:pt>
                <c:pt idx="931">
                  <c:v>0.7300272101933396</c:v>
                </c:pt>
                <c:pt idx="932">
                  <c:v>0.71659705191114242</c:v>
                </c:pt>
                <c:pt idx="933">
                  <c:v>0.71482260254667107</c:v>
                </c:pt>
                <c:pt idx="934">
                  <c:v>0.69823880217448964</c:v>
                </c:pt>
                <c:pt idx="935">
                  <c:v>0.65788590541728764</c:v>
                </c:pt>
                <c:pt idx="936">
                  <c:v>0.65019161377434309</c:v>
                </c:pt>
                <c:pt idx="937">
                  <c:v>0.64075866261026637</c:v>
                </c:pt>
                <c:pt idx="938">
                  <c:v>0.62962083453651907</c:v>
                </c:pt>
                <c:pt idx="939">
                  <c:v>0.62823437354615908</c:v>
                </c:pt>
                <c:pt idx="940">
                  <c:v>0.62091606884974804</c:v>
                </c:pt>
                <c:pt idx="941">
                  <c:v>0.60665142433617736</c:v>
                </c:pt>
                <c:pt idx="942">
                  <c:v>0.59325505562605563</c:v>
                </c:pt>
                <c:pt idx="943">
                  <c:v>0.58536989976563292</c:v>
                </c:pt>
                <c:pt idx="944">
                  <c:v>0.57581503117137867</c:v>
                </c:pt>
                <c:pt idx="945">
                  <c:v>0.57308776066679801</c:v>
                </c:pt>
                <c:pt idx="946">
                  <c:v>0.56573953109082298</c:v>
                </c:pt>
                <c:pt idx="947">
                  <c:v>0.5614162538802393</c:v>
                </c:pt>
                <c:pt idx="948">
                  <c:v>0.55530506907034394</c:v>
                </c:pt>
                <c:pt idx="949">
                  <c:v>0.54577481740034184</c:v>
                </c:pt>
                <c:pt idx="950">
                  <c:v>0.53154421749003589</c:v>
                </c:pt>
                <c:pt idx="951">
                  <c:v>0.5044432149167658</c:v>
                </c:pt>
                <c:pt idx="952">
                  <c:v>0.49195423697845758</c:v>
                </c:pt>
                <c:pt idx="953">
                  <c:v>0.49195423697845758</c:v>
                </c:pt>
                <c:pt idx="954">
                  <c:v>0.49195423697845758</c:v>
                </c:pt>
                <c:pt idx="955">
                  <c:v>0.48901078745907917</c:v>
                </c:pt>
                <c:pt idx="956">
                  <c:v>0.4868930961639204</c:v>
                </c:pt>
                <c:pt idx="957">
                  <c:v>0.48612381596340504</c:v>
                </c:pt>
                <c:pt idx="958">
                  <c:v>0.48467780421188167</c:v>
                </c:pt>
                <c:pt idx="959">
                  <c:v>0.48101341274942433</c:v>
                </c:pt>
                <c:pt idx="960">
                  <c:v>0.47757478818747978</c:v>
                </c:pt>
                <c:pt idx="961">
                  <c:v>0.47634126857746173</c:v>
                </c:pt>
                <c:pt idx="962">
                  <c:v>0.47101176759286029</c:v>
                </c:pt>
                <c:pt idx="963">
                  <c:v>0.47010629559562545</c:v>
                </c:pt>
                <c:pt idx="964">
                  <c:v>0.46901631178663861</c:v>
                </c:pt>
                <c:pt idx="965">
                  <c:v>0.46901631178663861</c:v>
                </c:pt>
                <c:pt idx="966">
                  <c:v>0.46901631178663861</c:v>
                </c:pt>
                <c:pt idx="967">
                  <c:v>0.46901631178663861</c:v>
                </c:pt>
                <c:pt idx="968">
                  <c:v>0.46901631178663861</c:v>
                </c:pt>
                <c:pt idx="969">
                  <c:v>0.46767154505034741</c:v>
                </c:pt>
                <c:pt idx="970">
                  <c:v>0.46767154505034741</c:v>
                </c:pt>
                <c:pt idx="971">
                  <c:v>0.46446543154537523</c:v>
                </c:pt>
                <c:pt idx="972">
                  <c:v>0.46265818819592713</c:v>
                </c:pt>
                <c:pt idx="973">
                  <c:v>0.46115952374460967</c:v>
                </c:pt>
                <c:pt idx="974">
                  <c:v>0.46115952374460967</c:v>
                </c:pt>
                <c:pt idx="975">
                  <c:v>0.45800918737731838</c:v>
                </c:pt>
                <c:pt idx="976">
                  <c:v>0.45800918737731838</c:v>
                </c:pt>
                <c:pt idx="977">
                  <c:v>0.45800918737731838</c:v>
                </c:pt>
                <c:pt idx="978">
                  <c:v>0.45800918737731838</c:v>
                </c:pt>
                <c:pt idx="979">
                  <c:v>0.45800918737731838</c:v>
                </c:pt>
                <c:pt idx="980">
                  <c:v>0.45800918737731838</c:v>
                </c:pt>
                <c:pt idx="981">
                  <c:v>0.45800918737731838</c:v>
                </c:pt>
                <c:pt idx="982">
                  <c:v>0.45800918737731838</c:v>
                </c:pt>
                <c:pt idx="983">
                  <c:v>0.45780078880836678</c:v>
                </c:pt>
                <c:pt idx="984">
                  <c:v>0.455301631867496</c:v>
                </c:pt>
                <c:pt idx="985">
                  <c:v>0.4526561878440728</c:v>
                </c:pt>
                <c:pt idx="986">
                  <c:v>0.4526561878440728</c:v>
                </c:pt>
                <c:pt idx="987">
                  <c:v>0.4484456277930306</c:v>
                </c:pt>
                <c:pt idx="988">
                  <c:v>0.44632467386944508</c:v>
                </c:pt>
                <c:pt idx="989">
                  <c:v>0.44376014984082524</c:v>
                </c:pt>
                <c:pt idx="990">
                  <c:v>0.44327492572670457</c:v>
                </c:pt>
                <c:pt idx="991">
                  <c:v>0.44273070586347707</c:v>
                </c:pt>
                <c:pt idx="992">
                  <c:v>0.44218028393895897</c:v>
                </c:pt>
                <c:pt idx="993">
                  <c:v>0.44131382769234551</c:v>
                </c:pt>
                <c:pt idx="994">
                  <c:v>0.44027749099302227</c:v>
                </c:pt>
                <c:pt idx="995">
                  <c:v>0.43936702295419516</c:v>
                </c:pt>
                <c:pt idx="996">
                  <c:v>0.43807656789458005</c:v>
                </c:pt>
                <c:pt idx="997">
                  <c:v>0.43735705341227615</c:v>
                </c:pt>
                <c:pt idx="998">
                  <c:v>0.43614403887293429</c:v>
                </c:pt>
                <c:pt idx="999">
                  <c:v>0.43333074131302107</c:v>
                </c:pt>
                <c:pt idx="1000">
                  <c:v>0.43118974220775064</c:v>
                </c:pt>
                <c:pt idx="1001">
                  <c:v>0.42900698821657818</c:v>
                </c:pt>
                <c:pt idx="1002">
                  <c:v>0.4257462265713684</c:v>
                </c:pt>
                <c:pt idx="1003">
                  <c:v>0.42499440840083746</c:v>
                </c:pt>
                <c:pt idx="1004">
                  <c:v>0.42289107950287963</c:v>
                </c:pt>
                <c:pt idx="1005">
                  <c:v>0.42101943648158924</c:v>
                </c:pt>
                <c:pt idx="1006">
                  <c:v>0.41914174969024703</c:v>
                </c:pt>
                <c:pt idx="1007">
                  <c:v>0.41914174969024703</c:v>
                </c:pt>
                <c:pt idx="1008">
                  <c:v>0.41914174969024703</c:v>
                </c:pt>
                <c:pt idx="1009">
                  <c:v>0.41914174969024703</c:v>
                </c:pt>
                <c:pt idx="1010">
                  <c:v>0.4174833100435551</c:v>
                </c:pt>
                <c:pt idx="1011">
                  <c:v>0.41541538461375471</c:v>
                </c:pt>
                <c:pt idx="1012">
                  <c:v>0.41122199523570446</c:v>
                </c:pt>
                <c:pt idx="1013">
                  <c:v>0.40803594189498499</c:v>
                </c:pt>
                <c:pt idx="1014">
                  <c:v>0.4045826099162092</c:v>
                </c:pt>
                <c:pt idx="1015">
                  <c:v>0.40415417503098494</c:v>
                </c:pt>
                <c:pt idx="1016">
                  <c:v>0.40363702568576554</c:v>
                </c:pt>
                <c:pt idx="1017">
                  <c:v>0.40271674259854529</c:v>
                </c:pt>
                <c:pt idx="1018">
                  <c:v>0.40087118060867655</c:v>
                </c:pt>
                <c:pt idx="1019">
                  <c:v>0.39825373656033497</c:v>
                </c:pt>
                <c:pt idx="1020">
                  <c:v>0.39689772406912288</c:v>
                </c:pt>
                <c:pt idx="1021">
                  <c:v>0.39353965102615562</c:v>
                </c:pt>
                <c:pt idx="1022">
                  <c:v>0.39232813532892508</c:v>
                </c:pt>
                <c:pt idx="1023">
                  <c:v>0.39144382370097819</c:v>
                </c:pt>
                <c:pt idx="1024">
                  <c:v>0.39144382370097819</c:v>
                </c:pt>
                <c:pt idx="1025">
                  <c:v>0.38892088841469763</c:v>
                </c:pt>
                <c:pt idx="1026">
                  <c:v>0.38786543853115502</c:v>
                </c:pt>
                <c:pt idx="1027">
                  <c:v>0.38768438367143088</c:v>
                </c:pt>
                <c:pt idx="1028">
                  <c:v>0.38725553644932492</c:v>
                </c:pt>
                <c:pt idx="1029">
                  <c:v>0.38590262792120122</c:v>
                </c:pt>
                <c:pt idx="1030">
                  <c:v>0.38198103466461097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AC22-41F4-A914-B9BE69AE6336}"/>
            </c:ext>
          </c:extLst>
        </c:ser>
        <c:ser>
          <c:idx val="3"/>
          <c:order val="3"/>
          <c:tx>
            <c:strRef>
              <c:f>Indice!$AL$5</c:f>
              <c:strCache>
                <c:ptCount val="1"/>
                <c:pt idx="0">
                  <c:v>Q50</c:v>
                </c:pt>
              </c:strCache>
            </c:strRef>
          </c:tx>
          <c:spPr>
            <a:ln w="28575" cap="rnd">
              <a:solidFill>
                <a:schemeClr val="tx1"/>
              </a:solidFill>
              <a:prstDash val="sysDash"/>
              <a:round/>
            </a:ln>
            <a:effectLst/>
          </c:spPr>
          <c:marker>
            <c:symbol val="none"/>
          </c:marker>
          <c:cat>
            <c:numRef>
              <c:f>Indice!$AH$58:$AH$1500</c:f>
              <c:numCache>
                <c:formatCode>m/d/yyyy</c:formatCode>
                <c:ptCount val="1443"/>
                <c:pt idx="0">
                  <c:v>39087</c:v>
                </c:pt>
                <c:pt idx="1">
                  <c:v>39094</c:v>
                </c:pt>
                <c:pt idx="2">
                  <c:v>39101</c:v>
                </c:pt>
                <c:pt idx="3">
                  <c:v>39108</c:v>
                </c:pt>
                <c:pt idx="4">
                  <c:v>39115</c:v>
                </c:pt>
                <c:pt idx="5">
                  <c:v>39122</c:v>
                </c:pt>
                <c:pt idx="6">
                  <c:v>39129</c:v>
                </c:pt>
                <c:pt idx="7">
                  <c:v>39136</c:v>
                </c:pt>
                <c:pt idx="8">
                  <c:v>39143</c:v>
                </c:pt>
                <c:pt idx="9">
                  <c:v>39150</c:v>
                </c:pt>
                <c:pt idx="10">
                  <c:v>39157</c:v>
                </c:pt>
                <c:pt idx="11">
                  <c:v>39164</c:v>
                </c:pt>
                <c:pt idx="12">
                  <c:v>39171</c:v>
                </c:pt>
                <c:pt idx="13">
                  <c:v>39178</c:v>
                </c:pt>
                <c:pt idx="14">
                  <c:v>39185</c:v>
                </c:pt>
                <c:pt idx="15">
                  <c:v>39192</c:v>
                </c:pt>
                <c:pt idx="16">
                  <c:v>39199</c:v>
                </c:pt>
                <c:pt idx="17">
                  <c:v>39206</c:v>
                </c:pt>
                <c:pt idx="18">
                  <c:v>39213</c:v>
                </c:pt>
                <c:pt idx="19">
                  <c:v>39220</c:v>
                </c:pt>
                <c:pt idx="20">
                  <c:v>39227</c:v>
                </c:pt>
                <c:pt idx="21">
                  <c:v>39234</c:v>
                </c:pt>
                <c:pt idx="22">
                  <c:v>39241</c:v>
                </c:pt>
                <c:pt idx="23">
                  <c:v>39248</c:v>
                </c:pt>
                <c:pt idx="24">
                  <c:v>39255</c:v>
                </c:pt>
                <c:pt idx="25">
                  <c:v>39262</c:v>
                </c:pt>
                <c:pt idx="26">
                  <c:v>39269</c:v>
                </c:pt>
                <c:pt idx="27">
                  <c:v>39276</c:v>
                </c:pt>
                <c:pt idx="28">
                  <c:v>39283</c:v>
                </c:pt>
                <c:pt idx="29">
                  <c:v>39290</c:v>
                </c:pt>
                <c:pt idx="30">
                  <c:v>39297</c:v>
                </c:pt>
                <c:pt idx="31">
                  <c:v>39304</c:v>
                </c:pt>
                <c:pt idx="32">
                  <c:v>39311</c:v>
                </c:pt>
                <c:pt idx="33">
                  <c:v>39318</c:v>
                </c:pt>
                <c:pt idx="34">
                  <c:v>39325</c:v>
                </c:pt>
                <c:pt idx="35">
                  <c:v>39332</c:v>
                </c:pt>
                <c:pt idx="36">
                  <c:v>39339</c:v>
                </c:pt>
                <c:pt idx="37">
                  <c:v>39346</c:v>
                </c:pt>
                <c:pt idx="38">
                  <c:v>39353</c:v>
                </c:pt>
                <c:pt idx="39">
                  <c:v>39360</c:v>
                </c:pt>
                <c:pt idx="40">
                  <c:v>39367</c:v>
                </c:pt>
                <c:pt idx="41">
                  <c:v>39374</c:v>
                </c:pt>
                <c:pt idx="42">
                  <c:v>39381</c:v>
                </c:pt>
                <c:pt idx="43">
                  <c:v>39388</c:v>
                </c:pt>
                <c:pt idx="44">
                  <c:v>39395</c:v>
                </c:pt>
                <c:pt idx="45">
                  <c:v>39402</c:v>
                </c:pt>
                <c:pt idx="46">
                  <c:v>39409</c:v>
                </c:pt>
                <c:pt idx="47">
                  <c:v>39416</c:v>
                </c:pt>
                <c:pt idx="48">
                  <c:v>39423</c:v>
                </c:pt>
                <c:pt idx="49">
                  <c:v>39430</c:v>
                </c:pt>
                <c:pt idx="50">
                  <c:v>39437</c:v>
                </c:pt>
                <c:pt idx="51">
                  <c:v>39444</c:v>
                </c:pt>
                <c:pt idx="52">
                  <c:v>39451</c:v>
                </c:pt>
                <c:pt idx="53">
                  <c:v>39458</c:v>
                </c:pt>
                <c:pt idx="54">
                  <c:v>39465</c:v>
                </c:pt>
                <c:pt idx="55">
                  <c:v>39472</c:v>
                </c:pt>
                <c:pt idx="56">
                  <c:v>39479</c:v>
                </c:pt>
                <c:pt idx="57">
                  <c:v>39486</c:v>
                </c:pt>
                <c:pt idx="58">
                  <c:v>39493</c:v>
                </c:pt>
                <c:pt idx="59">
                  <c:v>39500</c:v>
                </c:pt>
                <c:pt idx="60">
                  <c:v>39507</c:v>
                </c:pt>
                <c:pt idx="61">
                  <c:v>39514</c:v>
                </c:pt>
                <c:pt idx="62">
                  <c:v>39521</c:v>
                </c:pt>
                <c:pt idx="63">
                  <c:v>39528</c:v>
                </c:pt>
                <c:pt idx="64">
                  <c:v>39535</c:v>
                </c:pt>
                <c:pt idx="65">
                  <c:v>39542</c:v>
                </c:pt>
                <c:pt idx="66">
                  <c:v>39549</c:v>
                </c:pt>
                <c:pt idx="67">
                  <c:v>39556</c:v>
                </c:pt>
                <c:pt idx="68">
                  <c:v>39563</c:v>
                </c:pt>
                <c:pt idx="69">
                  <c:v>39570</c:v>
                </c:pt>
                <c:pt idx="70">
                  <c:v>39577</c:v>
                </c:pt>
                <c:pt idx="71">
                  <c:v>39584</c:v>
                </c:pt>
                <c:pt idx="72">
                  <c:v>39591</c:v>
                </c:pt>
                <c:pt idx="73">
                  <c:v>39598</c:v>
                </c:pt>
                <c:pt idx="74">
                  <c:v>39605</c:v>
                </c:pt>
                <c:pt idx="75">
                  <c:v>39612</c:v>
                </c:pt>
                <c:pt idx="76">
                  <c:v>39619</c:v>
                </c:pt>
                <c:pt idx="77">
                  <c:v>39626</c:v>
                </c:pt>
                <c:pt idx="78">
                  <c:v>39633</c:v>
                </c:pt>
                <c:pt idx="79">
                  <c:v>39640</c:v>
                </c:pt>
                <c:pt idx="80">
                  <c:v>39647</c:v>
                </c:pt>
                <c:pt idx="81">
                  <c:v>39654</c:v>
                </c:pt>
                <c:pt idx="82">
                  <c:v>39661</c:v>
                </c:pt>
                <c:pt idx="83">
                  <c:v>39668</c:v>
                </c:pt>
                <c:pt idx="84">
                  <c:v>39675</c:v>
                </c:pt>
                <c:pt idx="85">
                  <c:v>39682</c:v>
                </c:pt>
                <c:pt idx="86">
                  <c:v>39689</c:v>
                </c:pt>
                <c:pt idx="87">
                  <c:v>39696</c:v>
                </c:pt>
                <c:pt idx="88">
                  <c:v>39703</c:v>
                </c:pt>
                <c:pt idx="89">
                  <c:v>39710</c:v>
                </c:pt>
                <c:pt idx="90">
                  <c:v>39717</c:v>
                </c:pt>
                <c:pt idx="91">
                  <c:v>39724</c:v>
                </c:pt>
                <c:pt idx="92">
                  <c:v>39731</c:v>
                </c:pt>
                <c:pt idx="93">
                  <c:v>39738</c:v>
                </c:pt>
                <c:pt idx="94">
                  <c:v>39745</c:v>
                </c:pt>
                <c:pt idx="95">
                  <c:v>39752</c:v>
                </c:pt>
                <c:pt idx="96">
                  <c:v>39759</c:v>
                </c:pt>
                <c:pt idx="97">
                  <c:v>39766</c:v>
                </c:pt>
                <c:pt idx="98">
                  <c:v>39773</c:v>
                </c:pt>
                <c:pt idx="99">
                  <c:v>39780</c:v>
                </c:pt>
                <c:pt idx="100">
                  <c:v>39787</c:v>
                </c:pt>
                <c:pt idx="101">
                  <c:v>39794</c:v>
                </c:pt>
                <c:pt idx="102">
                  <c:v>39801</c:v>
                </c:pt>
                <c:pt idx="103">
                  <c:v>39808</c:v>
                </c:pt>
                <c:pt idx="104">
                  <c:v>39815</c:v>
                </c:pt>
                <c:pt idx="105">
                  <c:v>39822</c:v>
                </c:pt>
                <c:pt idx="106">
                  <c:v>39829</c:v>
                </c:pt>
                <c:pt idx="107">
                  <c:v>39836</c:v>
                </c:pt>
                <c:pt idx="108">
                  <c:v>39843</c:v>
                </c:pt>
                <c:pt idx="109">
                  <c:v>39850</c:v>
                </c:pt>
                <c:pt idx="110">
                  <c:v>39857</c:v>
                </c:pt>
                <c:pt idx="111">
                  <c:v>39864</c:v>
                </c:pt>
                <c:pt idx="112">
                  <c:v>39871</c:v>
                </c:pt>
                <c:pt idx="113">
                  <c:v>39878</c:v>
                </c:pt>
                <c:pt idx="114">
                  <c:v>39885</c:v>
                </c:pt>
                <c:pt idx="115">
                  <c:v>39892</c:v>
                </c:pt>
                <c:pt idx="116">
                  <c:v>39899</c:v>
                </c:pt>
                <c:pt idx="117">
                  <c:v>39906</c:v>
                </c:pt>
                <c:pt idx="118">
                  <c:v>39913</c:v>
                </c:pt>
                <c:pt idx="119">
                  <c:v>39920</c:v>
                </c:pt>
                <c:pt idx="120">
                  <c:v>39927</c:v>
                </c:pt>
                <c:pt idx="121">
                  <c:v>39934</c:v>
                </c:pt>
                <c:pt idx="122">
                  <c:v>39941</c:v>
                </c:pt>
                <c:pt idx="123">
                  <c:v>39948</c:v>
                </c:pt>
                <c:pt idx="124">
                  <c:v>39955</c:v>
                </c:pt>
                <c:pt idx="125">
                  <c:v>39962</c:v>
                </c:pt>
                <c:pt idx="126">
                  <c:v>39969</c:v>
                </c:pt>
                <c:pt idx="127">
                  <c:v>39976</c:v>
                </c:pt>
                <c:pt idx="128">
                  <c:v>39983</c:v>
                </c:pt>
                <c:pt idx="129">
                  <c:v>39990</c:v>
                </c:pt>
                <c:pt idx="130">
                  <c:v>39997</c:v>
                </c:pt>
                <c:pt idx="131">
                  <c:v>40004</c:v>
                </c:pt>
                <c:pt idx="132">
                  <c:v>40011</c:v>
                </c:pt>
                <c:pt idx="133">
                  <c:v>40018</c:v>
                </c:pt>
                <c:pt idx="134">
                  <c:v>40025</c:v>
                </c:pt>
                <c:pt idx="135">
                  <c:v>40032</c:v>
                </c:pt>
                <c:pt idx="136">
                  <c:v>40039</c:v>
                </c:pt>
                <c:pt idx="137">
                  <c:v>40046</c:v>
                </c:pt>
                <c:pt idx="138">
                  <c:v>40053</c:v>
                </c:pt>
                <c:pt idx="139">
                  <c:v>40060</c:v>
                </c:pt>
                <c:pt idx="140">
                  <c:v>40067</c:v>
                </c:pt>
                <c:pt idx="141">
                  <c:v>40074</c:v>
                </c:pt>
                <c:pt idx="142">
                  <c:v>40081</c:v>
                </c:pt>
                <c:pt idx="143">
                  <c:v>40088</c:v>
                </c:pt>
                <c:pt idx="144">
                  <c:v>40095</c:v>
                </c:pt>
                <c:pt idx="145">
                  <c:v>40102</c:v>
                </c:pt>
                <c:pt idx="146">
                  <c:v>40109</c:v>
                </c:pt>
                <c:pt idx="147">
                  <c:v>40116</c:v>
                </c:pt>
                <c:pt idx="148">
                  <c:v>40123</c:v>
                </c:pt>
                <c:pt idx="149">
                  <c:v>40130</c:v>
                </c:pt>
                <c:pt idx="150">
                  <c:v>40137</c:v>
                </c:pt>
                <c:pt idx="151">
                  <c:v>40144</c:v>
                </c:pt>
                <c:pt idx="152">
                  <c:v>40151</c:v>
                </c:pt>
                <c:pt idx="153">
                  <c:v>40158</c:v>
                </c:pt>
                <c:pt idx="154">
                  <c:v>40165</c:v>
                </c:pt>
                <c:pt idx="155">
                  <c:v>40172</c:v>
                </c:pt>
                <c:pt idx="156">
                  <c:v>40179</c:v>
                </c:pt>
                <c:pt idx="157">
                  <c:v>40186</c:v>
                </c:pt>
                <c:pt idx="158">
                  <c:v>40193</c:v>
                </c:pt>
                <c:pt idx="159">
                  <c:v>40200</c:v>
                </c:pt>
                <c:pt idx="160">
                  <c:v>40207</c:v>
                </c:pt>
                <c:pt idx="161">
                  <c:v>40214</c:v>
                </c:pt>
                <c:pt idx="162">
                  <c:v>40221</c:v>
                </c:pt>
                <c:pt idx="163">
                  <c:v>40228</c:v>
                </c:pt>
                <c:pt idx="164">
                  <c:v>40235</c:v>
                </c:pt>
                <c:pt idx="165">
                  <c:v>40242</c:v>
                </c:pt>
                <c:pt idx="166">
                  <c:v>40249</c:v>
                </c:pt>
                <c:pt idx="167">
                  <c:v>40256</c:v>
                </c:pt>
                <c:pt idx="168">
                  <c:v>40263</c:v>
                </c:pt>
                <c:pt idx="169">
                  <c:v>40270</c:v>
                </c:pt>
                <c:pt idx="170">
                  <c:v>40277</c:v>
                </c:pt>
                <c:pt idx="171">
                  <c:v>40284</c:v>
                </c:pt>
                <c:pt idx="172">
                  <c:v>40291</c:v>
                </c:pt>
                <c:pt idx="173">
                  <c:v>40298</c:v>
                </c:pt>
                <c:pt idx="174">
                  <c:v>40305</c:v>
                </c:pt>
                <c:pt idx="175">
                  <c:v>40312</c:v>
                </c:pt>
                <c:pt idx="176">
                  <c:v>40319</c:v>
                </c:pt>
                <c:pt idx="177">
                  <c:v>40326</c:v>
                </c:pt>
                <c:pt idx="178">
                  <c:v>40333</c:v>
                </c:pt>
                <c:pt idx="179">
                  <c:v>40340</c:v>
                </c:pt>
                <c:pt idx="180">
                  <c:v>40347</c:v>
                </c:pt>
                <c:pt idx="181">
                  <c:v>40354</c:v>
                </c:pt>
                <c:pt idx="182">
                  <c:v>40361</c:v>
                </c:pt>
                <c:pt idx="183">
                  <c:v>40368</c:v>
                </c:pt>
                <c:pt idx="184">
                  <c:v>40375</c:v>
                </c:pt>
                <c:pt idx="185">
                  <c:v>40382</c:v>
                </c:pt>
                <c:pt idx="186">
                  <c:v>40389</c:v>
                </c:pt>
                <c:pt idx="187">
                  <c:v>40396</c:v>
                </c:pt>
                <c:pt idx="188">
                  <c:v>40403</c:v>
                </c:pt>
                <c:pt idx="189">
                  <c:v>40410</c:v>
                </c:pt>
                <c:pt idx="190">
                  <c:v>40417</c:v>
                </c:pt>
                <c:pt idx="191">
                  <c:v>40424</c:v>
                </c:pt>
                <c:pt idx="192">
                  <c:v>40431</c:v>
                </c:pt>
                <c:pt idx="193">
                  <c:v>40438</c:v>
                </c:pt>
                <c:pt idx="194">
                  <c:v>40445</c:v>
                </c:pt>
                <c:pt idx="195">
                  <c:v>40452</c:v>
                </c:pt>
                <c:pt idx="196">
                  <c:v>40459</c:v>
                </c:pt>
                <c:pt idx="197">
                  <c:v>40466</c:v>
                </c:pt>
                <c:pt idx="198">
                  <c:v>40473</c:v>
                </c:pt>
                <c:pt idx="199">
                  <c:v>40480</c:v>
                </c:pt>
                <c:pt idx="200">
                  <c:v>40487</c:v>
                </c:pt>
                <c:pt idx="201">
                  <c:v>40494</c:v>
                </c:pt>
                <c:pt idx="202">
                  <c:v>40501</c:v>
                </c:pt>
                <c:pt idx="203">
                  <c:v>40508</c:v>
                </c:pt>
                <c:pt idx="204">
                  <c:v>40515</c:v>
                </c:pt>
                <c:pt idx="205">
                  <c:v>40522</c:v>
                </c:pt>
                <c:pt idx="206">
                  <c:v>40529</c:v>
                </c:pt>
                <c:pt idx="207">
                  <c:v>40536</c:v>
                </c:pt>
                <c:pt idx="208">
                  <c:v>40543</c:v>
                </c:pt>
                <c:pt idx="209">
                  <c:v>40550</c:v>
                </c:pt>
                <c:pt idx="210">
                  <c:v>40557</c:v>
                </c:pt>
                <c:pt idx="211">
                  <c:v>40564</c:v>
                </c:pt>
                <c:pt idx="212">
                  <c:v>40571</c:v>
                </c:pt>
                <c:pt idx="213">
                  <c:v>40578</c:v>
                </c:pt>
                <c:pt idx="214">
                  <c:v>40585</c:v>
                </c:pt>
                <c:pt idx="215">
                  <c:v>40592</c:v>
                </c:pt>
                <c:pt idx="216">
                  <c:v>40599</c:v>
                </c:pt>
                <c:pt idx="217">
                  <c:v>40606</c:v>
                </c:pt>
                <c:pt idx="218">
                  <c:v>40613</c:v>
                </c:pt>
                <c:pt idx="219">
                  <c:v>40620</c:v>
                </c:pt>
                <c:pt idx="220">
                  <c:v>40627</c:v>
                </c:pt>
                <c:pt idx="221">
                  <c:v>40634</c:v>
                </c:pt>
                <c:pt idx="222">
                  <c:v>40641</c:v>
                </c:pt>
                <c:pt idx="223">
                  <c:v>40648</c:v>
                </c:pt>
                <c:pt idx="224">
                  <c:v>40655</c:v>
                </c:pt>
                <c:pt idx="225">
                  <c:v>40662</c:v>
                </c:pt>
                <c:pt idx="226">
                  <c:v>40669</c:v>
                </c:pt>
                <c:pt idx="227">
                  <c:v>40676</c:v>
                </c:pt>
                <c:pt idx="228">
                  <c:v>40683</c:v>
                </c:pt>
                <c:pt idx="229">
                  <c:v>40690</c:v>
                </c:pt>
                <c:pt idx="230">
                  <c:v>40697</c:v>
                </c:pt>
                <c:pt idx="231">
                  <c:v>40704</c:v>
                </c:pt>
                <c:pt idx="232">
                  <c:v>40711</c:v>
                </c:pt>
                <c:pt idx="233">
                  <c:v>40718</c:v>
                </c:pt>
                <c:pt idx="234">
                  <c:v>40725</c:v>
                </c:pt>
                <c:pt idx="235">
                  <c:v>40732</c:v>
                </c:pt>
                <c:pt idx="236">
                  <c:v>40739</c:v>
                </c:pt>
                <c:pt idx="237">
                  <c:v>40746</c:v>
                </c:pt>
                <c:pt idx="238">
                  <c:v>40753</c:v>
                </c:pt>
                <c:pt idx="239">
                  <c:v>40760</c:v>
                </c:pt>
                <c:pt idx="240">
                  <c:v>40767</c:v>
                </c:pt>
                <c:pt idx="241">
                  <c:v>40774</c:v>
                </c:pt>
                <c:pt idx="242">
                  <c:v>40781</c:v>
                </c:pt>
                <c:pt idx="243">
                  <c:v>40788</c:v>
                </c:pt>
                <c:pt idx="244">
                  <c:v>40795</c:v>
                </c:pt>
                <c:pt idx="245">
                  <c:v>40802</c:v>
                </c:pt>
                <c:pt idx="246">
                  <c:v>40809</c:v>
                </c:pt>
                <c:pt idx="247">
                  <c:v>40816</c:v>
                </c:pt>
                <c:pt idx="248">
                  <c:v>40823</c:v>
                </c:pt>
                <c:pt idx="249">
                  <c:v>40830</c:v>
                </c:pt>
                <c:pt idx="250">
                  <c:v>40837</c:v>
                </c:pt>
                <c:pt idx="251">
                  <c:v>40844</c:v>
                </c:pt>
                <c:pt idx="252">
                  <c:v>40851</c:v>
                </c:pt>
                <c:pt idx="253">
                  <c:v>40858</c:v>
                </c:pt>
                <c:pt idx="254">
                  <c:v>40865</c:v>
                </c:pt>
                <c:pt idx="255">
                  <c:v>40872</c:v>
                </c:pt>
                <c:pt idx="256">
                  <c:v>40879</c:v>
                </c:pt>
                <c:pt idx="257">
                  <c:v>40886</c:v>
                </c:pt>
                <c:pt idx="258">
                  <c:v>40893</c:v>
                </c:pt>
                <c:pt idx="259">
                  <c:v>40900</c:v>
                </c:pt>
                <c:pt idx="260">
                  <c:v>40907</c:v>
                </c:pt>
                <c:pt idx="261">
                  <c:v>40914</c:v>
                </c:pt>
                <c:pt idx="262">
                  <c:v>40921</c:v>
                </c:pt>
                <c:pt idx="263">
                  <c:v>40928</c:v>
                </c:pt>
                <c:pt idx="264">
                  <c:v>40935</c:v>
                </c:pt>
                <c:pt idx="265">
                  <c:v>40942</c:v>
                </c:pt>
                <c:pt idx="266">
                  <c:v>40949</c:v>
                </c:pt>
                <c:pt idx="267">
                  <c:v>40956</c:v>
                </c:pt>
                <c:pt idx="268">
                  <c:v>40963</c:v>
                </c:pt>
                <c:pt idx="269">
                  <c:v>40970</c:v>
                </c:pt>
                <c:pt idx="270">
                  <c:v>40977</c:v>
                </c:pt>
                <c:pt idx="271">
                  <c:v>40984</c:v>
                </c:pt>
                <c:pt idx="272">
                  <c:v>40991</c:v>
                </c:pt>
                <c:pt idx="273">
                  <c:v>40998</c:v>
                </c:pt>
                <c:pt idx="274">
                  <c:v>41005</c:v>
                </c:pt>
                <c:pt idx="275">
                  <c:v>41012</c:v>
                </c:pt>
                <c:pt idx="276">
                  <c:v>41019</c:v>
                </c:pt>
                <c:pt idx="277">
                  <c:v>41026</c:v>
                </c:pt>
                <c:pt idx="278">
                  <c:v>41033</c:v>
                </c:pt>
                <c:pt idx="279">
                  <c:v>41040</c:v>
                </c:pt>
                <c:pt idx="280">
                  <c:v>41047</c:v>
                </c:pt>
                <c:pt idx="281">
                  <c:v>41054</c:v>
                </c:pt>
                <c:pt idx="282">
                  <c:v>41061</c:v>
                </c:pt>
                <c:pt idx="283">
                  <c:v>41068</c:v>
                </c:pt>
                <c:pt idx="284">
                  <c:v>41075</c:v>
                </c:pt>
                <c:pt idx="285">
                  <c:v>41082</c:v>
                </c:pt>
                <c:pt idx="286">
                  <c:v>41089</c:v>
                </c:pt>
                <c:pt idx="287">
                  <c:v>41096</c:v>
                </c:pt>
                <c:pt idx="288">
                  <c:v>41103</c:v>
                </c:pt>
                <c:pt idx="289">
                  <c:v>41110</c:v>
                </c:pt>
                <c:pt idx="290">
                  <c:v>41117</c:v>
                </c:pt>
                <c:pt idx="291">
                  <c:v>41124</c:v>
                </c:pt>
                <c:pt idx="292">
                  <c:v>41131</c:v>
                </c:pt>
                <c:pt idx="293">
                  <c:v>41138</c:v>
                </c:pt>
                <c:pt idx="294">
                  <c:v>41145</c:v>
                </c:pt>
                <c:pt idx="295">
                  <c:v>41152</c:v>
                </c:pt>
                <c:pt idx="296">
                  <c:v>41159</c:v>
                </c:pt>
                <c:pt idx="297">
                  <c:v>41166</c:v>
                </c:pt>
                <c:pt idx="298">
                  <c:v>41173</c:v>
                </c:pt>
                <c:pt idx="299">
                  <c:v>41180</c:v>
                </c:pt>
                <c:pt idx="300">
                  <c:v>41187</c:v>
                </c:pt>
                <c:pt idx="301">
                  <c:v>41194</c:v>
                </c:pt>
                <c:pt idx="302">
                  <c:v>41201</c:v>
                </c:pt>
                <c:pt idx="303">
                  <c:v>41208</c:v>
                </c:pt>
                <c:pt idx="304">
                  <c:v>41215</c:v>
                </c:pt>
                <c:pt idx="305">
                  <c:v>41222</c:v>
                </c:pt>
                <c:pt idx="306">
                  <c:v>41229</c:v>
                </c:pt>
                <c:pt idx="307">
                  <c:v>41236</c:v>
                </c:pt>
                <c:pt idx="308">
                  <c:v>41243</c:v>
                </c:pt>
                <c:pt idx="309">
                  <c:v>41250</c:v>
                </c:pt>
                <c:pt idx="310">
                  <c:v>41257</c:v>
                </c:pt>
                <c:pt idx="311">
                  <c:v>41264</c:v>
                </c:pt>
                <c:pt idx="312">
                  <c:v>41271</c:v>
                </c:pt>
                <c:pt idx="313">
                  <c:v>41278</c:v>
                </c:pt>
                <c:pt idx="314">
                  <c:v>41285</c:v>
                </c:pt>
                <c:pt idx="315">
                  <c:v>41292</c:v>
                </c:pt>
                <c:pt idx="316">
                  <c:v>41299</c:v>
                </c:pt>
                <c:pt idx="317">
                  <c:v>41306</c:v>
                </c:pt>
                <c:pt idx="318">
                  <c:v>41313</c:v>
                </c:pt>
                <c:pt idx="319">
                  <c:v>41320</c:v>
                </c:pt>
                <c:pt idx="320">
                  <c:v>41327</c:v>
                </c:pt>
                <c:pt idx="321">
                  <c:v>41334</c:v>
                </c:pt>
                <c:pt idx="322">
                  <c:v>41341</c:v>
                </c:pt>
                <c:pt idx="323">
                  <c:v>41348</c:v>
                </c:pt>
                <c:pt idx="324">
                  <c:v>41355</c:v>
                </c:pt>
                <c:pt idx="325">
                  <c:v>41362</c:v>
                </c:pt>
                <c:pt idx="326">
                  <c:v>41369</c:v>
                </c:pt>
                <c:pt idx="327">
                  <c:v>41376</c:v>
                </c:pt>
                <c:pt idx="328">
                  <c:v>41383</c:v>
                </c:pt>
                <c:pt idx="329">
                  <c:v>41390</c:v>
                </c:pt>
                <c:pt idx="330">
                  <c:v>41397</c:v>
                </c:pt>
                <c:pt idx="331">
                  <c:v>41404</c:v>
                </c:pt>
                <c:pt idx="332">
                  <c:v>41411</c:v>
                </c:pt>
                <c:pt idx="333">
                  <c:v>41418</c:v>
                </c:pt>
                <c:pt idx="334">
                  <c:v>41425</c:v>
                </c:pt>
                <c:pt idx="335">
                  <c:v>41432</c:v>
                </c:pt>
                <c:pt idx="336">
                  <c:v>41439</c:v>
                </c:pt>
                <c:pt idx="337">
                  <c:v>41446</c:v>
                </c:pt>
                <c:pt idx="338">
                  <c:v>41453</c:v>
                </c:pt>
                <c:pt idx="339">
                  <c:v>41460</c:v>
                </c:pt>
                <c:pt idx="340">
                  <c:v>41467</c:v>
                </c:pt>
                <c:pt idx="341">
                  <c:v>41474</c:v>
                </c:pt>
                <c:pt idx="342">
                  <c:v>41481</c:v>
                </c:pt>
                <c:pt idx="343">
                  <c:v>41488</c:v>
                </c:pt>
                <c:pt idx="344">
                  <c:v>41495</c:v>
                </c:pt>
                <c:pt idx="345">
                  <c:v>41502</c:v>
                </c:pt>
                <c:pt idx="346">
                  <c:v>41509</c:v>
                </c:pt>
                <c:pt idx="347">
                  <c:v>41516</c:v>
                </c:pt>
                <c:pt idx="348">
                  <c:v>41523</c:v>
                </c:pt>
                <c:pt idx="349">
                  <c:v>41530</c:v>
                </c:pt>
                <c:pt idx="350">
                  <c:v>41537</c:v>
                </c:pt>
                <c:pt idx="351">
                  <c:v>41544</c:v>
                </c:pt>
                <c:pt idx="352">
                  <c:v>41551</c:v>
                </c:pt>
                <c:pt idx="353">
                  <c:v>41558</c:v>
                </c:pt>
                <c:pt idx="354">
                  <c:v>41565</c:v>
                </c:pt>
                <c:pt idx="355">
                  <c:v>41572</c:v>
                </c:pt>
                <c:pt idx="356">
                  <c:v>41579</c:v>
                </c:pt>
                <c:pt idx="357">
                  <c:v>41586</c:v>
                </c:pt>
                <c:pt idx="358">
                  <c:v>41593</c:v>
                </c:pt>
                <c:pt idx="359">
                  <c:v>41600</c:v>
                </c:pt>
                <c:pt idx="360">
                  <c:v>41607</c:v>
                </c:pt>
                <c:pt idx="361">
                  <c:v>41614</c:v>
                </c:pt>
                <c:pt idx="362">
                  <c:v>41621</c:v>
                </c:pt>
                <c:pt idx="363">
                  <c:v>41628</c:v>
                </c:pt>
                <c:pt idx="364">
                  <c:v>41635</c:v>
                </c:pt>
                <c:pt idx="365">
                  <c:v>41642</c:v>
                </c:pt>
                <c:pt idx="366">
                  <c:v>41649</c:v>
                </c:pt>
                <c:pt idx="367">
                  <c:v>41656</c:v>
                </c:pt>
                <c:pt idx="368">
                  <c:v>41663</c:v>
                </c:pt>
                <c:pt idx="369">
                  <c:v>41670</c:v>
                </c:pt>
                <c:pt idx="370">
                  <c:v>41677</c:v>
                </c:pt>
                <c:pt idx="371">
                  <c:v>41684</c:v>
                </c:pt>
                <c:pt idx="372">
                  <c:v>41691</c:v>
                </c:pt>
                <c:pt idx="373">
                  <c:v>41698</c:v>
                </c:pt>
                <c:pt idx="374">
                  <c:v>41705</c:v>
                </c:pt>
                <c:pt idx="375">
                  <c:v>41712</c:v>
                </c:pt>
                <c:pt idx="376">
                  <c:v>41719</c:v>
                </c:pt>
                <c:pt idx="377">
                  <c:v>41726</c:v>
                </c:pt>
                <c:pt idx="378">
                  <c:v>41733</c:v>
                </c:pt>
                <c:pt idx="379">
                  <c:v>41740</c:v>
                </c:pt>
                <c:pt idx="380">
                  <c:v>41747</c:v>
                </c:pt>
                <c:pt idx="381">
                  <c:v>41754</c:v>
                </c:pt>
                <c:pt idx="382">
                  <c:v>41761</c:v>
                </c:pt>
                <c:pt idx="383">
                  <c:v>41768</c:v>
                </c:pt>
                <c:pt idx="384">
                  <c:v>41775</c:v>
                </c:pt>
                <c:pt idx="385">
                  <c:v>41782</c:v>
                </c:pt>
                <c:pt idx="386">
                  <c:v>41789</c:v>
                </c:pt>
                <c:pt idx="387">
                  <c:v>41796</c:v>
                </c:pt>
                <c:pt idx="388">
                  <c:v>41803</c:v>
                </c:pt>
                <c:pt idx="389">
                  <c:v>41810</c:v>
                </c:pt>
                <c:pt idx="390">
                  <c:v>41817</c:v>
                </c:pt>
                <c:pt idx="391">
                  <c:v>41824</c:v>
                </c:pt>
                <c:pt idx="392">
                  <c:v>41831</c:v>
                </c:pt>
                <c:pt idx="393">
                  <c:v>41838</c:v>
                </c:pt>
                <c:pt idx="394">
                  <c:v>41845</c:v>
                </c:pt>
                <c:pt idx="395">
                  <c:v>41852</c:v>
                </c:pt>
                <c:pt idx="396">
                  <c:v>41859</c:v>
                </c:pt>
                <c:pt idx="397">
                  <c:v>41866</c:v>
                </c:pt>
                <c:pt idx="398">
                  <c:v>41873</c:v>
                </c:pt>
                <c:pt idx="399">
                  <c:v>41880</c:v>
                </c:pt>
                <c:pt idx="400">
                  <c:v>41887</c:v>
                </c:pt>
                <c:pt idx="401">
                  <c:v>41894</c:v>
                </c:pt>
                <c:pt idx="402">
                  <c:v>41901</c:v>
                </c:pt>
                <c:pt idx="403">
                  <c:v>41908</c:v>
                </c:pt>
                <c:pt idx="404">
                  <c:v>41915</c:v>
                </c:pt>
                <c:pt idx="405">
                  <c:v>41922</c:v>
                </c:pt>
                <c:pt idx="406">
                  <c:v>41929</c:v>
                </c:pt>
                <c:pt idx="407">
                  <c:v>41936</c:v>
                </c:pt>
                <c:pt idx="408">
                  <c:v>41943</c:v>
                </c:pt>
                <c:pt idx="409">
                  <c:v>41950</c:v>
                </c:pt>
                <c:pt idx="410">
                  <c:v>41957</c:v>
                </c:pt>
                <c:pt idx="411">
                  <c:v>41964</c:v>
                </c:pt>
                <c:pt idx="412">
                  <c:v>41971</c:v>
                </c:pt>
                <c:pt idx="413">
                  <c:v>41978</c:v>
                </c:pt>
                <c:pt idx="414">
                  <c:v>41985</c:v>
                </c:pt>
                <c:pt idx="415">
                  <c:v>41992</c:v>
                </c:pt>
                <c:pt idx="416">
                  <c:v>41999</c:v>
                </c:pt>
                <c:pt idx="417">
                  <c:v>42006</c:v>
                </c:pt>
                <c:pt idx="418">
                  <c:v>42013</c:v>
                </c:pt>
                <c:pt idx="419">
                  <c:v>42020</c:v>
                </c:pt>
                <c:pt idx="420">
                  <c:v>42027</c:v>
                </c:pt>
                <c:pt idx="421">
                  <c:v>42034</c:v>
                </c:pt>
                <c:pt idx="422">
                  <c:v>42041</c:v>
                </c:pt>
                <c:pt idx="423">
                  <c:v>42048</c:v>
                </c:pt>
                <c:pt idx="424">
                  <c:v>42055</c:v>
                </c:pt>
                <c:pt idx="425">
                  <c:v>42062</c:v>
                </c:pt>
                <c:pt idx="426">
                  <c:v>42069</c:v>
                </c:pt>
                <c:pt idx="427">
                  <c:v>42076</c:v>
                </c:pt>
                <c:pt idx="428">
                  <c:v>42083</c:v>
                </c:pt>
                <c:pt idx="429">
                  <c:v>42090</c:v>
                </c:pt>
                <c:pt idx="430">
                  <c:v>42097</c:v>
                </c:pt>
                <c:pt idx="431">
                  <c:v>42104</c:v>
                </c:pt>
                <c:pt idx="432">
                  <c:v>42111</c:v>
                </c:pt>
                <c:pt idx="433">
                  <c:v>42118</c:v>
                </c:pt>
                <c:pt idx="434">
                  <c:v>42125</c:v>
                </c:pt>
                <c:pt idx="435">
                  <c:v>42132</c:v>
                </c:pt>
                <c:pt idx="436">
                  <c:v>42139</c:v>
                </c:pt>
                <c:pt idx="437">
                  <c:v>42146</c:v>
                </c:pt>
                <c:pt idx="438">
                  <c:v>42153</c:v>
                </c:pt>
                <c:pt idx="439">
                  <c:v>42160</c:v>
                </c:pt>
                <c:pt idx="440">
                  <c:v>42167</c:v>
                </c:pt>
                <c:pt idx="441">
                  <c:v>42174</c:v>
                </c:pt>
                <c:pt idx="442">
                  <c:v>42181</c:v>
                </c:pt>
                <c:pt idx="443">
                  <c:v>42188</c:v>
                </c:pt>
                <c:pt idx="444">
                  <c:v>42195</c:v>
                </c:pt>
                <c:pt idx="445">
                  <c:v>42202</c:v>
                </c:pt>
                <c:pt idx="446">
                  <c:v>42209</c:v>
                </c:pt>
                <c:pt idx="447">
                  <c:v>42216</c:v>
                </c:pt>
                <c:pt idx="448">
                  <c:v>42223</c:v>
                </c:pt>
                <c:pt idx="449">
                  <c:v>42230</c:v>
                </c:pt>
                <c:pt idx="450">
                  <c:v>42237</c:v>
                </c:pt>
                <c:pt idx="451">
                  <c:v>42244</c:v>
                </c:pt>
                <c:pt idx="452">
                  <c:v>42251</c:v>
                </c:pt>
                <c:pt idx="453">
                  <c:v>42258</c:v>
                </c:pt>
                <c:pt idx="454">
                  <c:v>42265</c:v>
                </c:pt>
                <c:pt idx="455">
                  <c:v>42272</c:v>
                </c:pt>
                <c:pt idx="456">
                  <c:v>42279</c:v>
                </c:pt>
                <c:pt idx="457">
                  <c:v>42286</c:v>
                </c:pt>
                <c:pt idx="458">
                  <c:v>42293</c:v>
                </c:pt>
                <c:pt idx="459">
                  <c:v>42300</c:v>
                </c:pt>
                <c:pt idx="460">
                  <c:v>42307</c:v>
                </c:pt>
                <c:pt idx="461">
                  <c:v>42314</c:v>
                </c:pt>
                <c:pt idx="462">
                  <c:v>42321</c:v>
                </c:pt>
                <c:pt idx="463">
                  <c:v>42328</c:v>
                </c:pt>
                <c:pt idx="464">
                  <c:v>42335</c:v>
                </c:pt>
                <c:pt idx="465">
                  <c:v>42342</c:v>
                </c:pt>
                <c:pt idx="466">
                  <c:v>42349</c:v>
                </c:pt>
                <c:pt idx="467">
                  <c:v>42356</c:v>
                </c:pt>
                <c:pt idx="468">
                  <c:v>42363</c:v>
                </c:pt>
                <c:pt idx="469">
                  <c:v>42370</c:v>
                </c:pt>
                <c:pt idx="470">
                  <c:v>42377</c:v>
                </c:pt>
                <c:pt idx="471">
                  <c:v>42384</c:v>
                </c:pt>
                <c:pt idx="472">
                  <c:v>42391</c:v>
                </c:pt>
                <c:pt idx="473">
                  <c:v>42398</c:v>
                </c:pt>
                <c:pt idx="474">
                  <c:v>42405</c:v>
                </c:pt>
                <c:pt idx="475">
                  <c:v>42412</c:v>
                </c:pt>
                <c:pt idx="476">
                  <c:v>42419</c:v>
                </c:pt>
                <c:pt idx="477">
                  <c:v>42426</c:v>
                </c:pt>
                <c:pt idx="478">
                  <c:v>42433</c:v>
                </c:pt>
                <c:pt idx="479">
                  <c:v>42440</c:v>
                </c:pt>
                <c:pt idx="480">
                  <c:v>42447</c:v>
                </c:pt>
                <c:pt idx="481">
                  <c:v>42454</c:v>
                </c:pt>
                <c:pt idx="482">
                  <c:v>42461</c:v>
                </c:pt>
                <c:pt idx="483">
                  <c:v>42468</c:v>
                </c:pt>
                <c:pt idx="484">
                  <c:v>42475</c:v>
                </c:pt>
                <c:pt idx="485">
                  <c:v>42482</c:v>
                </c:pt>
                <c:pt idx="486">
                  <c:v>42489</c:v>
                </c:pt>
                <c:pt idx="487">
                  <c:v>42496</c:v>
                </c:pt>
                <c:pt idx="488">
                  <c:v>42503</c:v>
                </c:pt>
                <c:pt idx="489">
                  <c:v>42510</c:v>
                </c:pt>
                <c:pt idx="490">
                  <c:v>42517</c:v>
                </c:pt>
                <c:pt idx="491">
                  <c:v>42524</c:v>
                </c:pt>
                <c:pt idx="492">
                  <c:v>42531</c:v>
                </c:pt>
                <c:pt idx="493">
                  <c:v>42538</c:v>
                </c:pt>
                <c:pt idx="494">
                  <c:v>42545</c:v>
                </c:pt>
                <c:pt idx="495">
                  <c:v>42552</c:v>
                </c:pt>
                <c:pt idx="496">
                  <c:v>42559</c:v>
                </c:pt>
                <c:pt idx="497">
                  <c:v>42566</c:v>
                </c:pt>
                <c:pt idx="498">
                  <c:v>42573</c:v>
                </c:pt>
                <c:pt idx="499">
                  <c:v>42580</c:v>
                </c:pt>
                <c:pt idx="500">
                  <c:v>42587</c:v>
                </c:pt>
                <c:pt idx="501">
                  <c:v>42594</c:v>
                </c:pt>
                <c:pt idx="502">
                  <c:v>42601</c:v>
                </c:pt>
                <c:pt idx="503">
                  <c:v>42608</c:v>
                </c:pt>
                <c:pt idx="504">
                  <c:v>42615</c:v>
                </c:pt>
                <c:pt idx="505">
                  <c:v>42622</c:v>
                </c:pt>
                <c:pt idx="506">
                  <c:v>42629</c:v>
                </c:pt>
                <c:pt idx="507">
                  <c:v>42636</c:v>
                </c:pt>
                <c:pt idx="508">
                  <c:v>42643</c:v>
                </c:pt>
                <c:pt idx="509">
                  <c:v>42650</c:v>
                </c:pt>
                <c:pt idx="510">
                  <c:v>42657</c:v>
                </c:pt>
                <c:pt idx="511">
                  <c:v>42664</c:v>
                </c:pt>
                <c:pt idx="512">
                  <c:v>42671</c:v>
                </c:pt>
                <c:pt idx="513">
                  <c:v>42678</c:v>
                </c:pt>
                <c:pt idx="514">
                  <c:v>42685</c:v>
                </c:pt>
                <c:pt idx="515">
                  <c:v>42692</c:v>
                </c:pt>
                <c:pt idx="516">
                  <c:v>42699</c:v>
                </c:pt>
                <c:pt idx="517">
                  <c:v>42706</c:v>
                </c:pt>
                <c:pt idx="518">
                  <c:v>42713</c:v>
                </c:pt>
                <c:pt idx="519">
                  <c:v>42720</c:v>
                </c:pt>
                <c:pt idx="520">
                  <c:v>42727</c:v>
                </c:pt>
                <c:pt idx="521">
                  <c:v>42734</c:v>
                </c:pt>
                <c:pt idx="522">
                  <c:v>42741</c:v>
                </c:pt>
                <c:pt idx="523">
                  <c:v>42748</c:v>
                </c:pt>
                <c:pt idx="524">
                  <c:v>42755</c:v>
                </c:pt>
                <c:pt idx="525">
                  <c:v>42762</c:v>
                </c:pt>
                <c:pt idx="526">
                  <c:v>42769</c:v>
                </c:pt>
                <c:pt idx="527">
                  <c:v>42776</c:v>
                </c:pt>
                <c:pt idx="528">
                  <c:v>42783</c:v>
                </c:pt>
                <c:pt idx="529">
                  <c:v>42790</c:v>
                </c:pt>
                <c:pt idx="530">
                  <c:v>42797</c:v>
                </c:pt>
                <c:pt idx="531">
                  <c:v>42804</c:v>
                </c:pt>
                <c:pt idx="532">
                  <c:v>42811</c:v>
                </c:pt>
                <c:pt idx="533">
                  <c:v>42818</c:v>
                </c:pt>
                <c:pt idx="534">
                  <c:v>42825</c:v>
                </c:pt>
                <c:pt idx="535">
                  <c:v>42832</c:v>
                </c:pt>
                <c:pt idx="536">
                  <c:v>42839</c:v>
                </c:pt>
                <c:pt idx="537">
                  <c:v>42846</c:v>
                </c:pt>
                <c:pt idx="538">
                  <c:v>42853</c:v>
                </c:pt>
                <c:pt idx="539">
                  <c:v>42860</c:v>
                </c:pt>
                <c:pt idx="540">
                  <c:v>42867</c:v>
                </c:pt>
                <c:pt idx="541">
                  <c:v>42874</c:v>
                </c:pt>
                <c:pt idx="542">
                  <c:v>42881</c:v>
                </c:pt>
                <c:pt idx="543">
                  <c:v>42888</c:v>
                </c:pt>
                <c:pt idx="544">
                  <c:v>42895</c:v>
                </c:pt>
                <c:pt idx="545">
                  <c:v>42902</c:v>
                </c:pt>
                <c:pt idx="546">
                  <c:v>42909</c:v>
                </c:pt>
                <c:pt idx="547">
                  <c:v>42916</c:v>
                </c:pt>
                <c:pt idx="548">
                  <c:v>42923</c:v>
                </c:pt>
                <c:pt idx="549">
                  <c:v>42930</c:v>
                </c:pt>
                <c:pt idx="550">
                  <c:v>42937</c:v>
                </c:pt>
                <c:pt idx="551">
                  <c:v>42944</c:v>
                </c:pt>
                <c:pt idx="552">
                  <c:v>42951</c:v>
                </c:pt>
                <c:pt idx="553">
                  <c:v>42958</c:v>
                </c:pt>
                <c:pt idx="554">
                  <c:v>42965</c:v>
                </c:pt>
                <c:pt idx="555">
                  <c:v>42972</c:v>
                </c:pt>
                <c:pt idx="556">
                  <c:v>42979</c:v>
                </c:pt>
                <c:pt idx="557">
                  <c:v>42986</c:v>
                </c:pt>
                <c:pt idx="558">
                  <c:v>42993</c:v>
                </c:pt>
                <c:pt idx="559">
                  <c:v>43000</c:v>
                </c:pt>
                <c:pt idx="560">
                  <c:v>43007</c:v>
                </c:pt>
                <c:pt idx="561">
                  <c:v>43014</c:v>
                </c:pt>
                <c:pt idx="562">
                  <c:v>43021</c:v>
                </c:pt>
                <c:pt idx="563">
                  <c:v>43028</c:v>
                </c:pt>
                <c:pt idx="564">
                  <c:v>43035</c:v>
                </c:pt>
                <c:pt idx="565">
                  <c:v>43042</c:v>
                </c:pt>
                <c:pt idx="566">
                  <c:v>43049</c:v>
                </c:pt>
                <c:pt idx="567">
                  <c:v>43056</c:v>
                </c:pt>
                <c:pt idx="568">
                  <c:v>43063</c:v>
                </c:pt>
                <c:pt idx="569">
                  <c:v>43070</c:v>
                </c:pt>
                <c:pt idx="570">
                  <c:v>43077</c:v>
                </c:pt>
                <c:pt idx="571">
                  <c:v>43084</c:v>
                </c:pt>
                <c:pt idx="572">
                  <c:v>43091</c:v>
                </c:pt>
                <c:pt idx="573">
                  <c:v>43098</c:v>
                </c:pt>
                <c:pt idx="574">
                  <c:v>43105</c:v>
                </c:pt>
                <c:pt idx="575">
                  <c:v>43112</c:v>
                </c:pt>
                <c:pt idx="576">
                  <c:v>43119</c:v>
                </c:pt>
                <c:pt idx="577">
                  <c:v>43126</c:v>
                </c:pt>
                <c:pt idx="578">
                  <c:v>43133</c:v>
                </c:pt>
                <c:pt idx="579">
                  <c:v>43140</c:v>
                </c:pt>
                <c:pt idx="580">
                  <c:v>43147</c:v>
                </c:pt>
                <c:pt idx="581">
                  <c:v>43154</c:v>
                </c:pt>
                <c:pt idx="582">
                  <c:v>43161</c:v>
                </c:pt>
                <c:pt idx="583">
                  <c:v>43168</c:v>
                </c:pt>
                <c:pt idx="584">
                  <c:v>43175</c:v>
                </c:pt>
                <c:pt idx="585">
                  <c:v>43182</c:v>
                </c:pt>
                <c:pt idx="586">
                  <c:v>43189</c:v>
                </c:pt>
                <c:pt idx="587">
                  <c:v>43196</c:v>
                </c:pt>
                <c:pt idx="588">
                  <c:v>43203</c:v>
                </c:pt>
                <c:pt idx="589">
                  <c:v>43210</c:v>
                </c:pt>
                <c:pt idx="590">
                  <c:v>43217</c:v>
                </c:pt>
                <c:pt idx="591">
                  <c:v>43224</c:v>
                </c:pt>
                <c:pt idx="592">
                  <c:v>43231</c:v>
                </c:pt>
                <c:pt idx="593">
                  <c:v>43238</c:v>
                </c:pt>
                <c:pt idx="594">
                  <c:v>43245</c:v>
                </c:pt>
                <c:pt idx="595">
                  <c:v>43252</c:v>
                </c:pt>
                <c:pt idx="596">
                  <c:v>43259</c:v>
                </c:pt>
                <c:pt idx="597">
                  <c:v>43266</c:v>
                </c:pt>
                <c:pt idx="598">
                  <c:v>43273</c:v>
                </c:pt>
                <c:pt idx="599">
                  <c:v>43280</c:v>
                </c:pt>
                <c:pt idx="600">
                  <c:v>43287</c:v>
                </c:pt>
                <c:pt idx="601">
                  <c:v>43294</c:v>
                </c:pt>
                <c:pt idx="602">
                  <c:v>43301</c:v>
                </c:pt>
                <c:pt idx="603">
                  <c:v>43308</c:v>
                </c:pt>
                <c:pt idx="604">
                  <c:v>43315</c:v>
                </c:pt>
                <c:pt idx="605">
                  <c:v>43322</c:v>
                </c:pt>
                <c:pt idx="606">
                  <c:v>43329</c:v>
                </c:pt>
                <c:pt idx="607">
                  <c:v>43336</c:v>
                </c:pt>
                <c:pt idx="608">
                  <c:v>43343</c:v>
                </c:pt>
                <c:pt idx="609">
                  <c:v>43350</c:v>
                </c:pt>
                <c:pt idx="610">
                  <c:v>43357</c:v>
                </c:pt>
                <c:pt idx="611">
                  <c:v>43364</c:v>
                </c:pt>
                <c:pt idx="612">
                  <c:v>43371</c:v>
                </c:pt>
                <c:pt idx="613">
                  <c:v>43378</c:v>
                </c:pt>
                <c:pt idx="614">
                  <c:v>43385</c:v>
                </c:pt>
                <c:pt idx="615">
                  <c:v>43392</c:v>
                </c:pt>
                <c:pt idx="616">
                  <c:v>43399</c:v>
                </c:pt>
                <c:pt idx="617">
                  <c:v>43406</c:v>
                </c:pt>
                <c:pt idx="618">
                  <c:v>43413</c:v>
                </c:pt>
                <c:pt idx="619">
                  <c:v>43420</c:v>
                </c:pt>
                <c:pt idx="620">
                  <c:v>43427</c:v>
                </c:pt>
                <c:pt idx="621">
                  <c:v>43434</c:v>
                </c:pt>
                <c:pt idx="622">
                  <c:v>43441</c:v>
                </c:pt>
                <c:pt idx="623">
                  <c:v>43448</c:v>
                </c:pt>
                <c:pt idx="624">
                  <c:v>43455</c:v>
                </c:pt>
                <c:pt idx="625">
                  <c:v>43462</c:v>
                </c:pt>
                <c:pt idx="626">
                  <c:v>43469</c:v>
                </c:pt>
                <c:pt idx="627">
                  <c:v>43476</c:v>
                </c:pt>
                <c:pt idx="628">
                  <c:v>43483</c:v>
                </c:pt>
                <c:pt idx="629">
                  <c:v>43490</c:v>
                </c:pt>
                <c:pt idx="630">
                  <c:v>43497</c:v>
                </c:pt>
                <c:pt idx="631">
                  <c:v>43504</c:v>
                </c:pt>
                <c:pt idx="632">
                  <c:v>43511</c:v>
                </c:pt>
                <c:pt idx="633">
                  <c:v>43518</c:v>
                </c:pt>
                <c:pt idx="634">
                  <c:v>43525</c:v>
                </c:pt>
                <c:pt idx="635">
                  <c:v>43532</c:v>
                </c:pt>
                <c:pt idx="636">
                  <c:v>43539</c:v>
                </c:pt>
                <c:pt idx="637">
                  <c:v>43546</c:v>
                </c:pt>
                <c:pt idx="638">
                  <c:v>43553</c:v>
                </c:pt>
                <c:pt idx="639">
                  <c:v>43560</c:v>
                </c:pt>
                <c:pt idx="640">
                  <c:v>43567</c:v>
                </c:pt>
                <c:pt idx="641">
                  <c:v>43574</c:v>
                </c:pt>
                <c:pt idx="642">
                  <c:v>43581</c:v>
                </c:pt>
                <c:pt idx="643">
                  <c:v>43588</c:v>
                </c:pt>
                <c:pt idx="644">
                  <c:v>43595</c:v>
                </c:pt>
                <c:pt idx="645">
                  <c:v>43602</c:v>
                </c:pt>
                <c:pt idx="646">
                  <c:v>43609</c:v>
                </c:pt>
                <c:pt idx="647">
                  <c:v>43616</c:v>
                </c:pt>
                <c:pt idx="648">
                  <c:v>43623</c:v>
                </c:pt>
                <c:pt idx="649">
                  <c:v>43630</c:v>
                </c:pt>
                <c:pt idx="650">
                  <c:v>43637</c:v>
                </c:pt>
                <c:pt idx="651">
                  <c:v>43644</c:v>
                </c:pt>
                <c:pt idx="652">
                  <c:v>43651</c:v>
                </c:pt>
                <c:pt idx="653">
                  <c:v>43658</c:v>
                </c:pt>
                <c:pt idx="654">
                  <c:v>43665</c:v>
                </c:pt>
                <c:pt idx="655">
                  <c:v>43672</c:v>
                </c:pt>
                <c:pt idx="656">
                  <c:v>43679</c:v>
                </c:pt>
                <c:pt idx="657">
                  <c:v>43686</c:v>
                </c:pt>
                <c:pt idx="658">
                  <c:v>43693</c:v>
                </c:pt>
                <c:pt idx="659">
                  <c:v>43700</c:v>
                </c:pt>
                <c:pt idx="660">
                  <c:v>43707</c:v>
                </c:pt>
                <c:pt idx="661">
                  <c:v>43714</c:v>
                </c:pt>
                <c:pt idx="662">
                  <c:v>43721</c:v>
                </c:pt>
                <c:pt idx="663">
                  <c:v>43728</c:v>
                </c:pt>
                <c:pt idx="664">
                  <c:v>43735</c:v>
                </c:pt>
                <c:pt idx="665">
                  <c:v>43742</c:v>
                </c:pt>
                <c:pt idx="666">
                  <c:v>43749</c:v>
                </c:pt>
                <c:pt idx="667">
                  <c:v>43756</c:v>
                </c:pt>
                <c:pt idx="668">
                  <c:v>43763</c:v>
                </c:pt>
                <c:pt idx="669">
                  <c:v>43770</c:v>
                </c:pt>
                <c:pt idx="670">
                  <c:v>43777</c:v>
                </c:pt>
                <c:pt idx="671">
                  <c:v>43784</c:v>
                </c:pt>
                <c:pt idx="672">
                  <c:v>43791</c:v>
                </c:pt>
                <c:pt idx="673">
                  <c:v>43798</c:v>
                </c:pt>
                <c:pt idx="674">
                  <c:v>43805</c:v>
                </c:pt>
                <c:pt idx="675">
                  <c:v>43812</c:v>
                </c:pt>
                <c:pt idx="676">
                  <c:v>43819</c:v>
                </c:pt>
                <c:pt idx="677">
                  <c:v>43826</c:v>
                </c:pt>
                <c:pt idx="678">
                  <c:v>43833</c:v>
                </c:pt>
                <c:pt idx="679">
                  <c:v>43840</c:v>
                </c:pt>
                <c:pt idx="680">
                  <c:v>43847</c:v>
                </c:pt>
                <c:pt idx="681">
                  <c:v>43854</c:v>
                </c:pt>
                <c:pt idx="682">
                  <c:v>43861</c:v>
                </c:pt>
                <c:pt idx="683">
                  <c:v>43868</c:v>
                </c:pt>
                <c:pt idx="684">
                  <c:v>43875</c:v>
                </c:pt>
                <c:pt idx="685">
                  <c:v>43882</c:v>
                </c:pt>
                <c:pt idx="686">
                  <c:v>43889</c:v>
                </c:pt>
                <c:pt idx="687">
                  <c:v>43896</c:v>
                </c:pt>
                <c:pt idx="688">
                  <c:v>43903</c:v>
                </c:pt>
                <c:pt idx="689">
                  <c:v>43910</c:v>
                </c:pt>
                <c:pt idx="690">
                  <c:v>43917</c:v>
                </c:pt>
                <c:pt idx="691">
                  <c:v>43924</c:v>
                </c:pt>
                <c:pt idx="692">
                  <c:v>43931</c:v>
                </c:pt>
                <c:pt idx="693">
                  <c:v>43938</c:v>
                </c:pt>
                <c:pt idx="694">
                  <c:v>43945</c:v>
                </c:pt>
                <c:pt idx="695">
                  <c:v>43952</c:v>
                </c:pt>
                <c:pt idx="696">
                  <c:v>43959</c:v>
                </c:pt>
                <c:pt idx="697">
                  <c:v>43966</c:v>
                </c:pt>
                <c:pt idx="698">
                  <c:v>43973</c:v>
                </c:pt>
                <c:pt idx="699">
                  <c:v>43980</c:v>
                </c:pt>
                <c:pt idx="700">
                  <c:v>43987</c:v>
                </c:pt>
                <c:pt idx="701">
                  <c:v>43994</c:v>
                </c:pt>
                <c:pt idx="702">
                  <c:v>44001</c:v>
                </c:pt>
                <c:pt idx="703">
                  <c:v>44008</c:v>
                </c:pt>
                <c:pt idx="704">
                  <c:v>44015</c:v>
                </c:pt>
                <c:pt idx="705">
                  <c:v>44022</c:v>
                </c:pt>
                <c:pt idx="706">
                  <c:v>44029</c:v>
                </c:pt>
                <c:pt idx="707">
                  <c:v>44036</c:v>
                </c:pt>
                <c:pt idx="708">
                  <c:v>44043</c:v>
                </c:pt>
                <c:pt idx="709">
                  <c:v>44050</c:v>
                </c:pt>
                <c:pt idx="710">
                  <c:v>44057</c:v>
                </c:pt>
                <c:pt idx="711">
                  <c:v>44064</c:v>
                </c:pt>
                <c:pt idx="712">
                  <c:v>44071</c:v>
                </c:pt>
                <c:pt idx="713">
                  <c:v>44078</c:v>
                </c:pt>
                <c:pt idx="714">
                  <c:v>44085</c:v>
                </c:pt>
                <c:pt idx="715">
                  <c:v>44092</c:v>
                </c:pt>
                <c:pt idx="716">
                  <c:v>44099</c:v>
                </c:pt>
                <c:pt idx="717">
                  <c:v>44106</c:v>
                </c:pt>
                <c:pt idx="718">
                  <c:v>44113</c:v>
                </c:pt>
                <c:pt idx="719">
                  <c:v>44120</c:v>
                </c:pt>
                <c:pt idx="720">
                  <c:v>44127</c:v>
                </c:pt>
                <c:pt idx="721">
                  <c:v>44134</c:v>
                </c:pt>
                <c:pt idx="722">
                  <c:v>44141</c:v>
                </c:pt>
                <c:pt idx="723">
                  <c:v>44148</c:v>
                </c:pt>
                <c:pt idx="724">
                  <c:v>44155</c:v>
                </c:pt>
                <c:pt idx="725">
                  <c:v>44162</c:v>
                </c:pt>
                <c:pt idx="726">
                  <c:v>44169</c:v>
                </c:pt>
                <c:pt idx="727">
                  <c:v>44176</c:v>
                </c:pt>
                <c:pt idx="728">
                  <c:v>44183</c:v>
                </c:pt>
                <c:pt idx="729">
                  <c:v>44190</c:v>
                </c:pt>
                <c:pt idx="730">
                  <c:v>44197</c:v>
                </c:pt>
                <c:pt idx="731">
                  <c:v>44204</c:v>
                </c:pt>
                <c:pt idx="732">
                  <c:v>44211</c:v>
                </c:pt>
                <c:pt idx="733">
                  <c:v>44218</c:v>
                </c:pt>
                <c:pt idx="734">
                  <c:v>44225</c:v>
                </c:pt>
                <c:pt idx="735">
                  <c:v>44232</c:v>
                </c:pt>
                <c:pt idx="736">
                  <c:v>44239</c:v>
                </c:pt>
                <c:pt idx="737">
                  <c:v>44246</c:v>
                </c:pt>
                <c:pt idx="738">
                  <c:v>44253</c:v>
                </c:pt>
                <c:pt idx="739">
                  <c:v>44260</c:v>
                </c:pt>
                <c:pt idx="740">
                  <c:v>44267</c:v>
                </c:pt>
                <c:pt idx="741">
                  <c:v>44274</c:v>
                </c:pt>
                <c:pt idx="742">
                  <c:v>44281</c:v>
                </c:pt>
                <c:pt idx="743">
                  <c:v>44288</c:v>
                </c:pt>
                <c:pt idx="744">
                  <c:v>44295</c:v>
                </c:pt>
                <c:pt idx="745">
                  <c:v>44302</c:v>
                </c:pt>
                <c:pt idx="746">
                  <c:v>44309</c:v>
                </c:pt>
                <c:pt idx="747">
                  <c:v>44316</c:v>
                </c:pt>
                <c:pt idx="748">
                  <c:v>44323</c:v>
                </c:pt>
                <c:pt idx="749">
                  <c:v>44330</c:v>
                </c:pt>
                <c:pt idx="750">
                  <c:v>44337</c:v>
                </c:pt>
                <c:pt idx="751">
                  <c:v>44344</c:v>
                </c:pt>
                <c:pt idx="752">
                  <c:v>44351</c:v>
                </c:pt>
                <c:pt idx="753">
                  <c:v>44358</c:v>
                </c:pt>
                <c:pt idx="754">
                  <c:v>44365</c:v>
                </c:pt>
                <c:pt idx="755">
                  <c:v>44372</c:v>
                </c:pt>
                <c:pt idx="756">
                  <c:v>44379</c:v>
                </c:pt>
                <c:pt idx="757">
                  <c:v>44386</c:v>
                </c:pt>
                <c:pt idx="758">
                  <c:v>44393</c:v>
                </c:pt>
                <c:pt idx="759">
                  <c:v>44400</c:v>
                </c:pt>
                <c:pt idx="760">
                  <c:v>44407</c:v>
                </c:pt>
                <c:pt idx="761">
                  <c:v>44414</c:v>
                </c:pt>
                <c:pt idx="762">
                  <c:v>44421</c:v>
                </c:pt>
                <c:pt idx="763">
                  <c:v>44428</c:v>
                </c:pt>
                <c:pt idx="764">
                  <c:v>44435</c:v>
                </c:pt>
                <c:pt idx="765">
                  <c:v>44442</c:v>
                </c:pt>
                <c:pt idx="766">
                  <c:v>44449</c:v>
                </c:pt>
                <c:pt idx="767">
                  <c:v>44456</c:v>
                </c:pt>
                <c:pt idx="768">
                  <c:v>44463</c:v>
                </c:pt>
                <c:pt idx="769">
                  <c:v>44470</c:v>
                </c:pt>
                <c:pt idx="770">
                  <c:v>44477</c:v>
                </c:pt>
                <c:pt idx="771">
                  <c:v>44484</c:v>
                </c:pt>
                <c:pt idx="772">
                  <c:v>44491</c:v>
                </c:pt>
                <c:pt idx="773">
                  <c:v>44498</c:v>
                </c:pt>
                <c:pt idx="774">
                  <c:v>44505</c:v>
                </c:pt>
                <c:pt idx="775">
                  <c:v>44512</c:v>
                </c:pt>
                <c:pt idx="776">
                  <c:v>44519</c:v>
                </c:pt>
                <c:pt idx="777">
                  <c:v>44526</c:v>
                </c:pt>
                <c:pt idx="778">
                  <c:v>44533</c:v>
                </c:pt>
                <c:pt idx="779">
                  <c:v>44540</c:v>
                </c:pt>
                <c:pt idx="780">
                  <c:v>44547</c:v>
                </c:pt>
                <c:pt idx="781">
                  <c:v>44554</c:v>
                </c:pt>
                <c:pt idx="782">
                  <c:v>44561</c:v>
                </c:pt>
                <c:pt idx="783">
                  <c:v>44568</c:v>
                </c:pt>
                <c:pt idx="784">
                  <c:v>44575</c:v>
                </c:pt>
                <c:pt idx="785">
                  <c:v>44582</c:v>
                </c:pt>
                <c:pt idx="786">
                  <c:v>44589</c:v>
                </c:pt>
                <c:pt idx="787">
                  <c:v>44596</c:v>
                </c:pt>
                <c:pt idx="788">
                  <c:v>44603</c:v>
                </c:pt>
                <c:pt idx="789">
                  <c:v>44610</c:v>
                </c:pt>
                <c:pt idx="790">
                  <c:v>44617</c:v>
                </c:pt>
                <c:pt idx="791">
                  <c:v>44624</c:v>
                </c:pt>
                <c:pt idx="792">
                  <c:v>44631</c:v>
                </c:pt>
                <c:pt idx="793">
                  <c:v>44638</c:v>
                </c:pt>
                <c:pt idx="794">
                  <c:v>44645</c:v>
                </c:pt>
                <c:pt idx="795">
                  <c:v>44652</c:v>
                </c:pt>
                <c:pt idx="796">
                  <c:v>44659</c:v>
                </c:pt>
                <c:pt idx="797">
                  <c:v>44666</c:v>
                </c:pt>
                <c:pt idx="798">
                  <c:v>44673</c:v>
                </c:pt>
                <c:pt idx="799">
                  <c:v>44680</c:v>
                </c:pt>
                <c:pt idx="800">
                  <c:v>44687</c:v>
                </c:pt>
                <c:pt idx="801">
                  <c:v>44694</c:v>
                </c:pt>
                <c:pt idx="802">
                  <c:v>44701</c:v>
                </c:pt>
                <c:pt idx="803">
                  <c:v>44708</c:v>
                </c:pt>
                <c:pt idx="804">
                  <c:v>44715</c:v>
                </c:pt>
                <c:pt idx="805">
                  <c:v>44722</c:v>
                </c:pt>
                <c:pt idx="806">
                  <c:v>44729</c:v>
                </c:pt>
                <c:pt idx="807">
                  <c:v>44736</c:v>
                </c:pt>
                <c:pt idx="808">
                  <c:v>44743</c:v>
                </c:pt>
                <c:pt idx="809">
                  <c:v>44750</c:v>
                </c:pt>
                <c:pt idx="810">
                  <c:v>44757</c:v>
                </c:pt>
                <c:pt idx="811">
                  <c:v>44764</c:v>
                </c:pt>
                <c:pt idx="812">
                  <c:v>44771</c:v>
                </c:pt>
                <c:pt idx="813">
                  <c:v>44778</c:v>
                </c:pt>
                <c:pt idx="814">
                  <c:v>44785</c:v>
                </c:pt>
                <c:pt idx="815">
                  <c:v>44792</c:v>
                </c:pt>
                <c:pt idx="816">
                  <c:v>44799</c:v>
                </c:pt>
                <c:pt idx="817">
                  <c:v>44806</c:v>
                </c:pt>
                <c:pt idx="818">
                  <c:v>44813</c:v>
                </c:pt>
                <c:pt idx="819">
                  <c:v>44820</c:v>
                </c:pt>
                <c:pt idx="820">
                  <c:v>44827</c:v>
                </c:pt>
                <c:pt idx="821">
                  <c:v>44834</c:v>
                </c:pt>
                <c:pt idx="822">
                  <c:v>44841</c:v>
                </c:pt>
                <c:pt idx="823">
                  <c:v>44848</c:v>
                </c:pt>
                <c:pt idx="824">
                  <c:v>44855</c:v>
                </c:pt>
                <c:pt idx="825">
                  <c:v>44862</c:v>
                </c:pt>
                <c:pt idx="826">
                  <c:v>44869</c:v>
                </c:pt>
                <c:pt idx="827">
                  <c:v>44876</c:v>
                </c:pt>
                <c:pt idx="828">
                  <c:v>44883</c:v>
                </c:pt>
                <c:pt idx="829">
                  <c:v>44890</c:v>
                </c:pt>
                <c:pt idx="830">
                  <c:v>44897</c:v>
                </c:pt>
                <c:pt idx="831">
                  <c:v>44904</c:v>
                </c:pt>
                <c:pt idx="832">
                  <c:v>44911</c:v>
                </c:pt>
                <c:pt idx="833">
                  <c:v>44918</c:v>
                </c:pt>
                <c:pt idx="834">
                  <c:v>44925</c:v>
                </c:pt>
                <c:pt idx="835">
                  <c:v>44932</c:v>
                </c:pt>
                <c:pt idx="836">
                  <c:v>44939</c:v>
                </c:pt>
                <c:pt idx="837">
                  <c:v>44946</c:v>
                </c:pt>
                <c:pt idx="838">
                  <c:v>44953</c:v>
                </c:pt>
                <c:pt idx="839">
                  <c:v>44960</c:v>
                </c:pt>
                <c:pt idx="840">
                  <c:v>44967</c:v>
                </c:pt>
                <c:pt idx="841">
                  <c:v>44974</c:v>
                </c:pt>
                <c:pt idx="842">
                  <c:v>44981</c:v>
                </c:pt>
                <c:pt idx="843">
                  <c:v>44988</c:v>
                </c:pt>
                <c:pt idx="844">
                  <c:v>44995</c:v>
                </c:pt>
                <c:pt idx="845">
                  <c:v>45002</c:v>
                </c:pt>
                <c:pt idx="846">
                  <c:v>45009</c:v>
                </c:pt>
                <c:pt idx="847">
                  <c:v>45016</c:v>
                </c:pt>
                <c:pt idx="848">
                  <c:v>45023</c:v>
                </c:pt>
                <c:pt idx="849">
                  <c:v>45030</c:v>
                </c:pt>
                <c:pt idx="850">
                  <c:v>45037</c:v>
                </c:pt>
                <c:pt idx="851">
                  <c:v>45044</c:v>
                </c:pt>
                <c:pt idx="852">
                  <c:v>45051</c:v>
                </c:pt>
                <c:pt idx="853">
                  <c:v>45058</c:v>
                </c:pt>
                <c:pt idx="854">
                  <c:v>45065</c:v>
                </c:pt>
                <c:pt idx="855">
                  <c:v>45072</c:v>
                </c:pt>
                <c:pt idx="856">
                  <c:v>45079</c:v>
                </c:pt>
                <c:pt idx="857">
                  <c:v>45086</c:v>
                </c:pt>
                <c:pt idx="858">
                  <c:v>45093</c:v>
                </c:pt>
                <c:pt idx="859">
                  <c:v>45100</c:v>
                </c:pt>
                <c:pt idx="860">
                  <c:v>45107</c:v>
                </c:pt>
                <c:pt idx="861">
                  <c:v>45114</c:v>
                </c:pt>
                <c:pt idx="862">
                  <c:v>45121</c:v>
                </c:pt>
                <c:pt idx="863">
                  <c:v>45128</c:v>
                </c:pt>
                <c:pt idx="864">
                  <c:v>45135</c:v>
                </c:pt>
                <c:pt idx="865">
                  <c:v>45142</c:v>
                </c:pt>
                <c:pt idx="866">
                  <c:v>45149</c:v>
                </c:pt>
                <c:pt idx="867">
                  <c:v>45156</c:v>
                </c:pt>
                <c:pt idx="868">
                  <c:v>45163</c:v>
                </c:pt>
                <c:pt idx="869">
                  <c:v>45170</c:v>
                </c:pt>
                <c:pt idx="870">
                  <c:v>45177</c:v>
                </c:pt>
                <c:pt idx="871">
                  <c:v>45184</c:v>
                </c:pt>
                <c:pt idx="872">
                  <c:v>45191</c:v>
                </c:pt>
                <c:pt idx="873">
                  <c:v>45198</c:v>
                </c:pt>
                <c:pt idx="874">
                  <c:v>45205</c:v>
                </c:pt>
                <c:pt idx="875">
                  <c:v>45212</c:v>
                </c:pt>
                <c:pt idx="876">
                  <c:v>45219</c:v>
                </c:pt>
                <c:pt idx="877">
                  <c:v>45226</c:v>
                </c:pt>
                <c:pt idx="878">
                  <c:v>45233</c:v>
                </c:pt>
                <c:pt idx="879">
                  <c:v>45240</c:v>
                </c:pt>
                <c:pt idx="880">
                  <c:v>45247</c:v>
                </c:pt>
                <c:pt idx="881">
                  <c:v>45254</c:v>
                </c:pt>
                <c:pt idx="882">
                  <c:v>45261</c:v>
                </c:pt>
                <c:pt idx="883">
                  <c:v>45268</c:v>
                </c:pt>
                <c:pt idx="884">
                  <c:v>45275</c:v>
                </c:pt>
                <c:pt idx="885">
                  <c:v>45282</c:v>
                </c:pt>
                <c:pt idx="886">
                  <c:v>45289</c:v>
                </c:pt>
                <c:pt idx="887">
                  <c:v>45296</c:v>
                </c:pt>
                <c:pt idx="888">
                  <c:v>45303</c:v>
                </c:pt>
                <c:pt idx="889">
                  <c:v>45310</c:v>
                </c:pt>
                <c:pt idx="890">
                  <c:v>45317</c:v>
                </c:pt>
                <c:pt idx="891">
                  <c:v>45324</c:v>
                </c:pt>
                <c:pt idx="892">
                  <c:v>45331</c:v>
                </c:pt>
                <c:pt idx="893">
                  <c:v>45338</c:v>
                </c:pt>
                <c:pt idx="894">
                  <c:v>45345</c:v>
                </c:pt>
                <c:pt idx="895">
                  <c:v>45352</c:v>
                </c:pt>
                <c:pt idx="896">
                  <c:v>45359</c:v>
                </c:pt>
                <c:pt idx="897">
                  <c:v>45366</c:v>
                </c:pt>
                <c:pt idx="898">
                  <c:v>45373</c:v>
                </c:pt>
                <c:pt idx="899">
                  <c:v>45380</c:v>
                </c:pt>
                <c:pt idx="900">
                  <c:v>45387</c:v>
                </c:pt>
                <c:pt idx="901">
                  <c:v>45394</c:v>
                </c:pt>
                <c:pt idx="902">
                  <c:v>45401</c:v>
                </c:pt>
                <c:pt idx="903">
                  <c:v>45408</c:v>
                </c:pt>
                <c:pt idx="904">
                  <c:v>45415</c:v>
                </c:pt>
                <c:pt idx="905">
                  <c:v>45422</c:v>
                </c:pt>
                <c:pt idx="906">
                  <c:v>45429</c:v>
                </c:pt>
                <c:pt idx="907">
                  <c:v>45436</c:v>
                </c:pt>
                <c:pt idx="908">
                  <c:v>45443</c:v>
                </c:pt>
                <c:pt idx="909">
                  <c:v>45450</c:v>
                </c:pt>
                <c:pt idx="910">
                  <c:v>45457</c:v>
                </c:pt>
                <c:pt idx="911">
                  <c:v>45464</c:v>
                </c:pt>
                <c:pt idx="912">
                  <c:v>45471</c:v>
                </c:pt>
                <c:pt idx="913">
                  <c:v>45478</c:v>
                </c:pt>
                <c:pt idx="914">
                  <c:v>45485</c:v>
                </c:pt>
                <c:pt idx="915">
                  <c:v>45492</c:v>
                </c:pt>
                <c:pt idx="916">
                  <c:v>45499</c:v>
                </c:pt>
                <c:pt idx="917">
                  <c:v>45506</c:v>
                </c:pt>
                <c:pt idx="918">
                  <c:v>45513</c:v>
                </c:pt>
                <c:pt idx="919">
                  <c:v>45520</c:v>
                </c:pt>
                <c:pt idx="920">
                  <c:v>45527</c:v>
                </c:pt>
                <c:pt idx="921">
                  <c:v>45534</c:v>
                </c:pt>
                <c:pt idx="922">
                  <c:v>45541</c:v>
                </c:pt>
                <c:pt idx="923">
                  <c:v>45548</c:v>
                </c:pt>
                <c:pt idx="924">
                  <c:v>45555</c:v>
                </c:pt>
                <c:pt idx="925">
                  <c:v>45562</c:v>
                </c:pt>
                <c:pt idx="926">
                  <c:v>45569</c:v>
                </c:pt>
                <c:pt idx="927">
                  <c:v>45576</c:v>
                </c:pt>
                <c:pt idx="928">
                  <c:v>45583</c:v>
                </c:pt>
                <c:pt idx="929">
                  <c:v>45590</c:v>
                </c:pt>
                <c:pt idx="930">
                  <c:v>45597</c:v>
                </c:pt>
                <c:pt idx="931">
                  <c:v>45604</c:v>
                </c:pt>
                <c:pt idx="932">
                  <c:v>45611</c:v>
                </c:pt>
                <c:pt idx="933">
                  <c:v>45618</c:v>
                </c:pt>
                <c:pt idx="934">
                  <c:v>45625</c:v>
                </c:pt>
                <c:pt idx="935">
                  <c:v>45632</c:v>
                </c:pt>
                <c:pt idx="936">
                  <c:v>45639</c:v>
                </c:pt>
                <c:pt idx="937">
                  <c:v>45646</c:v>
                </c:pt>
                <c:pt idx="938">
                  <c:v>45653</c:v>
                </c:pt>
                <c:pt idx="939">
                  <c:v>45660</c:v>
                </c:pt>
                <c:pt idx="940">
                  <c:v>45667</c:v>
                </c:pt>
                <c:pt idx="941">
                  <c:v>45674</c:v>
                </c:pt>
                <c:pt idx="942">
                  <c:v>45681</c:v>
                </c:pt>
                <c:pt idx="943">
                  <c:v>45688</c:v>
                </c:pt>
                <c:pt idx="944">
                  <c:v>45695</c:v>
                </c:pt>
                <c:pt idx="945">
                  <c:v>45702</c:v>
                </c:pt>
                <c:pt idx="946">
                  <c:v>45709</c:v>
                </c:pt>
                <c:pt idx="947">
                  <c:v>45716</c:v>
                </c:pt>
                <c:pt idx="948">
                  <c:v>45723</c:v>
                </c:pt>
                <c:pt idx="949">
                  <c:v>45730</c:v>
                </c:pt>
                <c:pt idx="950">
                  <c:v>45737</c:v>
                </c:pt>
                <c:pt idx="951">
                  <c:v>45744</c:v>
                </c:pt>
                <c:pt idx="952">
                  <c:v>45751</c:v>
                </c:pt>
                <c:pt idx="953">
                  <c:v>45758</c:v>
                </c:pt>
                <c:pt idx="954">
                  <c:v>45765</c:v>
                </c:pt>
                <c:pt idx="955">
                  <c:v>45772</c:v>
                </c:pt>
                <c:pt idx="956">
                  <c:v>45779</c:v>
                </c:pt>
                <c:pt idx="957">
                  <c:v>45786</c:v>
                </c:pt>
                <c:pt idx="958">
                  <c:v>45793</c:v>
                </c:pt>
                <c:pt idx="959">
                  <c:v>45800</c:v>
                </c:pt>
                <c:pt idx="960">
                  <c:v>45807</c:v>
                </c:pt>
                <c:pt idx="961">
                  <c:v>45814</c:v>
                </c:pt>
                <c:pt idx="962">
                  <c:v>45821</c:v>
                </c:pt>
                <c:pt idx="963">
                  <c:v>45828</c:v>
                </c:pt>
                <c:pt idx="964">
                  <c:v>45835</c:v>
                </c:pt>
                <c:pt idx="965">
                  <c:v>45842</c:v>
                </c:pt>
                <c:pt idx="966">
                  <c:v>45849</c:v>
                </c:pt>
                <c:pt idx="967">
                  <c:v>45856</c:v>
                </c:pt>
                <c:pt idx="968">
                  <c:v>45863</c:v>
                </c:pt>
                <c:pt idx="969">
                  <c:v>45870</c:v>
                </c:pt>
                <c:pt idx="970">
                  <c:v>45877</c:v>
                </c:pt>
                <c:pt idx="971">
                  <c:v>45884</c:v>
                </c:pt>
                <c:pt idx="972">
                  <c:v>45891</c:v>
                </c:pt>
                <c:pt idx="973">
                  <c:v>45898</c:v>
                </c:pt>
                <c:pt idx="974">
                  <c:v>45905</c:v>
                </c:pt>
                <c:pt idx="975">
                  <c:v>45912</c:v>
                </c:pt>
                <c:pt idx="976">
                  <c:v>45919</c:v>
                </c:pt>
                <c:pt idx="977">
                  <c:v>45926</c:v>
                </c:pt>
                <c:pt idx="978">
                  <c:v>45933</c:v>
                </c:pt>
                <c:pt idx="979">
                  <c:v>45940</c:v>
                </c:pt>
                <c:pt idx="980">
                  <c:v>45947</c:v>
                </c:pt>
                <c:pt idx="981">
                  <c:v>45954</c:v>
                </c:pt>
                <c:pt idx="982">
                  <c:v>45961</c:v>
                </c:pt>
                <c:pt idx="983">
                  <c:v>45968</c:v>
                </c:pt>
                <c:pt idx="984">
                  <c:v>45975</c:v>
                </c:pt>
                <c:pt idx="985">
                  <c:v>45982</c:v>
                </c:pt>
                <c:pt idx="986">
                  <c:v>45989</c:v>
                </c:pt>
                <c:pt idx="987">
                  <c:v>45996</c:v>
                </c:pt>
                <c:pt idx="988">
                  <c:v>46003</c:v>
                </c:pt>
                <c:pt idx="989">
                  <c:v>46010</c:v>
                </c:pt>
                <c:pt idx="990">
                  <c:v>46017</c:v>
                </c:pt>
                <c:pt idx="991">
                  <c:v>46024</c:v>
                </c:pt>
                <c:pt idx="992">
                  <c:v>46031</c:v>
                </c:pt>
                <c:pt idx="993">
                  <c:v>46038</c:v>
                </c:pt>
                <c:pt idx="994">
                  <c:v>46045</c:v>
                </c:pt>
                <c:pt idx="995">
                  <c:v>46052</c:v>
                </c:pt>
                <c:pt idx="996">
                  <c:v>46059</c:v>
                </c:pt>
                <c:pt idx="997">
                  <c:v>46066</c:v>
                </c:pt>
                <c:pt idx="998">
                  <c:v>46073</c:v>
                </c:pt>
                <c:pt idx="999">
                  <c:v>46080</c:v>
                </c:pt>
                <c:pt idx="1000">
                  <c:v>46087</c:v>
                </c:pt>
                <c:pt idx="1001">
                  <c:v>46094</c:v>
                </c:pt>
                <c:pt idx="1002">
                  <c:v>46101</c:v>
                </c:pt>
                <c:pt idx="1003">
                  <c:v>46108</c:v>
                </c:pt>
                <c:pt idx="1004">
                  <c:v>46115</c:v>
                </c:pt>
                <c:pt idx="1005">
                  <c:v>46122</c:v>
                </c:pt>
                <c:pt idx="1006">
                  <c:v>46129</c:v>
                </c:pt>
                <c:pt idx="1007">
                  <c:v>46136</c:v>
                </c:pt>
                <c:pt idx="1008">
                  <c:v>46143</c:v>
                </c:pt>
                <c:pt idx="1009">
                  <c:v>46150</c:v>
                </c:pt>
                <c:pt idx="1010">
                  <c:v>46157</c:v>
                </c:pt>
                <c:pt idx="1011">
                  <c:v>46164</c:v>
                </c:pt>
                <c:pt idx="1012">
                  <c:v>46171</c:v>
                </c:pt>
                <c:pt idx="1013">
                  <c:v>46178</c:v>
                </c:pt>
                <c:pt idx="1014">
                  <c:v>46185</c:v>
                </c:pt>
                <c:pt idx="1015">
                  <c:v>46192</c:v>
                </c:pt>
                <c:pt idx="1016">
                  <c:v>46199</c:v>
                </c:pt>
                <c:pt idx="1017">
                  <c:v>46206</c:v>
                </c:pt>
                <c:pt idx="1018">
                  <c:v>46213</c:v>
                </c:pt>
                <c:pt idx="1019">
                  <c:v>46220</c:v>
                </c:pt>
                <c:pt idx="1020">
                  <c:v>46227</c:v>
                </c:pt>
                <c:pt idx="1021">
                  <c:v>46234</c:v>
                </c:pt>
                <c:pt idx="1022">
                  <c:v>46241</c:v>
                </c:pt>
                <c:pt idx="1023">
                  <c:v>46248</c:v>
                </c:pt>
                <c:pt idx="1024">
                  <c:v>46255</c:v>
                </c:pt>
                <c:pt idx="1025">
                  <c:v>46262</c:v>
                </c:pt>
                <c:pt idx="1026">
                  <c:v>46269</c:v>
                </c:pt>
                <c:pt idx="1027">
                  <c:v>46276</c:v>
                </c:pt>
                <c:pt idx="1028">
                  <c:v>46283</c:v>
                </c:pt>
                <c:pt idx="1029">
                  <c:v>46290</c:v>
                </c:pt>
                <c:pt idx="1030">
                  <c:v>46297</c:v>
                </c:pt>
              </c:numCache>
            </c:numRef>
          </c:cat>
          <c:val>
            <c:numRef>
              <c:f>Indice!$AL$58:$AL$1500</c:f>
              <c:numCache>
                <c:formatCode>General</c:formatCode>
                <c:ptCount val="1443"/>
                <c:pt idx="0">
                  <c:v>0.87832635910448087</c:v>
                </c:pt>
                <c:pt idx="1">
                  <c:v>0.87667873211667469</c:v>
                </c:pt>
                <c:pt idx="2">
                  <c:v>0.87475942710508603</c:v>
                </c:pt>
                <c:pt idx="3">
                  <c:v>0.87397326272998588</c:v>
                </c:pt>
                <c:pt idx="4">
                  <c:v>0.87296727048571032</c:v>
                </c:pt>
                <c:pt idx="5">
                  <c:v>0.87142695172070495</c:v>
                </c:pt>
                <c:pt idx="6">
                  <c:v>0.87041177247708013</c:v>
                </c:pt>
                <c:pt idx="7">
                  <c:v>0.86821936274615619</c:v>
                </c:pt>
                <c:pt idx="8">
                  <c:v>0.86623534088927479</c:v>
                </c:pt>
                <c:pt idx="9">
                  <c:v>0.86580969320674672</c:v>
                </c:pt>
                <c:pt idx="10">
                  <c:v>0.86540724397444424</c:v>
                </c:pt>
                <c:pt idx="11">
                  <c:v>0.8632415016213919</c:v>
                </c:pt>
                <c:pt idx="12">
                  <c:v>0.85883153299673398</c:v>
                </c:pt>
                <c:pt idx="13">
                  <c:v>0.85642289948361694</c:v>
                </c:pt>
                <c:pt idx="14">
                  <c:v>0.85618806755596055</c:v>
                </c:pt>
                <c:pt idx="15">
                  <c:v>0.85383512231879544</c:v>
                </c:pt>
                <c:pt idx="16">
                  <c:v>0.84835874833454539</c:v>
                </c:pt>
                <c:pt idx="17">
                  <c:v>0.84460994350597551</c:v>
                </c:pt>
                <c:pt idx="18">
                  <c:v>0.84376148393428652</c:v>
                </c:pt>
                <c:pt idx="19">
                  <c:v>0.84110572470316947</c:v>
                </c:pt>
                <c:pt idx="20">
                  <c:v>0.83063345652674014</c:v>
                </c:pt>
                <c:pt idx="21">
                  <c:v>0.82350274687978131</c:v>
                </c:pt>
                <c:pt idx="22">
                  <c:v>0.82350274687978131</c:v>
                </c:pt>
                <c:pt idx="23">
                  <c:v>0.82350274687978131</c:v>
                </c:pt>
                <c:pt idx="24">
                  <c:v>0.82350274687978131</c:v>
                </c:pt>
                <c:pt idx="25">
                  <c:v>0.82350274687978131</c:v>
                </c:pt>
                <c:pt idx="26">
                  <c:v>0.82350274687978131</c:v>
                </c:pt>
                <c:pt idx="27">
                  <c:v>0.82350274687978131</c:v>
                </c:pt>
                <c:pt idx="28">
                  <c:v>0.82350274687978131</c:v>
                </c:pt>
                <c:pt idx="29">
                  <c:v>0.82350274687978131</c:v>
                </c:pt>
                <c:pt idx="30">
                  <c:v>0.82350274687978131</c:v>
                </c:pt>
                <c:pt idx="31">
                  <c:v>0.82350274687978131</c:v>
                </c:pt>
                <c:pt idx="32">
                  <c:v>0.82350274687978131</c:v>
                </c:pt>
                <c:pt idx="33">
                  <c:v>0.82350274687978131</c:v>
                </c:pt>
                <c:pt idx="34">
                  <c:v>0.82350274687978131</c:v>
                </c:pt>
                <c:pt idx="35">
                  <c:v>0.82350274687978131</c:v>
                </c:pt>
                <c:pt idx="36">
                  <c:v>0.82350274687978131</c:v>
                </c:pt>
                <c:pt idx="37">
                  <c:v>0.82350274687978131</c:v>
                </c:pt>
                <c:pt idx="38">
                  <c:v>0.82350274687978131</c:v>
                </c:pt>
                <c:pt idx="39">
                  <c:v>0.82350274687978131</c:v>
                </c:pt>
                <c:pt idx="40">
                  <c:v>0.82350274687978131</c:v>
                </c:pt>
                <c:pt idx="41">
                  <c:v>0.82350274687978131</c:v>
                </c:pt>
                <c:pt idx="42">
                  <c:v>0.82350274687978131</c:v>
                </c:pt>
                <c:pt idx="43">
                  <c:v>0.82350274687978131</c:v>
                </c:pt>
                <c:pt idx="44">
                  <c:v>0.82350274687978131</c:v>
                </c:pt>
                <c:pt idx="45">
                  <c:v>0.82350274687978131</c:v>
                </c:pt>
                <c:pt idx="46">
                  <c:v>0.82350274687978131</c:v>
                </c:pt>
                <c:pt idx="47">
                  <c:v>0.83195264400393931</c:v>
                </c:pt>
                <c:pt idx="48">
                  <c:v>0.84059528565520258</c:v>
                </c:pt>
                <c:pt idx="49">
                  <c:v>0.84602577628011943</c:v>
                </c:pt>
                <c:pt idx="50">
                  <c:v>0.85218553051468149</c:v>
                </c:pt>
                <c:pt idx="51">
                  <c:v>0.85706891768016147</c:v>
                </c:pt>
                <c:pt idx="52">
                  <c:v>0.86480674481442232</c:v>
                </c:pt>
                <c:pt idx="53">
                  <c:v>0.87229512102272155</c:v>
                </c:pt>
                <c:pt idx="54">
                  <c:v>0.87533695724577054</c:v>
                </c:pt>
                <c:pt idx="55">
                  <c:v>0.8757634076066052</c:v>
                </c:pt>
                <c:pt idx="56">
                  <c:v>0.87665254251134639</c:v>
                </c:pt>
                <c:pt idx="57">
                  <c:v>0.88107761098405191</c:v>
                </c:pt>
                <c:pt idx="58">
                  <c:v>0.884725957238365</c:v>
                </c:pt>
                <c:pt idx="59">
                  <c:v>0.88474339417487524</c:v>
                </c:pt>
                <c:pt idx="60">
                  <c:v>0.88743220569446923</c:v>
                </c:pt>
                <c:pt idx="61">
                  <c:v>0.8957268529598108</c:v>
                </c:pt>
                <c:pt idx="62">
                  <c:v>0.90457267792002671</c:v>
                </c:pt>
                <c:pt idx="63">
                  <c:v>0.90976829011239135</c:v>
                </c:pt>
                <c:pt idx="64">
                  <c:v>0.91333591675400305</c:v>
                </c:pt>
                <c:pt idx="65">
                  <c:v>0.91589541622389703</c:v>
                </c:pt>
                <c:pt idx="66">
                  <c:v>0.91701365904052201</c:v>
                </c:pt>
                <c:pt idx="67">
                  <c:v>0.91799114047494235</c:v>
                </c:pt>
                <c:pt idx="68">
                  <c:v>0.91959922078914591</c:v>
                </c:pt>
                <c:pt idx="69">
                  <c:v>0.92057515114634425</c:v>
                </c:pt>
                <c:pt idx="70">
                  <c:v>0.921772218415158</c:v>
                </c:pt>
                <c:pt idx="71">
                  <c:v>0.92378359145933686</c:v>
                </c:pt>
                <c:pt idx="72">
                  <c:v>0.92483342953218606</c:v>
                </c:pt>
                <c:pt idx="73">
                  <c:v>0.9271372737112894</c:v>
                </c:pt>
                <c:pt idx="74">
                  <c:v>0.93138423264246706</c:v>
                </c:pt>
                <c:pt idx="75">
                  <c:v>0.93429420461439983</c:v>
                </c:pt>
                <c:pt idx="76">
                  <c:v>0.93523056397491511</c:v>
                </c:pt>
                <c:pt idx="77">
                  <c:v>0.93524782578588339</c:v>
                </c:pt>
                <c:pt idx="78">
                  <c:v>0.93808754685815954</c:v>
                </c:pt>
                <c:pt idx="79">
                  <c:v>0.94214308961492299</c:v>
                </c:pt>
                <c:pt idx="80">
                  <c:v>0.94338048288227228</c:v>
                </c:pt>
                <c:pt idx="81">
                  <c:v>0.94377860927999824</c:v>
                </c:pt>
                <c:pt idx="82">
                  <c:v>0.94671338820950757</c:v>
                </c:pt>
                <c:pt idx="83">
                  <c:v>0.9497151793973968</c:v>
                </c:pt>
                <c:pt idx="84">
                  <c:v>0.95288401336698947</c:v>
                </c:pt>
                <c:pt idx="85">
                  <c:v>0.95727544990246249</c:v>
                </c:pt>
                <c:pt idx="86">
                  <c:v>0.96135671747086515</c:v>
                </c:pt>
                <c:pt idx="87">
                  <c:v>0.96473248403705092</c:v>
                </c:pt>
                <c:pt idx="88">
                  <c:v>0.96614508376855002</c:v>
                </c:pt>
                <c:pt idx="89">
                  <c:v>0.96797004253629126</c:v>
                </c:pt>
                <c:pt idx="90">
                  <c:v>0.96983320601764778</c:v>
                </c:pt>
                <c:pt idx="91">
                  <c:v>0.97037979579096167</c:v>
                </c:pt>
                <c:pt idx="92">
                  <c:v>0.97159619636200123</c:v>
                </c:pt>
                <c:pt idx="93">
                  <c:v>0.97345562242765704</c:v>
                </c:pt>
                <c:pt idx="94">
                  <c:v>0.97656078162288096</c:v>
                </c:pt>
                <c:pt idx="95">
                  <c:v>0.97904889996619149</c:v>
                </c:pt>
                <c:pt idx="96">
                  <c:v>0.97960925408920407</c:v>
                </c:pt>
                <c:pt idx="97">
                  <c:v>0.98418880462250757</c:v>
                </c:pt>
                <c:pt idx="98">
                  <c:v>0.9897083233760916</c:v>
                </c:pt>
                <c:pt idx="99">
                  <c:v>0.99145858846983925</c:v>
                </c:pt>
                <c:pt idx="100">
                  <c:v>0.99188327345232818</c:v>
                </c:pt>
                <c:pt idx="101">
                  <c:v>0.99199336430017593</c:v>
                </c:pt>
                <c:pt idx="102">
                  <c:v>0.99278678938899356</c:v>
                </c:pt>
                <c:pt idx="103">
                  <c:v>0.99419849063935972</c:v>
                </c:pt>
                <c:pt idx="104">
                  <c:v>0.99419849063935972</c:v>
                </c:pt>
                <c:pt idx="105">
                  <c:v>0.99419849063935972</c:v>
                </c:pt>
                <c:pt idx="106">
                  <c:v>0.99419849063935972</c:v>
                </c:pt>
                <c:pt idx="107">
                  <c:v>0.99419849063935972</c:v>
                </c:pt>
                <c:pt idx="108">
                  <c:v>0.99340552116353786</c:v>
                </c:pt>
                <c:pt idx="109">
                  <c:v>0.99340552116353786</c:v>
                </c:pt>
                <c:pt idx="110">
                  <c:v>0.99340552116353786</c:v>
                </c:pt>
                <c:pt idx="111">
                  <c:v>0.99340552116353786</c:v>
                </c:pt>
                <c:pt idx="112">
                  <c:v>0.99340552116353786</c:v>
                </c:pt>
                <c:pt idx="113">
                  <c:v>0.99340552116353786</c:v>
                </c:pt>
                <c:pt idx="114">
                  <c:v>0.99340552116353786</c:v>
                </c:pt>
                <c:pt idx="115">
                  <c:v>0.99340552116353786</c:v>
                </c:pt>
                <c:pt idx="116">
                  <c:v>0.99340552116353786</c:v>
                </c:pt>
                <c:pt idx="117">
                  <c:v>0.99340552116353786</c:v>
                </c:pt>
                <c:pt idx="118">
                  <c:v>0.99340552116353786</c:v>
                </c:pt>
                <c:pt idx="119">
                  <c:v>0.99340552116353786</c:v>
                </c:pt>
                <c:pt idx="120">
                  <c:v>0.99340552116353786</c:v>
                </c:pt>
                <c:pt idx="121">
                  <c:v>0.99340552116353786</c:v>
                </c:pt>
                <c:pt idx="122">
                  <c:v>0.99340552116353786</c:v>
                </c:pt>
                <c:pt idx="123">
                  <c:v>0.99340552116353786</c:v>
                </c:pt>
                <c:pt idx="124">
                  <c:v>0.99340552116353786</c:v>
                </c:pt>
                <c:pt idx="125">
                  <c:v>0.99340552116353786</c:v>
                </c:pt>
                <c:pt idx="126">
                  <c:v>0.99077219758833013</c:v>
                </c:pt>
                <c:pt idx="127">
                  <c:v>0.98418880462250757</c:v>
                </c:pt>
                <c:pt idx="128">
                  <c:v>0.97960925408920407</c:v>
                </c:pt>
                <c:pt idx="129">
                  <c:v>0.97423987462330286</c:v>
                </c:pt>
                <c:pt idx="130">
                  <c:v>0.95339905845493411</c:v>
                </c:pt>
                <c:pt idx="131">
                  <c:v>0.90397368424738644</c:v>
                </c:pt>
                <c:pt idx="132">
                  <c:v>0.86719348800537821</c:v>
                </c:pt>
                <c:pt idx="133">
                  <c:v>0.86382578972845958</c:v>
                </c:pt>
                <c:pt idx="134">
                  <c:v>0.86281870696860397</c:v>
                </c:pt>
                <c:pt idx="135">
                  <c:v>0.81955344090703464</c:v>
                </c:pt>
                <c:pt idx="136">
                  <c:v>0.77304040563788234</c:v>
                </c:pt>
                <c:pt idx="137">
                  <c:v>0.74943459441465055</c:v>
                </c:pt>
                <c:pt idx="138">
                  <c:v>0.71718717400642551</c:v>
                </c:pt>
                <c:pt idx="139">
                  <c:v>0.68830116317531931</c:v>
                </c:pt>
                <c:pt idx="140">
                  <c:v>0.68627026578467842</c:v>
                </c:pt>
                <c:pt idx="141">
                  <c:v>0.6825346368490206</c:v>
                </c:pt>
                <c:pt idx="142">
                  <c:v>0.6825346368490206</c:v>
                </c:pt>
                <c:pt idx="143">
                  <c:v>0.6825346368490206</c:v>
                </c:pt>
                <c:pt idx="144">
                  <c:v>0.6825346368490206</c:v>
                </c:pt>
                <c:pt idx="145">
                  <c:v>0.6825346368490206</c:v>
                </c:pt>
                <c:pt idx="146">
                  <c:v>0.6825346368490206</c:v>
                </c:pt>
                <c:pt idx="147">
                  <c:v>0.6825346368490206</c:v>
                </c:pt>
                <c:pt idx="148">
                  <c:v>0.6825346368490206</c:v>
                </c:pt>
                <c:pt idx="149">
                  <c:v>0.6825346368490206</c:v>
                </c:pt>
                <c:pt idx="150">
                  <c:v>0.6825346368490206</c:v>
                </c:pt>
                <c:pt idx="151">
                  <c:v>0.6825346368490206</c:v>
                </c:pt>
                <c:pt idx="152">
                  <c:v>0.68084113212614028</c:v>
                </c:pt>
                <c:pt idx="153">
                  <c:v>0.68084113212614028</c:v>
                </c:pt>
                <c:pt idx="154">
                  <c:v>0.68084113212614028</c:v>
                </c:pt>
                <c:pt idx="155">
                  <c:v>0.68084113212614028</c:v>
                </c:pt>
                <c:pt idx="156">
                  <c:v>0.68084113212614028</c:v>
                </c:pt>
                <c:pt idx="157">
                  <c:v>0.68084113212614028</c:v>
                </c:pt>
                <c:pt idx="158">
                  <c:v>0.68084113212614028</c:v>
                </c:pt>
                <c:pt idx="159">
                  <c:v>0.68084113212614028</c:v>
                </c:pt>
                <c:pt idx="160">
                  <c:v>0.68084113212614028</c:v>
                </c:pt>
                <c:pt idx="161">
                  <c:v>0.68084113212614028</c:v>
                </c:pt>
                <c:pt idx="162">
                  <c:v>0.68084113212614028</c:v>
                </c:pt>
                <c:pt idx="163">
                  <c:v>0.68084113212614028</c:v>
                </c:pt>
                <c:pt idx="164">
                  <c:v>0.68084113212614028</c:v>
                </c:pt>
                <c:pt idx="165">
                  <c:v>0.68084113212614028</c:v>
                </c:pt>
                <c:pt idx="166">
                  <c:v>0.69113034973488574</c:v>
                </c:pt>
                <c:pt idx="167">
                  <c:v>0.69655948339342377</c:v>
                </c:pt>
                <c:pt idx="168">
                  <c:v>0.70342983848165019</c:v>
                </c:pt>
                <c:pt idx="169">
                  <c:v>0.70686843335517302</c:v>
                </c:pt>
                <c:pt idx="170">
                  <c:v>0.70759306462015248</c:v>
                </c:pt>
                <c:pt idx="171">
                  <c:v>0.70866117319552835</c:v>
                </c:pt>
                <c:pt idx="172">
                  <c:v>0.70941848437372945</c:v>
                </c:pt>
                <c:pt idx="173">
                  <c:v>0.71182826784212638</c:v>
                </c:pt>
                <c:pt idx="174">
                  <c:v>0.71612330764486209</c:v>
                </c:pt>
                <c:pt idx="175">
                  <c:v>0.7192440884840281</c:v>
                </c:pt>
                <c:pt idx="176">
                  <c:v>0.72392626906983837</c:v>
                </c:pt>
                <c:pt idx="177">
                  <c:v>0.72865485853860212</c:v>
                </c:pt>
                <c:pt idx="178">
                  <c:v>0.72984914082686858</c:v>
                </c:pt>
                <c:pt idx="179">
                  <c:v>0.74143002427947735</c:v>
                </c:pt>
                <c:pt idx="180">
                  <c:v>0.75770631995321014</c:v>
                </c:pt>
                <c:pt idx="181">
                  <c:v>0.76551884465463438</c:v>
                </c:pt>
                <c:pt idx="182">
                  <c:v>0.76873322226863461</c:v>
                </c:pt>
                <c:pt idx="183">
                  <c:v>0.7771799208167447</c:v>
                </c:pt>
                <c:pt idx="184">
                  <c:v>0.78614689666923865</c:v>
                </c:pt>
                <c:pt idx="185">
                  <c:v>0.78707415910503498</c:v>
                </c:pt>
                <c:pt idx="186">
                  <c:v>0.79054921397669198</c:v>
                </c:pt>
                <c:pt idx="187">
                  <c:v>0.79541425657668618</c:v>
                </c:pt>
                <c:pt idx="188">
                  <c:v>0.79720568606609621</c:v>
                </c:pt>
                <c:pt idx="189">
                  <c:v>0.79756127362523732</c:v>
                </c:pt>
                <c:pt idx="190">
                  <c:v>0.79861459485204356</c:v>
                </c:pt>
                <c:pt idx="191">
                  <c:v>0.79987885200554265</c:v>
                </c:pt>
                <c:pt idx="192">
                  <c:v>0.80082997381833154</c:v>
                </c:pt>
                <c:pt idx="193">
                  <c:v>0.80528679137688264</c:v>
                </c:pt>
                <c:pt idx="194">
                  <c:v>0.81148922389778155</c:v>
                </c:pt>
                <c:pt idx="195">
                  <c:v>0.81148922389778155</c:v>
                </c:pt>
                <c:pt idx="196">
                  <c:v>0.81148922389778155</c:v>
                </c:pt>
                <c:pt idx="197">
                  <c:v>0.81620605538394153</c:v>
                </c:pt>
                <c:pt idx="198">
                  <c:v>0.81620605538394153</c:v>
                </c:pt>
                <c:pt idx="199">
                  <c:v>0.81620605538394153</c:v>
                </c:pt>
                <c:pt idx="200">
                  <c:v>0.81620605538394153</c:v>
                </c:pt>
                <c:pt idx="201">
                  <c:v>0.81620605538394153</c:v>
                </c:pt>
                <c:pt idx="202">
                  <c:v>0.81620605538394153</c:v>
                </c:pt>
                <c:pt idx="203">
                  <c:v>0.81620605538394153</c:v>
                </c:pt>
                <c:pt idx="204">
                  <c:v>0.81620605538394153</c:v>
                </c:pt>
                <c:pt idx="205">
                  <c:v>0.81620605538394153</c:v>
                </c:pt>
                <c:pt idx="206">
                  <c:v>0.81620605538394153</c:v>
                </c:pt>
                <c:pt idx="207">
                  <c:v>0.81620605538394153</c:v>
                </c:pt>
                <c:pt idx="208">
                  <c:v>0.81620605538394153</c:v>
                </c:pt>
                <c:pt idx="209">
                  <c:v>0.81597804748214331</c:v>
                </c:pt>
                <c:pt idx="210">
                  <c:v>0.81675104754405004</c:v>
                </c:pt>
                <c:pt idx="211">
                  <c:v>0.81675104754405004</c:v>
                </c:pt>
                <c:pt idx="212">
                  <c:v>0.81675104754405004</c:v>
                </c:pt>
                <c:pt idx="213">
                  <c:v>0.81675104754405004</c:v>
                </c:pt>
                <c:pt idx="214">
                  <c:v>0.81675104754405004</c:v>
                </c:pt>
                <c:pt idx="215">
                  <c:v>0.81675104754405004</c:v>
                </c:pt>
                <c:pt idx="216">
                  <c:v>0.81675104754405004</c:v>
                </c:pt>
                <c:pt idx="217">
                  <c:v>0.81675104754405004</c:v>
                </c:pt>
                <c:pt idx="218">
                  <c:v>0.81675104754405004</c:v>
                </c:pt>
                <c:pt idx="219">
                  <c:v>0.81675104754405004</c:v>
                </c:pt>
                <c:pt idx="220">
                  <c:v>0.81675104754405004</c:v>
                </c:pt>
                <c:pt idx="221">
                  <c:v>0.81675104754405004</c:v>
                </c:pt>
                <c:pt idx="222">
                  <c:v>0.81411876636320057</c:v>
                </c:pt>
                <c:pt idx="223">
                  <c:v>0.81334576630129374</c:v>
                </c:pt>
                <c:pt idx="224">
                  <c:v>0.80852422825734771</c:v>
                </c:pt>
                <c:pt idx="225">
                  <c:v>0.80097043252064526</c:v>
                </c:pt>
                <c:pt idx="226">
                  <c:v>0.7959593353894755</c:v>
                </c:pt>
                <c:pt idx="227">
                  <c:v>0.79166317364784777</c:v>
                </c:pt>
                <c:pt idx="228">
                  <c:v>0.78790043579799085</c:v>
                </c:pt>
                <c:pt idx="229">
                  <c:v>0.78600749312035856</c:v>
                </c:pt>
                <c:pt idx="230">
                  <c:v>0.78486021413735241</c:v>
                </c:pt>
                <c:pt idx="231">
                  <c:v>0.78381229406816666</c:v>
                </c:pt>
                <c:pt idx="232">
                  <c:v>0.78343796978529623</c:v>
                </c:pt>
                <c:pt idx="233">
                  <c:v>0.78262548825993139</c:v>
                </c:pt>
                <c:pt idx="234">
                  <c:v>0.78168748422177514</c:v>
                </c:pt>
                <c:pt idx="235">
                  <c:v>0.78104629046840568</c:v>
                </c:pt>
                <c:pt idx="236">
                  <c:v>0.78068085115497565</c:v>
                </c:pt>
                <c:pt idx="237">
                  <c:v>0.78014728031867908</c:v>
                </c:pt>
                <c:pt idx="238">
                  <c:v>0.77844227116869236</c:v>
                </c:pt>
                <c:pt idx="239">
                  <c:v>0.77844227116869236</c:v>
                </c:pt>
                <c:pt idx="240">
                  <c:v>0.77683596708433544</c:v>
                </c:pt>
                <c:pt idx="241">
                  <c:v>0.77618012357163502</c:v>
                </c:pt>
                <c:pt idx="242">
                  <c:v>0.77618012357163502</c:v>
                </c:pt>
                <c:pt idx="243">
                  <c:v>0.77618012357163502</c:v>
                </c:pt>
                <c:pt idx="244">
                  <c:v>0.77618012357163502</c:v>
                </c:pt>
                <c:pt idx="245">
                  <c:v>0.77618012357163502</c:v>
                </c:pt>
                <c:pt idx="246">
                  <c:v>0.77572310731684224</c:v>
                </c:pt>
                <c:pt idx="247">
                  <c:v>0.77547539125986154</c:v>
                </c:pt>
                <c:pt idx="248">
                  <c:v>0.77516474165561677</c:v>
                </c:pt>
                <c:pt idx="249">
                  <c:v>0.77492319730828363</c:v>
                </c:pt>
                <c:pt idx="250">
                  <c:v>0.77412502685765516</c:v>
                </c:pt>
                <c:pt idx="251">
                  <c:v>0.77297259255276818</c:v>
                </c:pt>
                <c:pt idx="252">
                  <c:v>0.77297259255276818</c:v>
                </c:pt>
                <c:pt idx="253">
                  <c:v>0.77297259255276818</c:v>
                </c:pt>
                <c:pt idx="254">
                  <c:v>0.77168214050708328</c:v>
                </c:pt>
                <c:pt idx="255">
                  <c:v>0.7702487218567482</c:v>
                </c:pt>
                <c:pt idx="256">
                  <c:v>0.7702487218567482</c:v>
                </c:pt>
                <c:pt idx="257">
                  <c:v>0.7702487218567482</c:v>
                </c:pt>
                <c:pt idx="258">
                  <c:v>0.7702487218567482</c:v>
                </c:pt>
                <c:pt idx="259">
                  <c:v>0.76959830803565676</c:v>
                </c:pt>
                <c:pt idx="260">
                  <c:v>0.76959830803565676</c:v>
                </c:pt>
                <c:pt idx="261">
                  <c:v>0.76959830803565676</c:v>
                </c:pt>
                <c:pt idx="262">
                  <c:v>0.76959830803565676</c:v>
                </c:pt>
                <c:pt idx="263">
                  <c:v>0.76959830803565676</c:v>
                </c:pt>
                <c:pt idx="264">
                  <c:v>0.76959830803565676</c:v>
                </c:pt>
                <c:pt idx="265">
                  <c:v>0.7691800449565861</c:v>
                </c:pt>
                <c:pt idx="266">
                  <c:v>0.7691800449565861</c:v>
                </c:pt>
                <c:pt idx="267">
                  <c:v>0.7691800449565861</c:v>
                </c:pt>
                <c:pt idx="268">
                  <c:v>0.76819292920644</c:v>
                </c:pt>
                <c:pt idx="269">
                  <c:v>0.76700242891696424</c:v>
                </c:pt>
                <c:pt idx="270">
                  <c:v>0.76624363136328211</c:v>
                </c:pt>
                <c:pt idx="271">
                  <c:v>0.76598179703996383</c:v>
                </c:pt>
                <c:pt idx="272">
                  <c:v>0.76581375464846158</c:v>
                </c:pt>
                <c:pt idx="273">
                  <c:v>0.76581375464846158</c:v>
                </c:pt>
                <c:pt idx="274">
                  <c:v>0.76581375464846158</c:v>
                </c:pt>
                <c:pt idx="275">
                  <c:v>0.76581375464846158</c:v>
                </c:pt>
                <c:pt idx="276">
                  <c:v>0.76536835266749226</c:v>
                </c:pt>
                <c:pt idx="277">
                  <c:v>0.76499381225064789</c:v>
                </c:pt>
                <c:pt idx="278">
                  <c:v>0.76339946286205851</c:v>
                </c:pt>
                <c:pt idx="279">
                  <c:v>0.76148154991428485</c:v>
                </c:pt>
                <c:pt idx="280">
                  <c:v>0.75988186139674363</c:v>
                </c:pt>
                <c:pt idx="281">
                  <c:v>0.75844376938287228</c:v>
                </c:pt>
                <c:pt idx="282">
                  <c:v>0.75988186139674363</c:v>
                </c:pt>
                <c:pt idx="283">
                  <c:v>0.76148154991428485</c:v>
                </c:pt>
                <c:pt idx="284">
                  <c:v>0.76339946286205851</c:v>
                </c:pt>
                <c:pt idx="285">
                  <c:v>0.76529286018472265</c:v>
                </c:pt>
                <c:pt idx="286">
                  <c:v>0.76583544299306927</c:v>
                </c:pt>
                <c:pt idx="287">
                  <c:v>0.76624363136328211</c:v>
                </c:pt>
                <c:pt idx="288">
                  <c:v>0.76700242891696424</c:v>
                </c:pt>
                <c:pt idx="289">
                  <c:v>0.76819292920644</c:v>
                </c:pt>
                <c:pt idx="290">
                  <c:v>0.76819292920644</c:v>
                </c:pt>
                <c:pt idx="291">
                  <c:v>0.76819292920644</c:v>
                </c:pt>
                <c:pt idx="292">
                  <c:v>0.7692830410000151</c:v>
                </c:pt>
                <c:pt idx="293">
                  <c:v>0.76819292920644</c:v>
                </c:pt>
                <c:pt idx="294">
                  <c:v>0.76700242891696424</c:v>
                </c:pt>
                <c:pt idx="295">
                  <c:v>0.76624363136328211</c:v>
                </c:pt>
                <c:pt idx="296">
                  <c:v>0.76583544299306927</c:v>
                </c:pt>
                <c:pt idx="297">
                  <c:v>0.76377400327890288</c:v>
                </c:pt>
                <c:pt idx="298">
                  <c:v>0.76148154991428485</c:v>
                </c:pt>
                <c:pt idx="299">
                  <c:v>0.75988186139674363</c:v>
                </c:pt>
                <c:pt idx="300">
                  <c:v>0.75964440185845983</c:v>
                </c:pt>
                <c:pt idx="301">
                  <c:v>0.75964440185845983</c:v>
                </c:pt>
                <c:pt idx="302">
                  <c:v>0.75713640975654417</c:v>
                </c:pt>
                <c:pt idx="303">
                  <c:v>0.75579046184377885</c:v>
                </c:pt>
                <c:pt idx="304">
                  <c:v>0.754187305860051</c:v>
                </c:pt>
                <c:pt idx="305">
                  <c:v>0.74944972133263321</c:v>
                </c:pt>
                <c:pt idx="306">
                  <c:v>0.74944972133263321</c:v>
                </c:pt>
                <c:pt idx="307">
                  <c:v>0.74537374606030438</c:v>
                </c:pt>
                <c:pt idx="308">
                  <c:v>0.74099592808519299</c:v>
                </c:pt>
                <c:pt idx="309">
                  <c:v>0.73702769410882207</c:v>
                </c:pt>
                <c:pt idx="310">
                  <c:v>0.73469823191885819</c:v>
                </c:pt>
                <c:pt idx="311">
                  <c:v>0.72802705645573851</c:v>
                </c:pt>
                <c:pt idx="312">
                  <c:v>0.72323914954983859</c:v>
                </c:pt>
                <c:pt idx="313">
                  <c:v>0.72194363451221966</c:v>
                </c:pt>
                <c:pt idx="314">
                  <c:v>0.71973386336442591</c:v>
                </c:pt>
                <c:pt idx="315">
                  <c:v>0.71720091189946367</c:v>
                </c:pt>
                <c:pt idx="316">
                  <c:v>0.71497601348524642</c:v>
                </c:pt>
                <c:pt idx="317">
                  <c:v>0.7130301489472064</c:v>
                </c:pt>
                <c:pt idx="318">
                  <c:v>0.71145205642709441</c:v>
                </c:pt>
                <c:pt idx="319">
                  <c:v>0.70922375724826958</c:v>
                </c:pt>
                <c:pt idx="320">
                  <c:v>0.70051232905511207</c:v>
                </c:pt>
                <c:pt idx="321">
                  <c:v>0.69248393593694957</c:v>
                </c:pt>
                <c:pt idx="322">
                  <c:v>0.68721418873925444</c:v>
                </c:pt>
                <c:pt idx="323">
                  <c:v>0.67836192144248719</c:v>
                </c:pt>
                <c:pt idx="324">
                  <c:v>0.67330343290620998</c:v>
                </c:pt>
                <c:pt idx="325">
                  <c:v>0.67137162894018987</c:v>
                </c:pt>
                <c:pt idx="326">
                  <c:v>0.66809433505146543</c:v>
                </c:pt>
                <c:pt idx="327">
                  <c:v>0.66318930173289348</c:v>
                </c:pt>
                <c:pt idx="328">
                  <c:v>0.65726051033370525</c:v>
                </c:pt>
                <c:pt idx="329">
                  <c:v>0.65726051033370525</c:v>
                </c:pt>
                <c:pt idx="330">
                  <c:v>0.65726051033370525</c:v>
                </c:pt>
                <c:pt idx="331">
                  <c:v>0.65726051033370525</c:v>
                </c:pt>
                <c:pt idx="332">
                  <c:v>0.65726051033370525</c:v>
                </c:pt>
                <c:pt idx="333">
                  <c:v>0.65726051033370525</c:v>
                </c:pt>
                <c:pt idx="334">
                  <c:v>0.65726051033370525</c:v>
                </c:pt>
                <c:pt idx="335">
                  <c:v>0.65726051033370525</c:v>
                </c:pt>
                <c:pt idx="336">
                  <c:v>0.65726051033370525</c:v>
                </c:pt>
                <c:pt idx="337">
                  <c:v>0.65726051033370525</c:v>
                </c:pt>
                <c:pt idx="338">
                  <c:v>0.65726051033370525</c:v>
                </c:pt>
                <c:pt idx="339">
                  <c:v>0.65726051033370525</c:v>
                </c:pt>
                <c:pt idx="340">
                  <c:v>0.65726051033370525</c:v>
                </c:pt>
                <c:pt idx="341">
                  <c:v>0.65726051033370525</c:v>
                </c:pt>
                <c:pt idx="342">
                  <c:v>0.65726051033370525</c:v>
                </c:pt>
                <c:pt idx="343">
                  <c:v>0.65726051033370525</c:v>
                </c:pt>
                <c:pt idx="344">
                  <c:v>0.65726051033370525</c:v>
                </c:pt>
                <c:pt idx="345">
                  <c:v>0.65726051033370525</c:v>
                </c:pt>
                <c:pt idx="346">
                  <c:v>0.65726051033370525</c:v>
                </c:pt>
                <c:pt idx="347">
                  <c:v>0.65726051033370525</c:v>
                </c:pt>
                <c:pt idx="348">
                  <c:v>0.65726051033370525</c:v>
                </c:pt>
                <c:pt idx="349">
                  <c:v>0.66241601209462897</c:v>
                </c:pt>
                <c:pt idx="350">
                  <c:v>0.65726051033370525</c:v>
                </c:pt>
                <c:pt idx="351">
                  <c:v>0.65327677230682824</c:v>
                </c:pt>
                <c:pt idx="352">
                  <c:v>0.65179461529284266</c:v>
                </c:pt>
                <c:pt idx="353">
                  <c:v>0.65155261522307706</c:v>
                </c:pt>
                <c:pt idx="354">
                  <c:v>0.64946433157306194</c:v>
                </c:pt>
                <c:pt idx="355">
                  <c:v>0.64699821587899853</c:v>
                </c:pt>
                <c:pt idx="356">
                  <c:v>0.64420966274740432</c:v>
                </c:pt>
                <c:pt idx="357">
                  <c:v>0.64170653858849358</c:v>
                </c:pt>
                <c:pt idx="358">
                  <c:v>0.6415340522183679</c:v>
                </c:pt>
                <c:pt idx="359">
                  <c:v>0.64130092268380912</c:v>
                </c:pt>
                <c:pt idx="360">
                  <c:v>0.64130092268380912</c:v>
                </c:pt>
                <c:pt idx="361">
                  <c:v>0.64130092268380912</c:v>
                </c:pt>
                <c:pt idx="362">
                  <c:v>0.64130092268380912</c:v>
                </c:pt>
                <c:pt idx="363">
                  <c:v>0.64130092268380912</c:v>
                </c:pt>
                <c:pt idx="364">
                  <c:v>0.64130092268380912</c:v>
                </c:pt>
                <c:pt idx="365">
                  <c:v>0.64130092268380912</c:v>
                </c:pt>
                <c:pt idx="366">
                  <c:v>0.6386883476010804</c:v>
                </c:pt>
                <c:pt idx="367">
                  <c:v>0.6386883476010804</c:v>
                </c:pt>
                <c:pt idx="368">
                  <c:v>0.6386883476010804</c:v>
                </c:pt>
                <c:pt idx="369">
                  <c:v>0.64136608700567699</c:v>
                </c:pt>
                <c:pt idx="370">
                  <c:v>0.64170653858849358</c:v>
                </c:pt>
                <c:pt idx="371">
                  <c:v>0.64667577844146762</c:v>
                </c:pt>
                <c:pt idx="372">
                  <c:v>0.64669069741836072</c:v>
                </c:pt>
                <c:pt idx="373">
                  <c:v>0.64657508012444653</c:v>
                </c:pt>
                <c:pt idx="374">
                  <c:v>0.64657508012444653</c:v>
                </c:pt>
                <c:pt idx="375">
                  <c:v>0.64657508012444653</c:v>
                </c:pt>
                <c:pt idx="376">
                  <c:v>0.64657508012444653</c:v>
                </c:pt>
                <c:pt idx="377">
                  <c:v>0.64657508012444653</c:v>
                </c:pt>
                <c:pt idx="378">
                  <c:v>0.64657508012444653</c:v>
                </c:pt>
                <c:pt idx="379">
                  <c:v>0.64657508012444653</c:v>
                </c:pt>
                <c:pt idx="380">
                  <c:v>0.64657508012444653</c:v>
                </c:pt>
                <c:pt idx="381">
                  <c:v>0.63876712234025135</c:v>
                </c:pt>
                <c:pt idx="382">
                  <c:v>0.63549269250460205</c:v>
                </c:pt>
                <c:pt idx="383">
                  <c:v>0.63455243481657608</c:v>
                </c:pt>
                <c:pt idx="384">
                  <c:v>0.63270661509045611</c:v>
                </c:pt>
                <c:pt idx="385">
                  <c:v>0.62828709704339158</c:v>
                </c:pt>
                <c:pt idx="386">
                  <c:v>0.62411811286144125</c:v>
                </c:pt>
                <c:pt idx="387">
                  <c:v>0.62129725041870643</c:v>
                </c:pt>
                <c:pt idx="388">
                  <c:v>0.61763979327126728</c:v>
                </c:pt>
                <c:pt idx="389">
                  <c:v>0.61586083295267935</c:v>
                </c:pt>
                <c:pt idx="390">
                  <c:v>0.61558337036454047</c:v>
                </c:pt>
                <c:pt idx="391">
                  <c:v>0.61531029416304617</c:v>
                </c:pt>
                <c:pt idx="392">
                  <c:v>0.61489233977747226</c:v>
                </c:pt>
                <c:pt idx="393">
                  <c:v>0.61293947199873011</c:v>
                </c:pt>
                <c:pt idx="394">
                  <c:v>0.61055501569473658</c:v>
                </c:pt>
                <c:pt idx="395">
                  <c:v>0.60598668173311854</c:v>
                </c:pt>
                <c:pt idx="396">
                  <c:v>0.60194307344126186</c:v>
                </c:pt>
                <c:pt idx="397">
                  <c:v>0.60147940812936718</c:v>
                </c:pt>
                <c:pt idx="398">
                  <c:v>0.60083625004035068</c:v>
                </c:pt>
                <c:pt idx="399">
                  <c:v>0.59882856850366784</c:v>
                </c:pt>
                <c:pt idx="400">
                  <c:v>0.5970708190868701</c:v>
                </c:pt>
                <c:pt idx="401">
                  <c:v>0.59672040295188955</c:v>
                </c:pt>
                <c:pt idx="402">
                  <c:v>0.59575091828846671</c:v>
                </c:pt>
                <c:pt idx="403">
                  <c:v>0.58961037726896603</c:v>
                </c:pt>
                <c:pt idx="404">
                  <c:v>0.58961037726896603</c:v>
                </c:pt>
                <c:pt idx="405">
                  <c:v>0.58961037726896603</c:v>
                </c:pt>
                <c:pt idx="406">
                  <c:v>0.58961037726896603</c:v>
                </c:pt>
                <c:pt idx="407">
                  <c:v>0.59575091828846671</c:v>
                </c:pt>
                <c:pt idx="408">
                  <c:v>0.59575091828846671</c:v>
                </c:pt>
                <c:pt idx="409">
                  <c:v>0.59575091828846671</c:v>
                </c:pt>
                <c:pt idx="410">
                  <c:v>0.59575091828846671</c:v>
                </c:pt>
                <c:pt idx="411">
                  <c:v>0.59575091828846671</c:v>
                </c:pt>
                <c:pt idx="412">
                  <c:v>0.59575091828846671</c:v>
                </c:pt>
                <c:pt idx="413">
                  <c:v>0.59575091828846671</c:v>
                </c:pt>
                <c:pt idx="414">
                  <c:v>0.59575091828846671</c:v>
                </c:pt>
                <c:pt idx="415">
                  <c:v>0.59575091828846671</c:v>
                </c:pt>
                <c:pt idx="416">
                  <c:v>0.59575091828846671</c:v>
                </c:pt>
                <c:pt idx="417">
                  <c:v>0.59575091828846671</c:v>
                </c:pt>
                <c:pt idx="418">
                  <c:v>0.59575091828846671</c:v>
                </c:pt>
                <c:pt idx="419">
                  <c:v>0.59672040295188955</c:v>
                </c:pt>
                <c:pt idx="420">
                  <c:v>0.60411049989706567</c:v>
                </c:pt>
                <c:pt idx="421">
                  <c:v>0.60411049989706567</c:v>
                </c:pt>
                <c:pt idx="422">
                  <c:v>0.60411049989706567</c:v>
                </c:pt>
                <c:pt idx="423">
                  <c:v>0.60411049989706567</c:v>
                </c:pt>
                <c:pt idx="424">
                  <c:v>0.60411049989706567</c:v>
                </c:pt>
                <c:pt idx="425">
                  <c:v>0.60411049989706567</c:v>
                </c:pt>
                <c:pt idx="426">
                  <c:v>0.60411049989706567</c:v>
                </c:pt>
                <c:pt idx="427">
                  <c:v>0.60411049989706567</c:v>
                </c:pt>
                <c:pt idx="428">
                  <c:v>0.60411049989706567</c:v>
                </c:pt>
                <c:pt idx="429">
                  <c:v>0.62553820324593268</c:v>
                </c:pt>
                <c:pt idx="430">
                  <c:v>0.65654660051073743</c:v>
                </c:pt>
                <c:pt idx="431">
                  <c:v>0.65929177261083982</c:v>
                </c:pt>
                <c:pt idx="432">
                  <c:v>0.68296153621196876</c:v>
                </c:pt>
                <c:pt idx="433">
                  <c:v>0.70924207956464747</c:v>
                </c:pt>
                <c:pt idx="434">
                  <c:v>0.70924207956464747</c:v>
                </c:pt>
                <c:pt idx="435">
                  <c:v>0.71227985229602053</c:v>
                </c:pt>
                <c:pt idx="436">
                  <c:v>0.71691363414441156</c:v>
                </c:pt>
                <c:pt idx="437">
                  <c:v>0.72057722761405296</c:v>
                </c:pt>
                <c:pt idx="438">
                  <c:v>0.72531043369912429</c:v>
                </c:pt>
                <c:pt idx="439">
                  <c:v>0.73070049865314912</c:v>
                </c:pt>
                <c:pt idx="440">
                  <c:v>0.7334521095398745</c:v>
                </c:pt>
                <c:pt idx="441">
                  <c:v>0.73672940498328554</c:v>
                </c:pt>
                <c:pt idx="442">
                  <c:v>0.73672940498328554</c:v>
                </c:pt>
                <c:pt idx="443">
                  <c:v>0.73672940498328554</c:v>
                </c:pt>
                <c:pt idx="444">
                  <c:v>0.73672940498328554</c:v>
                </c:pt>
                <c:pt idx="445">
                  <c:v>0.73672940498328554</c:v>
                </c:pt>
                <c:pt idx="446">
                  <c:v>0.73672940498328554</c:v>
                </c:pt>
                <c:pt idx="447">
                  <c:v>0.73672940498328554</c:v>
                </c:pt>
                <c:pt idx="448">
                  <c:v>0.73672940498328554</c:v>
                </c:pt>
                <c:pt idx="449">
                  <c:v>0.73672940498328554</c:v>
                </c:pt>
                <c:pt idx="450">
                  <c:v>0.73672940498328554</c:v>
                </c:pt>
                <c:pt idx="451">
                  <c:v>0.73672940498328554</c:v>
                </c:pt>
                <c:pt idx="452">
                  <c:v>0.73672940498328554</c:v>
                </c:pt>
                <c:pt idx="453">
                  <c:v>0.73672940498328554</c:v>
                </c:pt>
                <c:pt idx="454">
                  <c:v>0.73672940498328554</c:v>
                </c:pt>
                <c:pt idx="455">
                  <c:v>0.73672940498328554</c:v>
                </c:pt>
                <c:pt idx="456">
                  <c:v>0.73672940498328554</c:v>
                </c:pt>
                <c:pt idx="457">
                  <c:v>0.73672940498328554</c:v>
                </c:pt>
                <c:pt idx="458">
                  <c:v>0.73672940498328554</c:v>
                </c:pt>
                <c:pt idx="459">
                  <c:v>0.73672940498328554</c:v>
                </c:pt>
                <c:pt idx="460">
                  <c:v>0.73184877789444291</c:v>
                </c:pt>
                <c:pt idx="461">
                  <c:v>0.73672940498328554</c:v>
                </c:pt>
                <c:pt idx="462">
                  <c:v>0.74271961785573026</c:v>
                </c:pt>
                <c:pt idx="463">
                  <c:v>0.74674440290651667</c:v>
                </c:pt>
                <c:pt idx="464">
                  <c:v>0.7487412270945486</c:v>
                </c:pt>
                <c:pt idx="465">
                  <c:v>0.75714757101733365</c:v>
                </c:pt>
                <c:pt idx="466">
                  <c:v>0.75714757101733365</c:v>
                </c:pt>
                <c:pt idx="467">
                  <c:v>0.75714757101733365</c:v>
                </c:pt>
                <c:pt idx="468">
                  <c:v>0.75714757101733365</c:v>
                </c:pt>
                <c:pt idx="469">
                  <c:v>0.75714757101733365</c:v>
                </c:pt>
                <c:pt idx="470">
                  <c:v>0.75714757101733365</c:v>
                </c:pt>
                <c:pt idx="471">
                  <c:v>0.75714757101733365</c:v>
                </c:pt>
                <c:pt idx="472">
                  <c:v>0.75714757101733365</c:v>
                </c:pt>
                <c:pt idx="473">
                  <c:v>0.75714757101733365</c:v>
                </c:pt>
                <c:pt idx="474">
                  <c:v>0.75714757101733365</c:v>
                </c:pt>
                <c:pt idx="475">
                  <c:v>0.75714757101733365</c:v>
                </c:pt>
                <c:pt idx="476">
                  <c:v>0.7568446247172933</c:v>
                </c:pt>
                <c:pt idx="477">
                  <c:v>0.7487412270945486</c:v>
                </c:pt>
                <c:pt idx="478">
                  <c:v>0.7487412270945486</c:v>
                </c:pt>
                <c:pt idx="479">
                  <c:v>0.7487412270945486</c:v>
                </c:pt>
                <c:pt idx="480">
                  <c:v>0.74674440290651667</c:v>
                </c:pt>
                <c:pt idx="481">
                  <c:v>0.74499873870928646</c:v>
                </c:pt>
                <c:pt idx="482">
                  <c:v>0.74058188136528214</c:v>
                </c:pt>
                <c:pt idx="483">
                  <c:v>0.73949597930840738</c:v>
                </c:pt>
                <c:pt idx="484">
                  <c:v>0.73755813876598686</c:v>
                </c:pt>
                <c:pt idx="485">
                  <c:v>0.73755813876598686</c:v>
                </c:pt>
                <c:pt idx="486">
                  <c:v>0.73755813876598686</c:v>
                </c:pt>
                <c:pt idx="487">
                  <c:v>0.73323317235082119</c:v>
                </c:pt>
                <c:pt idx="488">
                  <c:v>0.73161633370889989</c:v>
                </c:pt>
                <c:pt idx="489">
                  <c:v>0.73161633370889989</c:v>
                </c:pt>
                <c:pt idx="490">
                  <c:v>0.72281457020536988</c:v>
                </c:pt>
                <c:pt idx="491">
                  <c:v>0.71528740441569527</c:v>
                </c:pt>
                <c:pt idx="492">
                  <c:v>0.70884693488001682</c:v>
                </c:pt>
                <c:pt idx="493">
                  <c:v>0.70684918018421383</c:v>
                </c:pt>
                <c:pt idx="494">
                  <c:v>0.70684918018421383</c:v>
                </c:pt>
                <c:pt idx="495">
                  <c:v>0.70684918018421383</c:v>
                </c:pt>
                <c:pt idx="496">
                  <c:v>0.70684918018421383</c:v>
                </c:pt>
                <c:pt idx="497">
                  <c:v>0.70684918018421383</c:v>
                </c:pt>
                <c:pt idx="498">
                  <c:v>0.70589014277945239</c:v>
                </c:pt>
                <c:pt idx="499">
                  <c:v>0.70323330836886488</c:v>
                </c:pt>
                <c:pt idx="500">
                  <c:v>0.69570083350233247</c:v>
                </c:pt>
                <c:pt idx="501">
                  <c:v>0.69570083350233247</c:v>
                </c:pt>
                <c:pt idx="502">
                  <c:v>0.69570083350233247</c:v>
                </c:pt>
                <c:pt idx="503">
                  <c:v>0.69570083350233247</c:v>
                </c:pt>
                <c:pt idx="504">
                  <c:v>0.69570083350233247</c:v>
                </c:pt>
                <c:pt idx="505">
                  <c:v>0.69570083350233247</c:v>
                </c:pt>
                <c:pt idx="506">
                  <c:v>0.69570083350233247</c:v>
                </c:pt>
                <c:pt idx="507">
                  <c:v>0.69570083350233247</c:v>
                </c:pt>
                <c:pt idx="508">
                  <c:v>0.6896621303557513</c:v>
                </c:pt>
                <c:pt idx="509">
                  <c:v>0.68772936057476286</c:v>
                </c:pt>
                <c:pt idx="510">
                  <c:v>0.68772936057476286</c:v>
                </c:pt>
                <c:pt idx="511">
                  <c:v>0.68772936057476286</c:v>
                </c:pt>
                <c:pt idx="512">
                  <c:v>0.68772936057476286</c:v>
                </c:pt>
                <c:pt idx="513">
                  <c:v>0.68481912220317742</c:v>
                </c:pt>
                <c:pt idx="514">
                  <c:v>0.67970887372558852</c:v>
                </c:pt>
                <c:pt idx="515">
                  <c:v>0.67184580946173378</c:v>
                </c:pt>
                <c:pt idx="516">
                  <c:v>0.66750826470420477</c:v>
                </c:pt>
                <c:pt idx="517">
                  <c:v>0.66729166833444908</c:v>
                </c:pt>
                <c:pt idx="518">
                  <c:v>0.66703487100891767</c:v>
                </c:pt>
                <c:pt idx="519">
                  <c:v>0.66426226085771434</c:v>
                </c:pt>
                <c:pt idx="520">
                  <c:v>0.66085218606604246</c:v>
                </c:pt>
                <c:pt idx="521">
                  <c:v>0.65916982005408631</c:v>
                </c:pt>
                <c:pt idx="522">
                  <c:v>0.65777440656647423</c:v>
                </c:pt>
                <c:pt idx="523">
                  <c:v>0.65657129740715225</c:v>
                </c:pt>
                <c:pt idx="524">
                  <c:v>0.65524181397073034</c:v>
                </c:pt>
                <c:pt idx="525">
                  <c:v>0.65365093729197121</c:v>
                </c:pt>
                <c:pt idx="526">
                  <c:v>0.65167035479479196</c:v>
                </c:pt>
                <c:pt idx="527">
                  <c:v>0.65064460955893511</c:v>
                </c:pt>
                <c:pt idx="528">
                  <c:v>0.6496922651792747</c:v>
                </c:pt>
                <c:pt idx="529">
                  <c:v>0.64662903743992217</c:v>
                </c:pt>
                <c:pt idx="530">
                  <c:v>0.642868780229781</c:v>
                </c:pt>
                <c:pt idx="531">
                  <c:v>0.64114982464259151</c:v>
                </c:pt>
                <c:pt idx="532">
                  <c:v>0.64077958235114174</c:v>
                </c:pt>
                <c:pt idx="533">
                  <c:v>0.63955943274984361</c:v>
                </c:pt>
                <c:pt idx="534">
                  <c:v>0.63807485443271394</c:v>
                </c:pt>
                <c:pt idx="535">
                  <c:v>0.63551886316006001</c:v>
                </c:pt>
                <c:pt idx="536">
                  <c:v>0.63318109687882518</c:v>
                </c:pt>
                <c:pt idx="537">
                  <c:v>0.63318109687882518</c:v>
                </c:pt>
                <c:pt idx="538">
                  <c:v>0.63263900275759632</c:v>
                </c:pt>
                <c:pt idx="539">
                  <c:v>0.63263900275759632</c:v>
                </c:pt>
                <c:pt idx="540">
                  <c:v>0.63263900275759632</c:v>
                </c:pt>
                <c:pt idx="541">
                  <c:v>0.63205371277177169</c:v>
                </c:pt>
                <c:pt idx="542">
                  <c:v>0.63149958963460651</c:v>
                </c:pt>
                <c:pt idx="543">
                  <c:v>0.63058155984963937</c:v>
                </c:pt>
                <c:pt idx="544">
                  <c:v>0.62934241274950287</c:v>
                </c:pt>
                <c:pt idx="545">
                  <c:v>0.62823590815306962</c:v>
                </c:pt>
                <c:pt idx="546">
                  <c:v>0.62772923507003042</c:v>
                </c:pt>
                <c:pt idx="547">
                  <c:v>0.62661855267354571</c:v>
                </c:pt>
                <c:pt idx="548">
                  <c:v>0.62510752548125725</c:v>
                </c:pt>
                <c:pt idx="549">
                  <c:v>0.62405405667251967</c:v>
                </c:pt>
                <c:pt idx="550">
                  <c:v>0.62405405667251967</c:v>
                </c:pt>
                <c:pt idx="551">
                  <c:v>0.62234806669538734</c:v>
                </c:pt>
                <c:pt idx="552">
                  <c:v>0.62114431790964986</c:v>
                </c:pt>
                <c:pt idx="553">
                  <c:v>0.62062696540172757</c:v>
                </c:pt>
                <c:pt idx="554">
                  <c:v>0.61948278138502366</c:v>
                </c:pt>
                <c:pt idx="555">
                  <c:v>0.61948278138502366</c:v>
                </c:pt>
                <c:pt idx="556">
                  <c:v>0.61948278138502366</c:v>
                </c:pt>
                <c:pt idx="557">
                  <c:v>0.61948278138502366</c:v>
                </c:pt>
                <c:pt idx="558">
                  <c:v>0.61916996818260284</c:v>
                </c:pt>
                <c:pt idx="559">
                  <c:v>0.61916996818260284</c:v>
                </c:pt>
                <c:pt idx="560">
                  <c:v>0.6178327991796756</c:v>
                </c:pt>
                <c:pt idx="561">
                  <c:v>0.61657059142846771</c:v>
                </c:pt>
                <c:pt idx="562">
                  <c:v>0.61510980654251302</c:v>
                </c:pt>
                <c:pt idx="563">
                  <c:v>0.61410637001930934</c:v>
                </c:pt>
                <c:pt idx="564">
                  <c:v>0.61042168369972594</c:v>
                </c:pt>
                <c:pt idx="565">
                  <c:v>0.60652194312040308</c:v>
                </c:pt>
                <c:pt idx="566">
                  <c:v>0.60652194312040308</c:v>
                </c:pt>
                <c:pt idx="567">
                  <c:v>0.60652194312040308</c:v>
                </c:pt>
                <c:pt idx="568">
                  <c:v>0.60652194312040308</c:v>
                </c:pt>
                <c:pt idx="569">
                  <c:v>0.60652194312040308</c:v>
                </c:pt>
                <c:pt idx="570">
                  <c:v>0.60530865062611006</c:v>
                </c:pt>
                <c:pt idx="571">
                  <c:v>0.604854211380916</c:v>
                </c:pt>
                <c:pt idx="572">
                  <c:v>0.60480650218627474</c:v>
                </c:pt>
                <c:pt idx="573">
                  <c:v>0.60469760101863479</c:v>
                </c:pt>
                <c:pt idx="574">
                  <c:v>0.60350300154737779</c:v>
                </c:pt>
                <c:pt idx="575">
                  <c:v>0.60204596536500721</c:v>
                </c:pt>
                <c:pt idx="576">
                  <c:v>0.60133810487675765</c:v>
                </c:pt>
                <c:pt idx="577">
                  <c:v>0.60059822366090376</c:v>
                </c:pt>
                <c:pt idx="578">
                  <c:v>0.60001016508741922</c:v>
                </c:pt>
                <c:pt idx="579">
                  <c:v>0.59909335907634498</c:v>
                </c:pt>
                <c:pt idx="580">
                  <c:v>0.59909335907634498</c:v>
                </c:pt>
                <c:pt idx="581">
                  <c:v>0.59879007422333286</c:v>
                </c:pt>
                <c:pt idx="582">
                  <c:v>0.59835491584471245</c:v>
                </c:pt>
                <c:pt idx="583">
                  <c:v>0.59784950353324307</c:v>
                </c:pt>
                <c:pt idx="584">
                  <c:v>0.59683259228508323</c:v>
                </c:pt>
                <c:pt idx="585">
                  <c:v>0.59618283747816259</c:v>
                </c:pt>
                <c:pt idx="586">
                  <c:v>0.59479536412650647</c:v>
                </c:pt>
                <c:pt idx="587">
                  <c:v>0.5932855852843032</c:v>
                </c:pt>
                <c:pt idx="588">
                  <c:v>0.59260757464643099</c:v>
                </c:pt>
                <c:pt idx="589">
                  <c:v>0.59165363215805888</c:v>
                </c:pt>
                <c:pt idx="590">
                  <c:v>0.59165363215805888</c:v>
                </c:pt>
                <c:pt idx="591">
                  <c:v>0.59165363215805888</c:v>
                </c:pt>
                <c:pt idx="592">
                  <c:v>0.59165363215805888</c:v>
                </c:pt>
                <c:pt idx="593">
                  <c:v>0.59165363215805888</c:v>
                </c:pt>
                <c:pt idx="594">
                  <c:v>0.59260757464643099</c:v>
                </c:pt>
                <c:pt idx="595">
                  <c:v>0.59260757464643099</c:v>
                </c:pt>
                <c:pt idx="596">
                  <c:v>0.5932855852843032</c:v>
                </c:pt>
                <c:pt idx="597">
                  <c:v>0.5932855852843032</c:v>
                </c:pt>
                <c:pt idx="598">
                  <c:v>0.5932855852843032</c:v>
                </c:pt>
                <c:pt idx="599">
                  <c:v>0.59488411789308704</c:v>
                </c:pt>
                <c:pt idx="600">
                  <c:v>0.59683259228508323</c:v>
                </c:pt>
                <c:pt idx="601">
                  <c:v>0.59784950353324307</c:v>
                </c:pt>
                <c:pt idx="602">
                  <c:v>0.59835491584471245</c:v>
                </c:pt>
                <c:pt idx="603">
                  <c:v>0.59879007422333286</c:v>
                </c:pt>
                <c:pt idx="604">
                  <c:v>0.59970688023440721</c:v>
                </c:pt>
                <c:pt idx="605">
                  <c:v>0.60051443497386336</c:v>
                </c:pt>
                <c:pt idx="606">
                  <c:v>0.60087462866425656</c:v>
                </c:pt>
                <c:pt idx="607">
                  <c:v>0.60087462866425656</c:v>
                </c:pt>
                <c:pt idx="608">
                  <c:v>0.60133810487675765</c:v>
                </c:pt>
                <c:pt idx="609">
                  <c:v>0.60328372975222888</c:v>
                </c:pt>
                <c:pt idx="610">
                  <c:v>0.60328372975222888</c:v>
                </c:pt>
                <c:pt idx="611">
                  <c:v>0.60328827403090557</c:v>
                </c:pt>
                <c:pt idx="612">
                  <c:v>0.60133810487675765</c:v>
                </c:pt>
                <c:pt idx="613">
                  <c:v>0.60450123341070872</c:v>
                </c:pt>
                <c:pt idx="614">
                  <c:v>0.60728754687908759</c:v>
                </c:pt>
                <c:pt idx="615">
                  <c:v>0.60759349480133729</c:v>
                </c:pt>
                <c:pt idx="616">
                  <c:v>0.60802954313864443</c:v>
                </c:pt>
                <c:pt idx="617">
                  <c:v>0.6110531439291127</c:v>
                </c:pt>
                <c:pt idx="618">
                  <c:v>0.6110531439291127</c:v>
                </c:pt>
                <c:pt idx="619">
                  <c:v>0.6110531439291127</c:v>
                </c:pt>
                <c:pt idx="620">
                  <c:v>0.6110531439291127</c:v>
                </c:pt>
                <c:pt idx="621">
                  <c:v>0.6110531439291127</c:v>
                </c:pt>
                <c:pt idx="622">
                  <c:v>0.61491673197813124</c:v>
                </c:pt>
                <c:pt idx="623">
                  <c:v>0.61491673197813124</c:v>
                </c:pt>
                <c:pt idx="624">
                  <c:v>0.61491673197813124</c:v>
                </c:pt>
                <c:pt idx="625">
                  <c:v>0.61839241661440125</c:v>
                </c:pt>
                <c:pt idx="626">
                  <c:v>0.61899135616989431</c:v>
                </c:pt>
                <c:pt idx="627">
                  <c:v>0.61899135616989431</c:v>
                </c:pt>
                <c:pt idx="628">
                  <c:v>0.62090284844282584</c:v>
                </c:pt>
                <c:pt idx="629">
                  <c:v>0.62090284844282584</c:v>
                </c:pt>
                <c:pt idx="630">
                  <c:v>0.62090284844282584</c:v>
                </c:pt>
                <c:pt idx="631">
                  <c:v>0.62090284844282584</c:v>
                </c:pt>
                <c:pt idx="632">
                  <c:v>0.61899135616989431</c:v>
                </c:pt>
                <c:pt idx="633">
                  <c:v>0.61899135616989431</c:v>
                </c:pt>
                <c:pt idx="634">
                  <c:v>0.61899135616989431</c:v>
                </c:pt>
                <c:pt idx="635">
                  <c:v>0.61899135616989431</c:v>
                </c:pt>
                <c:pt idx="636">
                  <c:v>0.61899135616989431</c:v>
                </c:pt>
                <c:pt idx="637">
                  <c:v>0.62090284844282584</c:v>
                </c:pt>
                <c:pt idx="638">
                  <c:v>0.62090284844282584</c:v>
                </c:pt>
                <c:pt idx="639">
                  <c:v>0.62097806029382907</c:v>
                </c:pt>
                <c:pt idx="640">
                  <c:v>0.62325604251690325</c:v>
                </c:pt>
                <c:pt idx="641">
                  <c:v>0.62325604251690325</c:v>
                </c:pt>
                <c:pt idx="642">
                  <c:v>0.62325604251690325</c:v>
                </c:pt>
                <c:pt idx="643">
                  <c:v>0.62325604251690325</c:v>
                </c:pt>
                <c:pt idx="644">
                  <c:v>0.62097806029382907</c:v>
                </c:pt>
                <c:pt idx="645">
                  <c:v>0.62090284844282584</c:v>
                </c:pt>
                <c:pt idx="646">
                  <c:v>0.62090284844282584</c:v>
                </c:pt>
                <c:pt idx="647">
                  <c:v>0.62090284844282584</c:v>
                </c:pt>
                <c:pt idx="648">
                  <c:v>0.62090284844282584</c:v>
                </c:pt>
                <c:pt idx="649">
                  <c:v>0.62090284844282584</c:v>
                </c:pt>
                <c:pt idx="650">
                  <c:v>0.61899135616989431</c:v>
                </c:pt>
                <c:pt idx="651">
                  <c:v>0.6170421022830167</c:v>
                </c:pt>
                <c:pt idx="652">
                  <c:v>0.6164838068566314</c:v>
                </c:pt>
                <c:pt idx="653">
                  <c:v>0.614957376107239</c:v>
                </c:pt>
                <c:pt idx="654">
                  <c:v>0.61252907469640516</c:v>
                </c:pt>
                <c:pt idx="655">
                  <c:v>0.61059176947181482</c:v>
                </c:pt>
                <c:pt idx="656">
                  <c:v>0.60934527445426223</c:v>
                </c:pt>
                <c:pt idx="657">
                  <c:v>0.60856621306205971</c:v>
                </c:pt>
                <c:pt idx="658">
                  <c:v>0.60789785651512407</c:v>
                </c:pt>
                <c:pt idx="659">
                  <c:v>0.60735076747291372</c:v>
                </c:pt>
                <c:pt idx="660">
                  <c:v>0.60735076747291372</c:v>
                </c:pt>
                <c:pt idx="661">
                  <c:v>0.60735076747291372</c:v>
                </c:pt>
                <c:pt idx="662">
                  <c:v>0.60796394956883892</c:v>
                </c:pt>
                <c:pt idx="663">
                  <c:v>0.60796394956883892</c:v>
                </c:pt>
                <c:pt idx="664">
                  <c:v>0.60856621306205971</c:v>
                </c:pt>
                <c:pt idx="665">
                  <c:v>0.60856621306205971</c:v>
                </c:pt>
                <c:pt idx="666">
                  <c:v>0.60856621306205971</c:v>
                </c:pt>
                <c:pt idx="667">
                  <c:v>0.60856621306205971</c:v>
                </c:pt>
                <c:pt idx="668">
                  <c:v>0.60856621306205971</c:v>
                </c:pt>
                <c:pt idx="669">
                  <c:v>0.60856621306205971</c:v>
                </c:pt>
                <c:pt idx="670">
                  <c:v>0.60856621306205971</c:v>
                </c:pt>
                <c:pt idx="671">
                  <c:v>0.60856621306205971</c:v>
                </c:pt>
                <c:pt idx="672">
                  <c:v>0.60856621306205971</c:v>
                </c:pt>
                <c:pt idx="673">
                  <c:v>0.60856621306205971</c:v>
                </c:pt>
                <c:pt idx="674">
                  <c:v>0.60856621306205971</c:v>
                </c:pt>
                <c:pt idx="675">
                  <c:v>0.60934527445426223</c:v>
                </c:pt>
                <c:pt idx="676">
                  <c:v>0.61059176947181482</c:v>
                </c:pt>
                <c:pt idx="677">
                  <c:v>0.61059176947181482</c:v>
                </c:pt>
                <c:pt idx="678">
                  <c:v>0.61059176947181482</c:v>
                </c:pt>
                <c:pt idx="679">
                  <c:v>0.61302007088264865</c:v>
                </c:pt>
                <c:pt idx="680">
                  <c:v>0.61302007088264865</c:v>
                </c:pt>
                <c:pt idx="681">
                  <c:v>0.6164838068566314</c:v>
                </c:pt>
                <c:pt idx="682">
                  <c:v>0.62411966446255418</c:v>
                </c:pt>
                <c:pt idx="683">
                  <c:v>0.6316658782828739</c:v>
                </c:pt>
                <c:pt idx="684">
                  <c:v>0.6333264479749664</c:v>
                </c:pt>
                <c:pt idx="685">
                  <c:v>0.66663206471891179</c:v>
                </c:pt>
                <c:pt idx="686">
                  <c:v>0.70038564428518202</c:v>
                </c:pt>
                <c:pt idx="687">
                  <c:v>0.71437912567636153</c:v>
                </c:pt>
                <c:pt idx="688">
                  <c:v>0.72788374514860266</c:v>
                </c:pt>
                <c:pt idx="689">
                  <c:v>0.73136831298044847</c:v>
                </c:pt>
                <c:pt idx="690">
                  <c:v>0.73433961849142648</c:v>
                </c:pt>
                <c:pt idx="691">
                  <c:v>0.73720323582899316</c:v>
                </c:pt>
                <c:pt idx="692">
                  <c:v>0.74754009103288943</c:v>
                </c:pt>
                <c:pt idx="693">
                  <c:v>0.75721416468323699</c:v>
                </c:pt>
                <c:pt idx="694">
                  <c:v>0.75935715621695454</c:v>
                </c:pt>
                <c:pt idx="695">
                  <c:v>0.7705535247661498</c:v>
                </c:pt>
                <c:pt idx="696">
                  <c:v>0.78129080505057347</c:v>
                </c:pt>
                <c:pt idx="697">
                  <c:v>0.78570536665367952</c:v>
                </c:pt>
                <c:pt idx="698">
                  <c:v>0.79124248425851595</c:v>
                </c:pt>
                <c:pt idx="699">
                  <c:v>0.79590049810525643</c:v>
                </c:pt>
                <c:pt idx="700">
                  <c:v>0.80097827386970066</c:v>
                </c:pt>
                <c:pt idx="701">
                  <c:v>0.80349040123619064</c:v>
                </c:pt>
                <c:pt idx="702">
                  <c:v>0.81170550704971944</c:v>
                </c:pt>
                <c:pt idx="703">
                  <c:v>0.82054780341533484</c:v>
                </c:pt>
                <c:pt idx="704">
                  <c:v>0.82585237705274639</c:v>
                </c:pt>
                <c:pt idx="705">
                  <c:v>0.83259945736839025</c:v>
                </c:pt>
                <c:pt idx="706">
                  <c:v>0.83650829522644732</c:v>
                </c:pt>
                <c:pt idx="707">
                  <c:v>0.8401394902676651</c:v>
                </c:pt>
                <c:pt idx="708">
                  <c:v>0.84590139688218235</c:v>
                </c:pt>
                <c:pt idx="709">
                  <c:v>0.85067338434854545</c:v>
                </c:pt>
                <c:pt idx="710">
                  <c:v>0.85478621506682151</c:v>
                </c:pt>
                <c:pt idx="711">
                  <c:v>0.85971511835807934</c:v>
                </c:pt>
                <c:pt idx="712">
                  <c:v>0.86459948890402005</c:v>
                </c:pt>
                <c:pt idx="713">
                  <c:v>0.87403175373930364</c:v>
                </c:pt>
                <c:pt idx="714">
                  <c:v>0.88546230285147765</c:v>
                </c:pt>
                <c:pt idx="715">
                  <c:v>0.89118406638065784</c:v>
                </c:pt>
                <c:pt idx="716">
                  <c:v>0.89751385241710169</c:v>
                </c:pt>
                <c:pt idx="717">
                  <c:v>0.90385301285155528</c:v>
                </c:pt>
                <c:pt idx="718">
                  <c:v>0.91048136366893861</c:v>
                </c:pt>
                <c:pt idx="719">
                  <c:v>0.91813166721674611</c:v>
                </c:pt>
                <c:pt idx="720">
                  <c:v>0.92337415008395252</c:v>
                </c:pt>
                <c:pt idx="721">
                  <c:v>0.93035778558471227</c:v>
                </c:pt>
                <c:pt idx="722">
                  <c:v>0.93035778558471227</c:v>
                </c:pt>
                <c:pt idx="723">
                  <c:v>0.94211302358610327</c:v>
                </c:pt>
                <c:pt idx="724">
                  <c:v>0.94415831615136236</c:v>
                </c:pt>
                <c:pt idx="725">
                  <c:v>0.94415831615136236</c:v>
                </c:pt>
                <c:pt idx="726">
                  <c:v>0.94993551235916374</c:v>
                </c:pt>
                <c:pt idx="727">
                  <c:v>0.96566464031801313</c:v>
                </c:pt>
                <c:pt idx="728">
                  <c:v>0.96630363110868989</c:v>
                </c:pt>
                <c:pt idx="729">
                  <c:v>0.96706008303576274</c:v>
                </c:pt>
                <c:pt idx="730">
                  <c:v>0.96839652153954636</c:v>
                </c:pt>
                <c:pt idx="731">
                  <c:v>0.98070050591493885</c:v>
                </c:pt>
                <c:pt idx="732">
                  <c:v>0.99315398695604196</c:v>
                </c:pt>
                <c:pt idx="733">
                  <c:v>0.99880185947824263</c:v>
                </c:pt>
                <c:pt idx="734">
                  <c:v>1.0045260162162368</c:v>
                </c:pt>
                <c:pt idx="735">
                  <c:v>1.0080417642215582</c:v>
                </c:pt>
                <c:pt idx="736">
                  <c:v>1.0113708435603201</c:v>
                </c:pt>
                <c:pt idx="737">
                  <c:v>1.0174382417947134</c:v>
                </c:pt>
                <c:pt idx="738">
                  <c:v>1.0297111798641683</c:v>
                </c:pt>
                <c:pt idx="739">
                  <c:v>1.0442157084451547</c:v>
                </c:pt>
                <c:pt idx="740">
                  <c:v>1.059565509286061</c:v>
                </c:pt>
                <c:pt idx="741">
                  <c:v>1.0729610829057783</c:v>
                </c:pt>
                <c:pt idx="742">
                  <c:v>1.0859674076432184</c:v>
                </c:pt>
                <c:pt idx="743">
                  <c:v>1.0978944436719051</c:v>
                </c:pt>
                <c:pt idx="744">
                  <c:v>1.1055964487237731</c:v>
                </c:pt>
                <c:pt idx="745">
                  <c:v>1.1098089881933859</c:v>
                </c:pt>
                <c:pt idx="746">
                  <c:v>1.1117181797523072</c:v>
                </c:pt>
                <c:pt idx="747">
                  <c:v>1.1147162053817325</c:v>
                </c:pt>
                <c:pt idx="748">
                  <c:v>1.1170102433542612</c:v>
                </c:pt>
                <c:pt idx="749">
                  <c:v>1.1183488256511032</c:v>
                </c:pt>
                <c:pt idx="750">
                  <c:v>1.1207652840681672</c:v>
                </c:pt>
                <c:pt idx="751">
                  <c:v>1.1246351305275102</c:v>
                </c:pt>
                <c:pt idx="752">
                  <c:v>1.1271497090100286</c:v>
                </c:pt>
                <c:pt idx="753">
                  <c:v>1.1346116795047991</c:v>
                </c:pt>
                <c:pt idx="754">
                  <c:v>1.1447605172625708</c:v>
                </c:pt>
                <c:pt idx="755">
                  <c:v>1.1482526089951162</c:v>
                </c:pt>
                <c:pt idx="756">
                  <c:v>1.1504721681001042</c:v>
                </c:pt>
                <c:pt idx="757">
                  <c:v>1.1532833689602924</c:v>
                </c:pt>
                <c:pt idx="758">
                  <c:v>1.1544786806429139</c:v>
                </c:pt>
                <c:pt idx="759">
                  <c:v>1.1548990716471295</c:v>
                </c:pt>
                <c:pt idx="760">
                  <c:v>1.1571976575912644</c:v>
                </c:pt>
                <c:pt idx="761">
                  <c:v>1.1652880478843723</c:v>
                </c:pt>
                <c:pt idx="762">
                  <c:v>1.1719160224691236</c:v>
                </c:pt>
                <c:pt idx="763">
                  <c:v>1.1751749364757786</c:v>
                </c:pt>
                <c:pt idx="764">
                  <c:v>1.1781309228475978</c:v>
                </c:pt>
                <c:pt idx="765">
                  <c:v>1.1802431950062022</c:v>
                </c:pt>
                <c:pt idx="766">
                  <c:v>1.1900754551945016</c:v>
                </c:pt>
                <c:pt idx="767">
                  <c:v>1.1982396420675008</c:v>
                </c:pt>
                <c:pt idx="768">
                  <c:v>1.1989962639571723</c:v>
                </c:pt>
                <c:pt idx="769">
                  <c:v>1.2011065922712265</c:v>
                </c:pt>
                <c:pt idx="770">
                  <c:v>1.2030028304314493</c:v>
                </c:pt>
                <c:pt idx="771">
                  <c:v>1.2011065922712265</c:v>
                </c:pt>
                <c:pt idx="772">
                  <c:v>1.2013414027326514</c:v>
                </c:pt>
                <c:pt idx="773">
                  <c:v>1.2045601826343615</c:v>
                </c:pt>
                <c:pt idx="774">
                  <c:v>1.2045601826343615</c:v>
                </c:pt>
                <c:pt idx="775">
                  <c:v>1.2045601826343615</c:v>
                </c:pt>
                <c:pt idx="776">
                  <c:v>1.2074189513834386</c:v>
                </c:pt>
                <c:pt idx="777">
                  <c:v>1.2103997167543659</c:v>
                </c:pt>
                <c:pt idx="778">
                  <c:v>1.2159801420087342</c:v>
                </c:pt>
                <c:pt idx="779">
                  <c:v>1.2207039093438716</c:v>
                </c:pt>
                <c:pt idx="780">
                  <c:v>1.2237552050426834</c:v>
                </c:pt>
                <c:pt idx="781">
                  <c:v>1.2299814840217356</c:v>
                </c:pt>
                <c:pt idx="782">
                  <c:v>1.2340222503784108</c:v>
                </c:pt>
                <c:pt idx="783">
                  <c:v>1.2376559197722241</c:v>
                </c:pt>
                <c:pt idx="784">
                  <c:v>1.2427699583906464</c:v>
                </c:pt>
                <c:pt idx="785">
                  <c:v>1.2452267027648545</c:v>
                </c:pt>
                <c:pt idx="786">
                  <c:v>1.2495555307235515</c:v>
                </c:pt>
                <c:pt idx="787">
                  <c:v>1.2544849600326182</c:v>
                </c:pt>
                <c:pt idx="788">
                  <c:v>1.2568769287697661</c:v>
                </c:pt>
                <c:pt idx="789">
                  <c:v>1.2594256244914668</c:v>
                </c:pt>
                <c:pt idx="790">
                  <c:v>1.2676204002575693</c:v>
                </c:pt>
                <c:pt idx="791">
                  <c:v>1.2750688687989498</c:v>
                </c:pt>
                <c:pt idx="792">
                  <c:v>1.2794924850202229</c:v>
                </c:pt>
                <c:pt idx="793">
                  <c:v>1.2881478490924709</c:v>
                </c:pt>
                <c:pt idx="794">
                  <c:v>1.2976952427386972</c:v>
                </c:pt>
                <c:pt idx="795">
                  <c:v>1.3040118627657615</c:v>
                </c:pt>
                <c:pt idx="796">
                  <c:v>1.3172132509800212</c:v>
                </c:pt>
                <c:pt idx="797">
                  <c:v>1.3177927110339789</c:v>
                </c:pt>
                <c:pt idx="798">
                  <c:v>1.3227426521476864</c:v>
                </c:pt>
                <c:pt idx="799">
                  <c:v>1.3235028083799123</c:v>
                </c:pt>
                <c:pt idx="800">
                  <c:v>1.3301124203527821</c:v>
                </c:pt>
                <c:pt idx="801">
                  <c:v>1.3319292353138417</c:v>
                </c:pt>
                <c:pt idx="802">
                  <c:v>1.3319292353138417</c:v>
                </c:pt>
                <c:pt idx="803">
                  <c:v>1.3319292353138417</c:v>
                </c:pt>
                <c:pt idx="804">
                  <c:v>1.3319292353138417</c:v>
                </c:pt>
                <c:pt idx="805">
                  <c:v>1.3319292353138417</c:v>
                </c:pt>
                <c:pt idx="806">
                  <c:v>1.3319292353138417</c:v>
                </c:pt>
                <c:pt idx="807">
                  <c:v>1.3319292353138417</c:v>
                </c:pt>
                <c:pt idx="808">
                  <c:v>1.3319292353138417</c:v>
                </c:pt>
                <c:pt idx="809">
                  <c:v>1.3319292353138417</c:v>
                </c:pt>
                <c:pt idx="810">
                  <c:v>1.3341260837906792</c:v>
                </c:pt>
                <c:pt idx="811">
                  <c:v>1.3383735435598105</c:v>
                </c:pt>
                <c:pt idx="812">
                  <c:v>1.3435944809098634</c:v>
                </c:pt>
                <c:pt idx="813">
                  <c:v>1.3435944809098634</c:v>
                </c:pt>
                <c:pt idx="814">
                  <c:v>1.3499793518551544</c:v>
                </c:pt>
                <c:pt idx="815">
                  <c:v>1.3502101856495825</c:v>
                </c:pt>
                <c:pt idx="816">
                  <c:v>1.3502101856495825</c:v>
                </c:pt>
                <c:pt idx="817">
                  <c:v>1.3525585234525983</c:v>
                </c:pt>
                <c:pt idx="818">
                  <c:v>1.3584866739089274</c:v>
                </c:pt>
                <c:pt idx="819">
                  <c:v>1.3584866739089274</c:v>
                </c:pt>
                <c:pt idx="820">
                  <c:v>1.3584866739089274</c:v>
                </c:pt>
                <c:pt idx="821">
                  <c:v>1.3584866739089274</c:v>
                </c:pt>
                <c:pt idx="822">
                  <c:v>1.3584866739089274</c:v>
                </c:pt>
                <c:pt idx="823">
                  <c:v>1.3584866739089274</c:v>
                </c:pt>
                <c:pt idx="824">
                  <c:v>1.3584866739089274</c:v>
                </c:pt>
                <c:pt idx="825">
                  <c:v>1.3584866739089274</c:v>
                </c:pt>
                <c:pt idx="826">
                  <c:v>1.3584866739089274</c:v>
                </c:pt>
                <c:pt idx="827">
                  <c:v>1.3525585234525983</c:v>
                </c:pt>
                <c:pt idx="828">
                  <c:v>1.3487045788273635</c:v>
                </c:pt>
                <c:pt idx="829">
                  <c:v>1.3435944809098634</c:v>
                </c:pt>
                <c:pt idx="830">
                  <c:v>1.3365852610262476</c:v>
                </c:pt>
                <c:pt idx="831">
                  <c:v>1.3319292353138417</c:v>
                </c:pt>
                <c:pt idx="832">
                  <c:v>1.3249110573976974</c:v>
                </c:pt>
                <c:pt idx="833">
                  <c:v>1.3175412891926017</c:v>
                </c:pt>
                <c:pt idx="834">
                  <c:v>1.3146071266092896</c:v>
                </c:pt>
                <c:pt idx="835">
                  <c:v>1.3096571854955821</c:v>
                </c:pt>
                <c:pt idx="836">
                  <c:v>1.3063017906790031</c:v>
                </c:pt>
                <c:pt idx="837">
                  <c:v>1.3049778906509837</c:v>
                </c:pt>
                <c:pt idx="838">
                  <c:v>1.3028182528313845</c:v>
                </c:pt>
                <c:pt idx="839">
                  <c:v>1.29446336889198</c:v>
                </c:pt>
                <c:pt idx="840">
                  <c:v>1.2873952052409374</c:v>
                </c:pt>
                <c:pt idx="841">
                  <c:v>1.2857178065912542</c:v>
                </c:pt>
                <c:pt idx="842">
                  <c:v>1.2834963875989511</c:v>
                </c:pt>
                <c:pt idx="843">
                  <c:v>1.2818138144454891</c:v>
                </c:pt>
                <c:pt idx="844">
                  <c:v>1.276052402288157</c:v>
                </c:pt>
                <c:pt idx="845">
                  <c:v>1.2689875543130853</c:v>
                </c:pt>
                <c:pt idx="846">
                  <c:v>1.2644531344750325</c:v>
                </c:pt>
                <c:pt idx="847">
                  <c:v>1.2603622673194201</c:v>
                </c:pt>
                <c:pt idx="848">
                  <c:v>1.2576182533642255</c:v>
                </c:pt>
                <c:pt idx="849">
                  <c:v>1.2549294988217539</c:v>
                </c:pt>
                <c:pt idx="850">
                  <c:v>1.2463064865888192</c:v>
                </c:pt>
                <c:pt idx="851">
                  <c:v>1.2389155779695056</c:v>
                </c:pt>
                <c:pt idx="852">
                  <c:v>1.2389155779695056</c:v>
                </c:pt>
                <c:pt idx="853">
                  <c:v>1.2389155779695056</c:v>
                </c:pt>
                <c:pt idx="854">
                  <c:v>1.2389155779695056</c:v>
                </c:pt>
                <c:pt idx="855">
                  <c:v>1.2389155779695056</c:v>
                </c:pt>
                <c:pt idx="856">
                  <c:v>1.2389155779695056</c:v>
                </c:pt>
                <c:pt idx="857">
                  <c:v>1.2389155779695056</c:v>
                </c:pt>
                <c:pt idx="858">
                  <c:v>1.2389155779695056</c:v>
                </c:pt>
                <c:pt idx="859">
                  <c:v>1.237514684102814</c:v>
                </c:pt>
                <c:pt idx="860">
                  <c:v>1.2364061041348142</c:v>
                </c:pt>
                <c:pt idx="861">
                  <c:v>1.2330479301235182</c:v>
                </c:pt>
                <c:pt idx="862">
                  <c:v>1.227776109902236</c:v>
                </c:pt>
                <c:pt idx="863">
                  <c:v>1.2204230703244452</c:v>
                </c:pt>
                <c:pt idx="864">
                  <c:v>1.2204230703244452</c:v>
                </c:pt>
                <c:pt idx="865">
                  <c:v>1.2204230703244452</c:v>
                </c:pt>
                <c:pt idx="866">
                  <c:v>1.2135349236863113</c:v>
                </c:pt>
                <c:pt idx="867">
                  <c:v>1.2090583383545339</c:v>
                </c:pt>
                <c:pt idx="868">
                  <c:v>1.2090583383545339</c:v>
                </c:pt>
                <c:pt idx="869">
                  <c:v>1.2090583383545339</c:v>
                </c:pt>
                <c:pt idx="870">
                  <c:v>1.2050553510968616</c:v>
                </c:pt>
                <c:pt idx="871">
                  <c:v>1.2050553510968616</c:v>
                </c:pt>
                <c:pt idx="872">
                  <c:v>1.2077929016943805</c:v>
                </c:pt>
                <c:pt idx="873">
                  <c:v>1.2077929016943805</c:v>
                </c:pt>
                <c:pt idx="874">
                  <c:v>1.2077929016943805</c:v>
                </c:pt>
                <c:pt idx="875">
                  <c:v>1.2135349236863113</c:v>
                </c:pt>
                <c:pt idx="876">
                  <c:v>1.2204230703244452</c:v>
                </c:pt>
                <c:pt idx="877">
                  <c:v>1.2267522816466867</c:v>
                </c:pt>
                <c:pt idx="878">
                  <c:v>1.2267522816466867</c:v>
                </c:pt>
                <c:pt idx="879">
                  <c:v>1.2267522816466867</c:v>
                </c:pt>
                <c:pt idx="880">
                  <c:v>1.2267522816466867</c:v>
                </c:pt>
                <c:pt idx="881">
                  <c:v>1.2267522816466867</c:v>
                </c:pt>
                <c:pt idx="882">
                  <c:v>1.2267522816466867</c:v>
                </c:pt>
                <c:pt idx="883">
                  <c:v>1.2320241018679687</c:v>
                </c:pt>
                <c:pt idx="884">
                  <c:v>1.2320241018679687</c:v>
                </c:pt>
                <c:pt idx="885">
                  <c:v>1.2267522816466867</c:v>
                </c:pt>
                <c:pt idx="886">
                  <c:v>1.2267522816466867</c:v>
                </c:pt>
                <c:pt idx="887">
                  <c:v>1.2267522816466867</c:v>
                </c:pt>
                <c:pt idx="888">
                  <c:v>1.2254299326560383</c:v>
                </c:pt>
                <c:pt idx="889">
                  <c:v>1.2133586993418661</c:v>
                </c:pt>
                <c:pt idx="890">
                  <c:v>1.2133586993418661</c:v>
                </c:pt>
                <c:pt idx="891">
                  <c:v>1.2133586993418661</c:v>
                </c:pt>
                <c:pt idx="892">
                  <c:v>1.2133586993418661</c:v>
                </c:pt>
                <c:pt idx="893">
                  <c:v>1.2133586993418661</c:v>
                </c:pt>
                <c:pt idx="894">
                  <c:v>1.2133586993418661</c:v>
                </c:pt>
                <c:pt idx="895">
                  <c:v>1.2133586993418661</c:v>
                </c:pt>
                <c:pt idx="896">
                  <c:v>1.2133586993418661</c:v>
                </c:pt>
                <c:pt idx="897">
                  <c:v>1.2133586993418661</c:v>
                </c:pt>
                <c:pt idx="898">
                  <c:v>1.2133586993418661</c:v>
                </c:pt>
                <c:pt idx="899">
                  <c:v>1.2133586993418661</c:v>
                </c:pt>
                <c:pt idx="900">
                  <c:v>1.2133586993418661</c:v>
                </c:pt>
                <c:pt idx="901">
                  <c:v>1.2133586993418661</c:v>
                </c:pt>
                <c:pt idx="902">
                  <c:v>1.2133586993418661</c:v>
                </c:pt>
                <c:pt idx="903">
                  <c:v>1.2133586993418661</c:v>
                </c:pt>
                <c:pt idx="904">
                  <c:v>1.2037296727192537</c:v>
                </c:pt>
                <c:pt idx="905">
                  <c:v>1.1966507290803419</c:v>
                </c:pt>
                <c:pt idx="906">
                  <c:v>1.1870336019082504</c:v>
                </c:pt>
                <c:pt idx="907">
                  <c:v>1.1822983671123088</c:v>
                </c:pt>
                <c:pt idx="908">
                  <c:v>1.1748275568275659</c:v>
                </c:pt>
                <c:pt idx="909">
                  <c:v>1.1689001365253591</c:v>
                </c:pt>
                <c:pt idx="910">
                  <c:v>1.1625390128363233</c:v>
                </c:pt>
                <c:pt idx="911">
                  <c:v>1.1566404948081899</c:v>
                </c:pt>
                <c:pt idx="912">
                  <c:v>1.153402168884772</c:v>
                </c:pt>
                <c:pt idx="913">
                  <c:v>1.153402168884772</c:v>
                </c:pt>
                <c:pt idx="914">
                  <c:v>1.1315842448980129</c:v>
                </c:pt>
                <c:pt idx="915">
                  <c:v>1.0851584320239931</c:v>
                </c:pt>
                <c:pt idx="916">
                  <c:v>1.0559198877973444</c:v>
                </c:pt>
                <c:pt idx="917">
                  <c:v>1.0489190740706482</c:v>
                </c:pt>
                <c:pt idx="918">
                  <c:v>1.0428788670914917</c:v>
                </c:pt>
                <c:pt idx="919">
                  <c:v>1.0345947640840472</c:v>
                </c:pt>
                <c:pt idx="920">
                  <c:v>1.0135395614965717</c:v>
                </c:pt>
                <c:pt idx="921">
                  <c:v>0.99701714714940004</c:v>
                </c:pt>
                <c:pt idx="922">
                  <c:v>0.96872921455756611</c:v>
                </c:pt>
                <c:pt idx="923">
                  <c:v>0.93466633017144662</c:v>
                </c:pt>
                <c:pt idx="924">
                  <c:v>0.92012132435327521</c:v>
                </c:pt>
                <c:pt idx="925">
                  <c:v>0.91249219416275695</c:v>
                </c:pt>
                <c:pt idx="926">
                  <c:v>0.89581158208204381</c:v>
                </c:pt>
                <c:pt idx="927">
                  <c:v>0.88072545172740768</c:v>
                </c:pt>
                <c:pt idx="928">
                  <c:v>0.8696715585276924</c:v>
                </c:pt>
                <c:pt idx="929">
                  <c:v>0.85202863775378845</c:v>
                </c:pt>
                <c:pt idx="930">
                  <c:v>0.84115993660685429</c:v>
                </c:pt>
                <c:pt idx="931">
                  <c:v>0.83292952582179702</c:v>
                </c:pt>
                <c:pt idx="932">
                  <c:v>0.82399056380231239</c:v>
                </c:pt>
                <c:pt idx="933">
                  <c:v>0.81954047955399556</c:v>
                </c:pt>
                <c:pt idx="934">
                  <c:v>0.81690313638493006</c:v>
                </c:pt>
                <c:pt idx="935">
                  <c:v>0.81420586532173089</c:v>
                </c:pt>
                <c:pt idx="936">
                  <c:v>0.81131259042283732</c:v>
                </c:pt>
                <c:pt idx="937">
                  <c:v>0.8055631467090516</c:v>
                </c:pt>
                <c:pt idx="938">
                  <c:v>0.80140697531585381</c:v>
                </c:pt>
                <c:pt idx="939">
                  <c:v>0.80004050508886282</c:v>
                </c:pt>
                <c:pt idx="940">
                  <c:v>0.792081854665454</c:v>
                </c:pt>
                <c:pt idx="941">
                  <c:v>0.78069722087441007</c:v>
                </c:pt>
                <c:pt idx="942">
                  <c:v>0.7627205948277157</c:v>
                </c:pt>
                <c:pt idx="943">
                  <c:v>0.74145990477772017</c:v>
                </c:pt>
                <c:pt idx="944">
                  <c:v>0.72560781840499256</c:v>
                </c:pt>
                <c:pt idx="945">
                  <c:v>0.71642506899398672</c:v>
                </c:pt>
                <c:pt idx="946">
                  <c:v>0.71356410193366693</c:v>
                </c:pt>
                <c:pt idx="947">
                  <c:v>0.68543050364132063</c:v>
                </c:pt>
                <c:pt idx="948">
                  <c:v>0.65595790425959288</c:v>
                </c:pt>
                <c:pt idx="949">
                  <c:v>0.64828132560448282</c:v>
                </c:pt>
                <c:pt idx="950">
                  <c:v>0.6370565759557707</c:v>
                </c:pt>
                <c:pt idx="951">
                  <c:v>0.62958926642625901</c:v>
                </c:pt>
                <c:pt idx="952">
                  <c:v>0.62694261688657926</c:v>
                </c:pt>
                <c:pt idx="953">
                  <c:v>0.61747303413207666</c:v>
                </c:pt>
                <c:pt idx="954">
                  <c:v>0.60271588397562081</c:v>
                </c:pt>
                <c:pt idx="955">
                  <c:v>0.59166530799760331</c:v>
                </c:pt>
                <c:pt idx="956">
                  <c:v>0.58225398679056695</c:v>
                </c:pt>
                <c:pt idx="957">
                  <c:v>0.57560790150232255</c:v>
                </c:pt>
                <c:pt idx="958">
                  <c:v>0.57098187916938592</c:v>
                </c:pt>
                <c:pt idx="959">
                  <c:v>0.5647089460070841</c:v>
                </c:pt>
                <c:pt idx="960">
                  <c:v>0.56018473192087226</c:v>
                </c:pt>
                <c:pt idx="961">
                  <c:v>0.5528884501385497</c:v>
                </c:pt>
                <c:pt idx="962">
                  <c:v>0.54349442252572255</c:v>
                </c:pt>
                <c:pt idx="963">
                  <c:v>0.5253343614375181</c:v>
                </c:pt>
                <c:pt idx="964">
                  <c:v>0.51055553086462235</c:v>
                </c:pt>
                <c:pt idx="965">
                  <c:v>0.50168070475654969</c:v>
                </c:pt>
                <c:pt idx="966">
                  <c:v>0.49335471946434423</c:v>
                </c:pt>
                <c:pt idx="967">
                  <c:v>0.49118447291063383</c:v>
                </c:pt>
                <c:pt idx="968">
                  <c:v>0.48837663014317206</c:v>
                </c:pt>
                <c:pt idx="969">
                  <c:v>0.48667787681648289</c:v>
                </c:pt>
                <c:pt idx="970">
                  <c:v>0.48600019380520204</c:v>
                </c:pt>
                <c:pt idx="971">
                  <c:v>0.48389563637610666</c:v>
                </c:pt>
                <c:pt idx="972">
                  <c:v>0.48200898809016363</c:v>
                </c:pt>
                <c:pt idx="973">
                  <c:v>0.48171601064902414</c:v>
                </c:pt>
                <c:pt idx="974">
                  <c:v>0.48057445711771041</c:v>
                </c:pt>
                <c:pt idx="975">
                  <c:v>0.47887419944760384</c:v>
                </c:pt>
                <c:pt idx="976">
                  <c:v>0.47887419944760384</c:v>
                </c:pt>
                <c:pt idx="977">
                  <c:v>0.47887419944760384</c:v>
                </c:pt>
                <c:pt idx="978">
                  <c:v>0.47887419944760384</c:v>
                </c:pt>
                <c:pt idx="979">
                  <c:v>0.47887419944760384</c:v>
                </c:pt>
                <c:pt idx="980">
                  <c:v>0.47887419944760384</c:v>
                </c:pt>
                <c:pt idx="981">
                  <c:v>0.47887419944760384</c:v>
                </c:pt>
                <c:pt idx="982">
                  <c:v>0.47745164868884893</c:v>
                </c:pt>
                <c:pt idx="983">
                  <c:v>0.47660357281383131</c:v>
                </c:pt>
                <c:pt idx="984">
                  <c:v>0.4738819575264599</c:v>
                </c:pt>
                <c:pt idx="985">
                  <c:v>0.47130886447455067</c:v>
                </c:pt>
                <c:pt idx="986">
                  <c:v>0.47081401999864914</c:v>
                </c:pt>
                <c:pt idx="987">
                  <c:v>0.46979406638102406</c:v>
                </c:pt>
                <c:pt idx="988">
                  <c:v>0.46886301562145605</c:v>
                </c:pt>
                <c:pt idx="989">
                  <c:v>0.46720016851456825</c:v>
                </c:pt>
                <c:pt idx="990">
                  <c:v>0.46543041203308133</c:v>
                </c:pt>
                <c:pt idx="991">
                  <c:v>0.46490202620624221</c:v>
                </c:pt>
                <c:pt idx="992">
                  <c:v>0.46490202620624221</c:v>
                </c:pt>
                <c:pt idx="993">
                  <c:v>0.46490202620624221</c:v>
                </c:pt>
                <c:pt idx="994">
                  <c:v>0.46490202620624221</c:v>
                </c:pt>
                <c:pt idx="995">
                  <c:v>0.46490202620624221</c:v>
                </c:pt>
                <c:pt idx="996">
                  <c:v>0.4637990686407587</c:v>
                </c:pt>
                <c:pt idx="997">
                  <c:v>0.46250538119470419</c:v>
                </c:pt>
                <c:pt idx="998">
                  <c:v>0.46090351831079079</c:v>
                </c:pt>
                <c:pt idx="999">
                  <c:v>0.45676102902602167</c:v>
                </c:pt>
                <c:pt idx="1000">
                  <c:v>0.45139758706542543</c:v>
                </c:pt>
                <c:pt idx="1001">
                  <c:v>0.44801087007793061</c:v>
                </c:pt>
                <c:pt idx="1002">
                  <c:v>0.44527902970363259</c:v>
                </c:pt>
                <c:pt idx="1003">
                  <c:v>0.44313314669387449</c:v>
                </c:pt>
                <c:pt idx="1004">
                  <c:v>0.44261182309873981</c:v>
                </c:pt>
                <c:pt idx="1005">
                  <c:v>0.44198651030865266</c:v>
                </c:pt>
                <c:pt idx="1006">
                  <c:v>0.44102869233665115</c:v>
                </c:pt>
                <c:pt idx="1007">
                  <c:v>0.44009656036078215</c:v>
                </c:pt>
                <c:pt idx="1008">
                  <c:v>0.43899934681208841</c:v>
                </c:pt>
                <c:pt idx="1009">
                  <c:v>0.43788914126128514</c:v>
                </c:pt>
                <c:pt idx="1010">
                  <c:v>0.43788914126128514</c:v>
                </c:pt>
                <c:pt idx="1011">
                  <c:v>0.43757467209644685</c:v>
                </c:pt>
                <c:pt idx="1012">
                  <c:v>0.43540272808084984</c:v>
                </c:pt>
                <c:pt idx="1013">
                  <c:v>0.43274137612936109</c:v>
                </c:pt>
                <c:pt idx="1014">
                  <c:v>0.42992669190220267</c:v>
                </c:pt>
                <c:pt idx="1015">
                  <c:v>0.42705279813701991</c:v>
                </c:pt>
                <c:pt idx="1016">
                  <c:v>0.42567759491106116</c:v>
                </c:pt>
                <c:pt idx="1017">
                  <c:v>0.42444848521122824</c:v>
                </c:pt>
                <c:pt idx="1018">
                  <c:v>0.42242552017374935</c:v>
                </c:pt>
                <c:pt idx="1019">
                  <c:v>0.42121165776871072</c:v>
                </c:pt>
                <c:pt idx="1020">
                  <c:v>0.42028624593972241</c:v>
                </c:pt>
                <c:pt idx="1021">
                  <c:v>0.41961905961870133</c:v>
                </c:pt>
                <c:pt idx="1022">
                  <c:v>0.41868895800060357</c:v>
                </c:pt>
                <c:pt idx="1023">
                  <c:v>0.41718324546579344</c:v>
                </c:pt>
                <c:pt idx="1024">
                  <c:v>0.4142476529172392</c:v>
                </c:pt>
                <c:pt idx="1025">
                  <c:v>0.41053180094720071</c:v>
                </c:pt>
                <c:pt idx="1026">
                  <c:v>0.40692047141977683</c:v>
                </c:pt>
                <c:pt idx="1027">
                  <c:v>0.40447568936305789</c:v>
                </c:pt>
                <c:pt idx="1028">
                  <c:v>0.40404650180521451</c:v>
                </c:pt>
                <c:pt idx="1029">
                  <c:v>0.40344289601785749</c:v>
                </c:pt>
                <c:pt idx="1030">
                  <c:v>0.40237884851504924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AC22-41F4-A914-B9BE69AE6336}"/>
            </c:ext>
          </c:extLst>
        </c:ser>
        <c:ser>
          <c:idx val="4"/>
          <c:order val="4"/>
          <c:tx>
            <c:strRef>
              <c:f>Indice!$AM$5</c:f>
              <c:strCache>
                <c:ptCount val="1"/>
                <c:pt idx="0">
                  <c:v>Q75</c:v>
                </c:pt>
              </c:strCache>
            </c:strRef>
          </c:tx>
          <c:spPr>
            <a:ln w="28575" cap="rnd">
              <a:solidFill>
                <a:srgbClr val="FF0000"/>
              </a:solidFill>
              <a:prstDash val="sysDot"/>
              <a:round/>
            </a:ln>
            <a:effectLst/>
          </c:spPr>
          <c:marker>
            <c:symbol val="none"/>
          </c:marker>
          <c:cat>
            <c:numRef>
              <c:f>Indice!$AH$58:$AH$1500</c:f>
              <c:numCache>
                <c:formatCode>m/d/yyyy</c:formatCode>
                <c:ptCount val="1443"/>
                <c:pt idx="0">
                  <c:v>39087</c:v>
                </c:pt>
                <c:pt idx="1">
                  <c:v>39094</c:v>
                </c:pt>
                <c:pt idx="2">
                  <c:v>39101</c:v>
                </c:pt>
                <c:pt idx="3">
                  <c:v>39108</c:v>
                </c:pt>
                <c:pt idx="4">
                  <c:v>39115</c:v>
                </c:pt>
                <c:pt idx="5">
                  <c:v>39122</c:v>
                </c:pt>
                <c:pt idx="6">
                  <c:v>39129</c:v>
                </c:pt>
                <c:pt idx="7">
                  <c:v>39136</c:v>
                </c:pt>
                <c:pt idx="8">
                  <c:v>39143</c:v>
                </c:pt>
                <c:pt idx="9">
                  <c:v>39150</c:v>
                </c:pt>
                <c:pt idx="10">
                  <c:v>39157</c:v>
                </c:pt>
                <c:pt idx="11">
                  <c:v>39164</c:v>
                </c:pt>
                <c:pt idx="12">
                  <c:v>39171</c:v>
                </c:pt>
                <c:pt idx="13">
                  <c:v>39178</c:v>
                </c:pt>
                <c:pt idx="14">
                  <c:v>39185</c:v>
                </c:pt>
                <c:pt idx="15">
                  <c:v>39192</c:v>
                </c:pt>
                <c:pt idx="16">
                  <c:v>39199</c:v>
                </c:pt>
                <c:pt idx="17">
                  <c:v>39206</c:v>
                </c:pt>
                <c:pt idx="18">
                  <c:v>39213</c:v>
                </c:pt>
                <c:pt idx="19">
                  <c:v>39220</c:v>
                </c:pt>
                <c:pt idx="20">
                  <c:v>39227</c:v>
                </c:pt>
                <c:pt idx="21">
                  <c:v>39234</c:v>
                </c:pt>
                <c:pt idx="22">
                  <c:v>39241</c:v>
                </c:pt>
                <c:pt idx="23">
                  <c:v>39248</c:v>
                </c:pt>
                <c:pt idx="24">
                  <c:v>39255</c:v>
                </c:pt>
                <c:pt idx="25">
                  <c:v>39262</c:v>
                </c:pt>
                <c:pt idx="26">
                  <c:v>39269</c:v>
                </c:pt>
                <c:pt idx="27">
                  <c:v>39276</c:v>
                </c:pt>
                <c:pt idx="28">
                  <c:v>39283</c:v>
                </c:pt>
                <c:pt idx="29">
                  <c:v>39290</c:v>
                </c:pt>
                <c:pt idx="30">
                  <c:v>39297</c:v>
                </c:pt>
                <c:pt idx="31">
                  <c:v>39304</c:v>
                </c:pt>
                <c:pt idx="32">
                  <c:v>39311</c:v>
                </c:pt>
                <c:pt idx="33">
                  <c:v>39318</c:v>
                </c:pt>
                <c:pt idx="34">
                  <c:v>39325</c:v>
                </c:pt>
                <c:pt idx="35">
                  <c:v>39332</c:v>
                </c:pt>
                <c:pt idx="36">
                  <c:v>39339</c:v>
                </c:pt>
                <c:pt idx="37">
                  <c:v>39346</c:v>
                </c:pt>
                <c:pt idx="38">
                  <c:v>39353</c:v>
                </c:pt>
                <c:pt idx="39">
                  <c:v>39360</c:v>
                </c:pt>
                <c:pt idx="40">
                  <c:v>39367</c:v>
                </c:pt>
                <c:pt idx="41">
                  <c:v>39374</c:v>
                </c:pt>
                <c:pt idx="42">
                  <c:v>39381</c:v>
                </c:pt>
                <c:pt idx="43">
                  <c:v>39388</c:v>
                </c:pt>
                <c:pt idx="44">
                  <c:v>39395</c:v>
                </c:pt>
                <c:pt idx="45">
                  <c:v>39402</c:v>
                </c:pt>
                <c:pt idx="46">
                  <c:v>39409</c:v>
                </c:pt>
                <c:pt idx="47">
                  <c:v>39416</c:v>
                </c:pt>
                <c:pt idx="48">
                  <c:v>39423</c:v>
                </c:pt>
                <c:pt idx="49">
                  <c:v>39430</c:v>
                </c:pt>
                <c:pt idx="50">
                  <c:v>39437</c:v>
                </c:pt>
                <c:pt idx="51">
                  <c:v>39444</c:v>
                </c:pt>
                <c:pt idx="52">
                  <c:v>39451</c:v>
                </c:pt>
                <c:pt idx="53">
                  <c:v>39458</c:v>
                </c:pt>
                <c:pt idx="54">
                  <c:v>39465</c:v>
                </c:pt>
                <c:pt idx="55">
                  <c:v>39472</c:v>
                </c:pt>
                <c:pt idx="56">
                  <c:v>39479</c:v>
                </c:pt>
                <c:pt idx="57">
                  <c:v>39486</c:v>
                </c:pt>
                <c:pt idx="58">
                  <c:v>39493</c:v>
                </c:pt>
                <c:pt idx="59">
                  <c:v>39500</c:v>
                </c:pt>
                <c:pt idx="60">
                  <c:v>39507</c:v>
                </c:pt>
                <c:pt idx="61">
                  <c:v>39514</c:v>
                </c:pt>
                <c:pt idx="62">
                  <c:v>39521</c:v>
                </c:pt>
                <c:pt idx="63">
                  <c:v>39528</c:v>
                </c:pt>
                <c:pt idx="64">
                  <c:v>39535</c:v>
                </c:pt>
                <c:pt idx="65">
                  <c:v>39542</c:v>
                </c:pt>
                <c:pt idx="66">
                  <c:v>39549</c:v>
                </c:pt>
                <c:pt idx="67">
                  <c:v>39556</c:v>
                </c:pt>
                <c:pt idx="68">
                  <c:v>39563</c:v>
                </c:pt>
                <c:pt idx="69">
                  <c:v>39570</c:v>
                </c:pt>
                <c:pt idx="70">
                  <c:v>39577</c:v>
                </c:pt>
                <c:pt idx="71">
                  <c:v>39584</c:v>
                </c:pt>
                <c:pt idx="72">
                  <c:v>39591</c:v>
                </c:pt>
                <c:pt idx="73">
                  <c:v>39598</c:v>
                </c:pt>
                <c:pt idx="74">
                  <c:v>39605</c:v>
                </c:pt>
                <c:pt idx="75">
                  <c:v>39612</c:v>
                </c:pt>
                <c:pt idx="76">
                  <c:v>39619</c:v>
                </c:pt>
                <c:pt idx="77">
                  <c:v>39626</c:v>
                </c:pt>
                <c:pt idx="78">
                  <c:v>39633</c:v>
                </c:pt>
                <c:pt idx="79">
                  <c:v>39640</c:v>
                </c:pt>
                <c:pt idx="80">
                  <c:v>39647</c:v>
                </c:pt>
                <c:pt idx="81">
                  <c:v>39654</c:v>
                </c:pt>
                <c:pt idx="82">
                  <c:v>39661</c:v>
                </c:pt>
                <c:pt idx="83">
                  <c:v>39668</c:v>
                </c:pt>
                <c:pt idx="84">
                  <c:v>39675</c:v>
                </c:pt>
                <c:pt idx="85">
                  <c:v>39682</c:v>
                </c:pt>
                <c:pt idx="86">
                  <c:v>39689</c:v>
                </c:pt>
                <c:pt idx="87">
                  <c:v>39696</c:v>
                </c:pt>
                <c:pt idx="88">
                  <c:v>39703</c:v>
                </c:pt>
                <c:pt idx="89">
                  <c:v>39710</c:v>
                </c:pt>
                <c:pt idx="90">
                  <c:v>39717</c:v>
                </c:pt>
                <c:pt idx="91">
                  <c:v>39724</c:v>
                </c:pt>
                <c:pt idx="92">
                  <c:v>39731</c:v>
                </c:pt>
                <c:pt idx="93">
                  <c:v>39738</c:v>
                </c:pt>
                <c:pt idx="94">
                  <c:v>39745</c:v>
                </c:pt>
                <c:pt idx="95">
                  <c:v>39752</c:v>
                </c:pt>
                <c:pt idx="96">
                  <c:v>39759</c:v>
                </c:pt>
                <c:pt idx="97">
                  <c:v>39766</c:v>
                </c:pt>
                <c:pt idx="98">
                  <c:v>39773</c:v>
                </c:pt>
                <c:pt idx="99">
                  <c:v>39780</c:v>
                </c:pt>
                <c:pt idx="100">
                  <c:v>39787</c:v>
                </c:pt>
                <c:pt idx="101">
                  <c:v>39794</c:v>
                </c:pt>
                <c:pt idx="102">
                  <c:v>39801</c:v>
                </c:pt>
                <c:pt idx="103">
                  <c:v>39808</c:v>
                </c:pt>
                <c:pt idx="104">
                  <c:v>39815</c:v>
                </c:pt>
                <c:pt idx="105">
                  <c:v>39822</c:v>
                </c:pt>
                <c:pt idx="106">
                  <c:v>39829</c:v>
                </c:pt>
                <c:pt idx="107">
                  <c:v>39836</c:v>
                </c:pt>
                <c:pt idx="108">
                  <c:v>39843</c:v>
                </c:pt>
                <c:pt idx="109">
                  <c:v>39850</c:v>
                </c:pt>
                <c:pt idx="110">
                  <c:v>39857</c:v>
                </c:pt>
                <c:pt idx="111">
                  <c:v>39864</c:v>
                </c:pt>
                <c:pt idx="112">
                  <c:v>39871</c:v>
                </c:pt>
                <c:pt idx="113">
                  <c:v>39878</c:v>
                </c:pt>
                <c:pt idx="114">
                  <c:v>39885</c:v>
                </c:pt>
                <c:pt idx="115">
                  <c:v>39892</c:v>
                </c:pt>
                <c:pt idx="116">
                  <c:v>39899</c:v>
                </c:pt>
                <c:pt idx="117">
                  <c:v>39906</c:v>
                </c:pt>
                <c:pt idx="118">
                  <c:v>39913</c:v>
                </c:pt>
                <c:pt idx="119">
                  <c:v>39920</c:v>
                </c:pt>
                <c:pt idx="120">
                  <c:v>39927</c:v>
                </c:pt>
                <c:pt idx="121">
                  <c:v>39934</c:v>
                </c:pt>
                <c:pt idx="122">
                  <c:v>39941</c:v>
                </c:pt>
                <c:pt idx="123">
                  <c:v>39948</c:v>
                </c:pt>
                <c:pt idx="124">
                  <c:v>39955</c:v>
                </c:pt>
                <c:pt idx="125">
                  <c:v>39962</c:v>
                </c:pt>
                <c:pt idx="126">
                  <c:v>39969</c:v>
                </c:pt>
                <c:pt idx="127">
                  <c:v>39976</c:v>
                </c:pt>
                <c:pt idx="128">
                  <c:v>39983</c:v>
                </c:pt>
                <c:pt idx="129">
                  <c:v>39990</c:v>
                </c:pt>
                <c:pt idx="130">
                  <c:v>39997</c:v>
                </c:pt>
                <c:pt idx="131">
                  <c:v>40004</c:v>
                </c:pt>
                <c:pt idx="132">
                  <c:v>40011</c:v>
                </c:pt>
                <c:pt idx="133">
                  <c:v>40018</c:v>
                </c:pt>
                <c:pt idx="134">
                  <c:v>40025</c:v>
                </c:pt>
                <c:pt idx="135">
                  <c:v>40032</c:v>
                </c:pt>
                <c:pt idx="136">
                  <c:v>40039</c:v>
                </c:pt>
                <c:pt idx="137">
                  <c:v>40046</c:v>
                </c:pt>
                <c:pt idx="138">
                  <c:v>40053</c:v>
                </c:pt>
                <c:pt idx="139">
                  <c:v>40060</c:v>
                </c:pt>
                <c:pt idx="140">
                  <c:v>40067</c:v>
                </c:pt>
                <c:pt idx="141">
                  <c:v>40074</c:v>
                </c:pt>
                <c:pt idx="142">
                  <c:v>40081</c:v>
                </c:pt>
                <c:pt idx="143">
                  <c:v>40088</c:v>
                </c:pt>
                <c:pt idx="144">
                  <c:v>40095</c:v>
                </c:pt>
                <c:pt idx="145">
                  <c:v>40102</c:v>
                </c:pt>
                <c:pt idx="146">
                  <c:v>40109</c:v>
                </c:pt>
                <c:pt idx="147">
                  <c:v>40116</c:v>
                </c:pt>
                <c:pt idx="148">
                  <c:v>40123</c:v>
                </c:pt>
                <c:pt idx="149">
                  <c:v>40130</c:v>
                </c:pt>
                <c:pt idx="150">
                  <c:v>40137</c:v>
                </c:pt>
                <c:pt idx="151">
                  <c:v>40144</c:v>
                </c:pt>
                <c:pt idx="152">
                  <c:v>40151</c:v>
                </c:pt>
                <c:pt idx="153">
                  <c:v>40158</c:v>
                </c:pt>
                <c:pt idx="154">
                  <c:v>40165</c:v>
                </c:pt>
                <c:pt idx="155">
                  <c:v>40172</c:v>
                </c:pt>
                <c:pt idx="156">
                  <c:v>40179</c:v>
                </c:pt>
                <c:pt idx="157">
                  <c:v>40186</c:v>
                </c:pt>
                <c:pt idx="158">
                  <c:v>40193</c:v>
                </c:pt>
                <c:pt idx="159">
                  <c:v>40200</c:v>
                </c:pt>
                <c:pt idx="160">
                  <c:v>40207</c:v>
                </c:pt>
                <c:pt idx="161">
                  <c:v>40214</c:v>
                </c:pt>
                <c:pt idx="162">
                  <c:v>40221</c:v>
                </c:pt>
                <c:pt idx="163">
                  <c:v>40228</c:v>
                </c:pt>
                <c:pt idx="164">
                  <c:v>40235</c:v>
                </c:pt>
                <c:pt idx="165">
                  <c:v>40242</c:v>
                </c:pt>
                <c:pt idx="166">
                  <c:v>40249</c:v>
                </c:pt>
                <c:pt idx="167">
                  <c:v>40256</c:v>
                </c:pt>
                <c:pt idx="168">
                  <c:v>40263</c:v>
                </c:pt>
                <c:pt idx="169">
                  <c:v>40270</c:v>
                </c:pt>
                <c:pt idx="170">
                  <c:v>40277</c:v>
                </c:pt>
                <c:pt idx="171">
                  <c:v>40284</c:v>
                </c:pt>
                <c:pt idx="172">
                  <c:v>40291</c:v>
                </c:pt>
                <c:pt idx="173">
                  <c:v>40298</c:v>
                </c:pt>
                <c:pt idx="174">
                  <c:v>40305</c:v>
                </c:pt>
                <c:pt idx="175">
                  <c:v>40312</c:v>
                </c:pt>
                <c:pt idx="176">
                  <c:v>40319</c:v>
                </c:pt>
                <c:pt idx="177">
                  <c:v>40326</c:v>
                </c:pt>
                <c:pt idx="178">
                  <c:v>40333</c:v>
                </c:pt>
                <c:pt idx="179">
                  <c:v>40340</c:v>
                </c:pt>
                <c:pt idx="180">
                  <c:v>40347</c:v>
                </c:pt>
                <c:pt idx="181">
                  <c:v>40354</c:v>
                </c:pt>
                <c:pt idx="182">
                  <c:v>40361</c:v>
                </c:pt>
                <c:pt idx="183">
                  <c:v>40368</c:v>
                </c:pt>
                <c:pt idx="184">
                  <c:v>40375</c:v>
                </c:pt>
                <c:pt idx="185">
                  <c:v>40382</c:v>
                </c:pt>
                <c:pt idx="186">
                  <c:v>40389</c:v>
                </c:pt>
                <c:pt idx="187">
                  <c:v>40396</c:v>
                </c:pt>
                <c:pt idx="188">
                  <c:v>40403</c:v>
                </c:pt>
                <c:pt idx="189">
                  <c:v>40410</c:v>
                </c:pt>
                <c:pt idx="190">
                  <c:v>40417</c:v>
                </c:pt>
                <c:pt idx="191">
                  <c:v>40424</c:v>
                </c:pt>
                <c:pt idx="192">
                  <c:v>40431</c:v>
                </c:pt>
                <c:pt idx="193">
                  <c:v>40438</c:v>
                </c:pt>
                <c:pt idx="194">
                  <c:v>40445</c:v>
                </c:pt>
                <c:pt idx="195">
                  <c:v>40452</c:v>
                </c:pt>
                <c:pt idx="196">
                  <c:v>40459</c:v>
                </c:pt>
                <c:pt idx="197">
                  <c:v>40466</c:v>
                </c:pt>
                <c:pt idx="198">
                  <c:v>40473</c:v>
                </c:pt>
                <c:pt idx="199">
                  <c:v>40480</c:v>
                </c:pt>
                <c:pt idx="200">
                  <c:v>40487</c:v>
                </c:pt>
                <c:pt idx="201">
                  <c:v>40494</c:v>
                </c:pt>
                <c:pt idx="202">
                  <c:v>40501</c:v>
                </c:pt>
                <c:pt idx="203">
                  <c:v>40508</c:v>
                </c:pt>
                <c:pt idx="204">
                  <c:v>40515</c:v>
                </c:pt>
                <c:pt idx="205">
                  <c:v>40522</c:v>
                </c:pt>
                <c:pt idx="206">
                  <c:v>40529</c:v>
                </c:pt>
                <c:pt idx="207">
                  <c:v>40536</c:v>
                </c:pt>
                <c:pt idx="208">
                  <c:v>40543</c:v>
                </c:pt>
                <c:pt idx="209">
                  <c:v>40550</c:v>
                </c:pt>
                <c:pt idx="210">
                  <c:v>40557</c:v>
                </c:pt>
                <c:pt idx="211">
                  <c:v>40564</c:v>
                </c:pt>
                <c:pt idx="212">
                  <c:v>40571</c:v>
                </c:pt>
                <c:pt idx="213">
                  <c:v>40578</c:v>
                </c:pt>
                <c:pt idx="214">
                  <c:v>40585</c:v>
                </c:pt>
                <c:pt idx="215">
                  <c:v>40592</c:v>
                </c:pt>
                <c:pt idx="216">
                  <c:v>40599</c:v>
                </c:pt>
                <c:pt idx="217">
                  <c:v>40606</c:v>
                </c:pt>
                <c:pt idx="218">
                  <c:v>40613</c:v>
                </c:pt>
                <c:pt idx="219">
                  <c:v>40620</c:v>
                </c:pt>
                <c:pt idx="220">
                  <c:v>40627</c:v>
                </c:pt>
                <c:pt idx="221">
                  <c:v>40634</c:v>
                </c:pt>
                <c:pt idx="222">
                  <c:v>40641</c:v>
                </c:pt>
                <c:pt idx="223">
                  <c:v>40648</c:v>
                </c:pt>
                <c:pt idx="224">
                  <c:v>40655</c:v>
                </c:pt>
                <c:pt idx="225">
                  <c:v>40662</c:v>
                </c:pt>
                <c:pt idx="226">
                  <c:v>40669</c:v>
                </c:pt>
                <c:pt idx="227">
                  <c:v>40676</c:v>
                </c:pt>
                <c:pt idx="228">
                  <c:v>40683</c:v>
                </c:pt>
                <c:pt idx="229">
                  <c:v>40690</c:v>
                </c:pt>
                <c:pt idx="230">
                  <c:v>40697</c:v>
                </c:pt>
                <c:pt idx="231">
                  <c:v>40704</c:v>
                </c:pt>
                <c:pt idx="232">
                  <c:v>40711</c:v>
                </c:pt>
                <c:pt idx="233">
                  <c:v>40718</c:v>
                </c:pt>
                <c:pt idx="234">
                  <c:v>40725</c:v>
                </c:pt>
                <c:pt idx="235">
                  <c:v>40732</c:v>
                </c:pt>
                <c:pt idx="236">
                  <c:v>40739</c:v>
                </c:pt>
                <c:pt idx="237">
                  <c:v>40746</c:v>
                </c:pt>
                <c:pt idx="238">
                  <c:v>40753</c:v>
                </c:pt>
                <c:pt idx="239">
                  <c:v>40760</c:v>
                </c:pt>
                <c:pt idx="240">
                  <c:v>40767</c:v>
                </c:pt>
                <c:pt idx="241">
                  <c:v>40774</c:v>
                </c:pt>
                <c:pt idx="242">
                  <c:v>40781</c:v>
                </c:pt>
                <c:pt idx="243">
                  <c:v>40788</c:v>
                </c:pt>
                <c:pt idx="244">
                  <c:v>40795</c:v>
                </c:pt>
                <c:pt idx="245">
                  <c:v>40802</c:v>
                </c:pt>
                <c:pt idx="246">
                  <c:v>40809</c:v>
                </c:pt>
                <c:pt idx="247">
                  <c:v>40816</c:v>
                </c:pt>
                <c:pt idx="248">
                  <c:v>40823</c:v>
                </c:pt>
                <c:pt idx="249">
                  <c:v>40830</c:v>
                </c:pt>
                <c:pt idx="250">
                  <c:v>40837</c:v>
                </c:pt>
                <c:pt idx="251">
                  <c:v>40844</c:v>
                </c:pt>
                <c:pt idx="252">
                  <c:v>40851</c:v>
                </c:pt>
                <c:pt idx="253">
                  <c:v>40858</c:v>
                </c:pt>
                <c:pt idx="254">
                  <c:v>40865</c:v>
                </c:pt>
                <c:pt idx="255">
                  <c:v>40872</c:v>
                </c:pt>
                <c:pt idx="256">
                  <c:v>40879</c:v>
                </c:pt>
                <c:pt idx="257">
                  <c:v>40886</c:v>
                </c:pt>
                <c:pt idx="258">
                  <c:v>40893</c:v>
                </c:pt>
                <c:pt idx="259">
                  <c:v>40900</c:v>
                </c:pt>
                <c:pt idx="260">
                  <c:v>40907</c:v>
                </c:pt>
                <c:pt idx="261">
                  <c:v>40914</c:v>
                </c:pt>
                <c:pt idx="262">
                  <c:v>40921</c:v>
                </c:pt>
                <c:pt idx="263">
                  <c:v>40928</c:v>
                </c:pt>
                <c:pt idx="264">
                  <c:v>40935</c:v>
                </c:pt>
                <c:pt idx="265">
                  <c:v>40942</c:v>
                </c:pt>
                <c:pt idx="266">
                  <c:v>40949</c:v>
                </c:pt>
                <c:pt idx="267">
                  <c:v>40956</c:v>
                </c:pt>
                <c:pt idx="268">
                  <c:v>40963</c:v>
                </c:pt>
                <c:pt idx="269">
                  <c:v>40970</c:v>
                </c:pt>
                <c:pt idx="270">
                  <c:v>40977</c:v>
                </c:pt>
                <c:pt idx="271">
                  <c:v>40984</c:v>
                </c:pt>
                <c:pt idx="272">
                  <c:v>40991</c:v>
                </c:pt>
                <c:pt idx="273">
                  <c:v>40998</c:v>
                </c:pt>
                <c:pt idx="274">
                  <c:v>41005</c:v>
                </c:pt>
                <c:pt idx="275">
                  <c:v>41012</c:v>
                </c:pt>
                <c:pt idx="276">
                  <c:v>41019</c:v>
                </c:pt>
                <c:pt idx="277">
                  <c:v>41026</c:v>
                </c:pt>
                <c:pt idx="278">
                  <c:v>41033</c:v>
                </c:pt>
                <c:pt idx="279">
                  <c:v>41040</c:v>
                </c:pt>
                <c:pt idx="280">
                  <c:v>41047</c:v>
                </c:pt>
                <c:pt idx="281">
                  <c:v>41054</c:v>
                </c:pt>
                <c:pt idx="282">
                  <c:v>41061</c:v>
                </c:pt>
                <c:pt idx="283">
                  <c:v>41068</c:v>
                </c:pt>
                <c:pt idx="284">
                  <c:v>41075</c:v>
                </c:pt>
                <c:pt idx="285">
                  <c:v>41082</c:v>
                </c:pt>
                <c:pt idx="286">
                  <c:v>41089</c:v>
                </c:pt>
                <c:pt idx="287">
                  <c:v>41096</c:v>
                </c:pt>
                <c:pt idx="288">
                  <c:v>41103</c:v>
                </c:pt>
                <c:pt idx="289">
                  <c:v>41110</c:v>
                </c:pt>
                <c:pt idx="290">
                  <c:v>41117</c:v>
                </c:pt>
                <c:pt idx="291">
                  <c:v>41124</c:v>
                </c:pt>
                <c:pt idx="292">
                  <c:v>41131</c:v>
                </c:pt>
                <c:pt idx="293">
                  <c:v>41138</c:v>
                </c:pt>
                <c:pt idx="294">
                  <c:v>41145</c:v>
                </c:pt>
                <c:pt idx="295">
                  <c:v>41152</c:v>
                </c:pt>
                <c:pt idx="296">
                  <c:v>41159</c:v>
                </c:pt>
                <c:pt idx="297">
                  <c:v>41166</c:v>
                </c:pt>
                <c:pt idx="298">
                  <c:v>41173</c:v>
                </c:pt>
                <c:pt idx="299">
                  <c:v>41180</c:v>
                </c:pt>
                <c:pt idx="300">
                  <c:v>41187</c:v>
                </c:pt>
                <c:pt idx="301">
                  <c:v>41194</c:v>
                </c:pt>
                <c:pt idx="302">
                  <c:v>41201</c:v>
                </c:pt>
                <c:pt idx="303">
                  <c:v>41208</c:v>
                </c:pt>
                <c:pt idx="304">
                  <c:v>41215</c:v>
                </c:pt>
                <c:pt idx="305">
                  <c:v>41222</c:v>
                </c:pt>
                <c:pt idx="306">
                  <c:v>41229</c:v>
                </c:pt>
                <c:pt idx="307">
                  <c:v>41236</c:v>
                </c:pt>
                <c:pt idx="308">
                  <c:v>41243</c:v>
                </c:pt>
                <c:pt idx="309">
                  <c:v>41250</c:v>
                </c:pt>
                <c:pt idx="310">
                  <c:v>41257</c:v>
                </c:pt>
                <c:pt idx="311">
                  <c:v>41264</c:v>
                </c:pt>
                <c:pt idx="312">
                  <c:v>41271</c:v>
                </c:pt>
                <c:pt idx="313">
                  <c:v>41278</c:v>
                </c:pt>
                <c:pt idx="314">
                  <c:v>41285</c:v>
                </c:pt>
                <c:pt idx="315">
                  <c:v>41292</c:v>
                </c:pt>
                <c:pt idx="316">
                  <c:v>41299</c:v>
                </c:pt>
                <c:pt idx="317">
                  <c:v>41306</c:v>
                </c:pt>
                <c:pt idx="318">
                  <c:v>41313</c:v>
                </c:pt>
                <c:pt idx="319">
                  <c:v>41320</c:v>
                </c:pt>
                <c:pt idx="320">
                  <c:v>41327</c:v>
                </c:pt>
                <c:pt idx="321">
                  <c:v>41334</c:v>
                </c:pt>
                <c:pt idx="322">
                  <c:v>41341</c:v>
                </c:pt>
                <c:pt idx="323">
                  <c:v>41348</c:v>
                </c:pt>
                <c:pt idx="324">
                  <c:v>41355</c:v>
                </c:pt>
                <c:pt idx="325">
                  <c:v>41362</c:v>
                </c:pt>
                <c:pt idx="326">
                  <c:v>41369</c:v>
                </c:pt>
                <c:pt idx="327">
                  <c:v>41376</c:v>
                </c:pt>
                <c:pt idx="328">
                  <c:v>41383</c:v>
                </c:pt>
                <c:pt idx="329">
                  <c:v>41390</c:v>
                </c:pt>
                <c:pt idx="330">
                  <c:v>41397</c:v>
                </c:pt>
                <c:pt idx="331">
                  <c:v>41404</c:v>
                </c:pt>
                <c:pt idx="332">
                  <c:v>41411</c:v>
                </c:pt>
                <c:pt idx="333">
                  <c:v>41418</c:v>
                </c:pt>
                <c:pt idx="334">
                  <c:v>41425</c:v>
                </c:pt>
                <c:pt idx="335">
                  <c:v>41432</c:v>
                </c:pt>
                <c:pt idx="336">
                  <c:v>41439</c:v>
                </c:pt>
                <c:pt idx="337">
                  <c:v>41446</c:v>
                </c:pt>
                <c:pt idx="338">
                  <c:v>41453</c:v>
                </c:pt>
                <c:pt idx="339">
                  <c:v>41460</c:v>
                </c:pt>
                <c:pt idx="340">
                  <c:v>41467</c:v>
                </c:pt>
                <c:pt idx="341">
                  <c:v>41474</c:v>
                </c:pt>
                <c:pt idx="342">
                  <c:v>41481</c:v>
                </c:pt>
                <c:pt idx="343">
                  <c:v>41488</c:v>
                </c:pt>
                <c:pt idx="344">
                  <c:v>41495</c:v>
                </c:pt>
                <c:pt idx="345">
                  <c:v>41502</c:v>
                </c:pt>
                <c:pt idx="346">
                  <c:v>41509</c:v>
                </c:pt>
                <c:pt idx="347">
                  <c:v>41516</c:v>
                </c:pt>
                <c:pt idx="348">
                  <c:v>41523</c:v>
                </c:pt>
                <c:pt idx="349">
                  <c:v>41530</c:v>
                </c:pt>
                <c:pt idx="350">
                  <c:v>41537</c:v>
                </c:pt>
                <c:pt idx="351">
                  <c:v>41544</c:v>
                </c:pt>
                <c:pt idx="352">
                  <c:v>41551</c:v>
                </c:pt>
                <c:pt idx="353">
                  <c:v>41558</c:v>
                </c:pt>
                <c:pt idx="354">
                  <c:v>41565</c:v>
                </c:pt>
                <c:pt idx="355">
                  <c:v>41572</c:v>
                </c:pt>
                <c:pt idx="356">
                  <c:v>41579</c:v>
                </c:pt>
                <c:pt idx="357">
                  <c:v>41586</c:v>
                </c:pt>
                <c:pt idx="358">
                  <c:v>41593</c:v>
                </c:pt>
                <c:pt idx="359">
                  <c:v>41600</c:v>
                </c:pt>
                <c:pt idx="360">
                  <c:v>41607</c:v>
                </c:pt>
                <c:pt idx="361">
                  <c:v>41614</c:v>
                </c:pt>
                <c:pt idx="362">
                  <c:v>41621</c:v>
                </c:pt>
                <c:pt idx="363">
                  <c:v>41628</c:v>
                </c:pt>
                <c:pt idx="364">
                  <c:v>41635</c:v>
                </c:pt>
                <c:pt idx="365">
                  <c:v>41642</c:v>
                </c:pt>
                <c:pt idx="366">
                  <c:v>41649</c:v>
                </c:pt>
                <c:pt idx="367">
                  <c:v>41656</c:v>
                </c:pt>
                <c:pt idx="368">
                  <c:v>41663</c:v>
                </c:pt>
                <c:pt idx="369">
                  <c:v>41670</c:v>
                </c:pt>
                <c:pt idx="370">
                  <c:v>41677</c:v>
                </c:pt>
                <c:pt idx="371">
                  <c:v>41684</c:v>
                </c:pt>
                <c:pt idx="372">
                  <c:v>41691</c:v>
                </c:pt>
                <c:pt idx="373">
                  <c:v>41698</c:v>
                </c:pt>
                <c:pt idx="374">
                  <c:v>41705</c:v>
                </c:pt>
                <c:pt idx="375">
                  <c:v>41712</c:v>
                </c:pt>
                <c:pt idx="376">
                  <c:v>41719</c:v>
                </c:pt>
                <c:pt idx="377">
                  <c:v>41726</c:v>
                </c:pt>
                <c:pt idx="378">
                  <c:v>41733</c:v>
                </c:pt>
                <c:pt idx="379">
                  <c:v>41740</c:v>
                </c:pt>
                <c:pt idx="380">
                  <c:v>41747</c:v>
                </c:pt>
                <c:pt idx="381">
                  <c:v>41754</c:v>
                </c:pt>
                <c:pt idx="382">
                  <c:v>41761</c:v>
                </c:pt>
                <c:pt idx="383">
                  <c:v>41768</c:v>
                </c:pt>
                <c:pt idx="384">
                  <c:v>41775</c:v>
                </c:pt>
                <c:pt idx="385">
                  <c:v>41782</c:v>
                </c:pt>
                <c:pt idx="386">
                  <c:v>41789</c:v>
                </c:pt>
                <c:pt idx="387">
                  <c:v>41796</c:v>
                </c:pt>
                <c:pt idx="388">
                  <c:v>41803</c:v>
                </c:pt>
                <c:pt idx="389">
                  <c:v>41810</c:v>
                </c:pt>
                <c:pt idx="390">
                  <c:v>41817</c:v>
                </c:pt>
                <c:pt idx="391">
                  <c:v>41824</c:v>
                </c:pt>
                <c:pt idx="392">
                  <c:v>41831</c:v>
                </c:pt>
                <c:pt idx="393">
                  <c:v>41838</c:v>
                </c:pt>
                <c:pt idx="394">
                  <c:v>41845</c:v>
                </c:pt>
                <c:pt idx="395">
                  <c:v>41852</c:v>
                </c:pt>
                <c:pt idx="396">
                  <c:v>41859</c:v>
                </c:pt>
                <c:pt idx="397">
                  <c:v>41866</c:v>
                </c:pt>
                <c:pt idx="398">
                  <c:v>41873</c:v>
                </c:pt>
                <c:pt idx="399">
                  <c:v>41880</c:v>
                </c:pt>
                <c:pt idx="400">
                  <c:v>41887</c:v>
                </c:pt>
                <c:pt idx="401">
                  <c:v>41894</c:v>
                </c:pt>
                <c:pt idx="402">
                  <c:v>41901</c:v>
                </c:pt>
                <c:pt idx="403">
                  <c:v>41908</c:v>
                </c:pt>
                <c:pt idx="404">
                  <c:v>41915</c:v>
                </c:pt>
                <c:pt idx="405">
                  <c:v>41922</c:v>
                </c:pt>
                <c:pt idx="406">
                  <c:v>41929</c:v>
                </c:pt>
                <c:pt idx="407">
                  <c:v>41936</c:v>
                </c:pt>
                <c:pt idx="408">
                  <c:v>41943</c:v>
                </c:pt>
                <c:pt idx="409">
                  <c:v>41950</c:v>
                </c:pt>
                <c:pt idx="410">
                  <c:v>41957</c:v>
                </c:pt>
                <c:pt idx="411">
                  <c:v>41964</c:v>
                </c:pt>
                <c:pt idx="412">
                  <c:v>41971</c:v>
                </c:pt>
                <c:pt idx="413">
                  <c:v>41978</c:v>
                </c:pt>
                <c:pt idx="414">
                  <c:v>41985</c:v>
                </c:pt>
                <c:pt idx="415">
                  <c:v>41992</c:v>
                </c:pt>
                <c:pt idx="416">
                  <c:v>41999</c:v>
                </c:pt>
                <c:pt idx="417">
                  <c:v>42006</c:v>
                </c:pt>
                <c:pt idx="418">
                  <c:v>42013</c:v>
                </c:pt>
                <c:pt idx="419">
                  <c:v>42020</c:v>
                </c:pt>
                <c:pt idx="420">
                  <c:v>42027</c:v>
                </c:pt>
                <c:pt idx="421">
                  <c:v>42034</c:v>
                </c:pt>
                <c:pt idx="422">
                  <c:v>42041</c:v>
                </c:pt>
                <c:pt idx="423">
                  <c:v>42048</c:v>
                </c:pt>
                <c:pt idx="424">
                  <c:v>42055</c:v>
                </c:pt>
                <c:pt idx="425">
                  <c:v>42062</c:v>
                </c:pt>
                <c:pt idx="426">
                  <c:v>42069</c:v>
                </c:pt>
                <c:pt idx="427">
                  <c:v>42076</c:v>
                </c:pt>
                <c:pt idx="428">
                  <c:v>42083</c:v>
                </c:pt>
                <c:pt idx="429">
                  <c:v>42090</c:v>
                </c:pt>
                <c:pt idx="430">
                  <c:v>42097</c:v>
                </c:pt>
                <c:pt idx="431">
                  <c:v>42104</c:v>
                </c:pt>
                <c:pt idx="432">
                  <c:v>42111</c:v>
                </c:pt>
                <c:pt idx="433">
                  <c:v>42118</c:v>
                </c:pt>
                <c:pt idx="434">
                  <c:v>42125</c:v>
                </c:pt>
                <c:pt idx="435">
                  <c:v>42132</c:v>
                </c:pt>
                <c:pt idx="436">
                  <c:v>42139</c:v>
                </c:pt>
                <c:pt idx="437">
                  <c:v>42146</c:v>
                </c:pt>
                <c:pt idx="438">
                  <c:v>42153</c:v>
                </c:pt>
                <c:pt idx="439">
                  <c:v>42160</c:v>
                </c:pt>
                <c:pt idx="440">
                  <c:v>42167</c:v>
                </c:pt>
                <c:pt idx="441">
                  <c:v>42174</c:v>
                </c:pt>
                <c:pt idx="442">
                  <c:v>42181</c:v>
                </c:pt>
                <c:pt idx="443">
                  <c:v>42188</c:v>
                </c:pt>
                <c:pt idx="444">
                  <c:v>42195</c:v>
                </c:pt>
                <c:pt idx="445">
                  <c:v>42202</c:v>
                </c:pt>
                <c:pt idx="446">
                  <c:v>42209</c:v>
                </c:pt>
                <c:pt idx="447">
                  <c:v>42216</c:v>
                </c:pt>
                <c:pt idx="448">
                  <c:v>42223</c:v>
                </c:pt>
                <c:pt idx="449">
                  <c:v>42230</c:v>
                </c:pt>
                <c:pt idx="450">
                  <c:v>42237</c:v>
                </c:pt>
                <c:pt idx="451">
                  <c:v>42244</c:v>
                </c:pt>
                <c:pt idx="452">
                  <c:v>42251</c:v>
                </c:pt>
                <c:pt idx="453">
                  <c:v>42258</c:v>
                </c:pt>
                <c:pt idx="454">
                  <c:v>42265</c:v>
                </c:pt>
                <c:pt idx="455">
                  <c:v>42272</c:v>
                </c:pt>
                <c:pt idx="456">
                  <c:v>42279</c:v>
                </c:pt>
                <c:pt idx="457">
                  <c:v>42286</c:v>
                </c:pt>
                <c:pt idx="458">
                  <c:v>42293</c:v>
                </c:pt>
                <c:pt idx="459">
                  <c:v>42300</c:v>
                </c:pt>
                <c:pt idx="460">
                  <c:v>42307</c:v>
                </c:pt>
                <c:pt idx="461">
                  <c:v>42314</c:v>
                </c:pt>
                <c:pt idx="462">
                  <c:v>42321</c:v>
                </c:pt>
                <c:pt idx="463">
                  <c:v>42328</c:v>
                </c:pt>
                <c:pt idx="464">
                  <c:v>42335</c:v>
                </c:pt>
                <c:pt idx="465">
                  <c:v>42342</c:v>
                </c:pt>
                <c:pt idx="466">
                  <c:v>42349</c:v>
                </c:pt>
                <c:pt idx="467">
                  <c:v>42356</c:v>
                </c:pt>
                <c:pt idx="468">
                  <c:v>42363</c:v>
                </c:pt>
                <c:pt idx="469">
                  <c:v>42370</c:v>
                </c:pt>
                <c:pt idx="470">
                  <c:v>42377</c:v>
                </c:pt>
                <c:pt idx="471">
                  <c:v>42384</c:v>
                </c:pt>
                <c:pt idx="472">
                  <c:v>42391</c:v>
                </c:pt>
                <c:pt idx="473">
                  <c:v>42398</c:v>
                </c:pt>
                <c:pt idx="474">
                  <c:v>42405</c:v>
                </c:pt>
                <c:pt idx="475">
                  <c:v>42412</c:v>
                </c:pt>
                <c:pt idx="476">
                  <c:v>42419</c:v>
                </c:pt>
                <c:pt idx="477">
                  <c:v>42426</c:v>
                </c:pt>
                <c:pt idx="478">
                  <c:v>42433</c:v>
                </c:pt>
                <c:pt idx="479">
                  <c:v>42440</c:v>
                </c:pt>
                <c:pt idx="480">
                  <c:v>42447</c:v>
                </c:pt>
                <c:pt idx="481">
                  <c:v>42454</c:v>
                </c:pt>
                <c:pt idx="482">
                  <c:v>42461</c:v>
                </c:pt>
                <c:pt idx="483">
                  <c:v>42468</c:v>
                </c:pt>
                <c:pt idx="484">
                  <c:v>42475</c:v>
                </c:pt>
                <c:pt idx="485">
                  <c:v>42482</c:v>
                </c:pt>
                <c:pt idx="486">
                  <c:v>42489</c:v>
                </c:pt>
                <c:pt idx="487">
                  <c:v>42496</c:v>
                </c:pt>
                <c:pt idx="488">
                  <c:v>42503</c:v>
                </c:pt>
                <c:pt idx="489">
                  <c:v>42510</c:v>
                </c:pt>
                <c:pt idx="490">
                  <c:v>42517</c:v>
                </c:pt>
                <c:pt idx="491">
                  <c:v>42524</c:v>
                </c:pt>
                <c:pt idx="492">
                  <c:v>42531</c:v>
                </c:pt>
                <c:pt idx="493">
                  <c:v>42538</c:v>
                </c:pt>
                <c:pt idx="494">
                  <c:v>42545</c:v>
                </c:pt>
                <c:pt idx="495">
                  <c:v>42552</c:v>
                </c:pt>
                <c:pt idx="496">
                  <c:v>42559</c:v>
                </c:pt>
                <c:pt idx="497">
                  <c:v>42566</c:v>
                </c:pt>
                <c:pt idx="498">
                  <c:v>42573</c:v>
                </c:pt>
                <c:pt idx="499">
                  <c:v>42580</c:v>
                </c:pt>
                <c:pt idx="500">
                  <c:v>42587</c:v>
                </c:pt>
                <c:pt idx="501">
                  <c:v>42594</c:v>
                </c:pt>
                <c:pt idx="502">
                  <c:v>42601</c:v>
                </c:pt>
                <c:pt idx="503">
                  <c:v>42608</c:v>
                </c:pt>
                <c:pt idx="504">
                  <c:v>42615</c:v>
                </c:pt>
                <c:pt idx="505">
                  <c:v>42622</c:v>
                </c:pt>
                <c:pt idx="506">
                  <c:v>42629</c:v>
                </c:pt>
                <c:pt idx="507">
                  <c:v>42636</c:v>
                </c:pt>
                <c:pt idx="508">
                  <c:v>42643</c:v>
                </c:pt>
                <c:pt idx="509">
                  <c:v>42650</c:v>
                </c:pt>
                <c:pt idx="510">
                  <c:v>42657</c:v>
                </c:pt>
                <c:pt idx="511">
                  <c:v>42664</c:v>
                </c:pt>
                <c:pt idx="512">
                  <c:v>42671</c:v>
                </c:pt>
                <c:pt idx="513">
                  <c:v>42678</c:v>
                </c:pt>
                <c:pt idx="514">
                  <c:v>42685</c:v>
                </c:pt>
                <c:pt idx="515">
                  <c:v>42692</c:v>
                </c:pt>
                <c:pt idx="516">
                  <c:v>42699</c:v>
                </c:pt>
                <c:pt idx="517">
                  <c:v>42706</c:v>
                </c:pt>
                <c:pt idx="518">
                  <c:v>42713</c:v>
                </c:pt>
                <c:pt idx="519">
                  <c:v>42720</c:v>
                </c:pt>
                <c:pt idx="520">
                  <c:v>42727</c:v>
                </c:pt>
                <c:pt idx="521">
                  <c:v>42734</c:v>
                </c:pt>
                <c:pt idx="522">
                  <c:v>42741</c:v>
                </c:pt>
                <c:pt idx="523">
                  <c:v>42748</c:v>
                </c:pt>
                <c:pt idx="524">
                  <c:v>42755</c:v>
                </c:pt>
                <c:pt idx="525">
                  <c:v>42762</c:v>
                </c:pt>
                <c:pt idx="526">
                  <c:v>42769</c:v>
                </c:pt>
                <c:pt idx="527">
                  <c:v>42776</c:v>
                </c:pt>
                <c:pt idx="528">
                  <c:v>42783</c:v>
                </c:pt>
                <c:pt idx="529">
                  <c:v>42790</c:v>
                </c:pt>
                <c:pt idx="530">
                  <c:v>42797</c:v>
                </c:pt>
                <c:pt idx="531">
                  <c:v>42804</c:v>
                </c:pt>
                <c:pt idx="532">
                  <c:v>42811</c:v>
                </c:pt>
                <c:pt idx="533">
                  <c:v>42818</c:v>
                </c:pt>
                <c:pt idx="534">
                  <c:v>42825</c:v>
                </c:pt>
                <c:pt idx="535">
                  <c:v>42832</c:v>
                </c:pt>
                <c:pt idx="536">
                  <c:v>42839</c:v>
                </c:pt>
                <c:pt idx="537">
                  <c:v>42846</c:v>
                </c:pt>
                <c:pt idx="538">
                  <c:v>42853</c:v>
                </c:pt>
                <c:pt idx="539">
                  <c:v>42860</c:v>
                </c:pt>
                <c:pt idx="540">
                  <c:v>42867</c:v>
                </c:pt>
                <c:pt idx="541">
                  <c:v>42874</c:v>
                </c:pt>
                <c:pt idx="542">
                  <c:v>42881</c:v>
                </c:pt>
                <c:pt idx="543">
                  <c:v>42888</c:v>
                </c:pt>
                <c:pt idx="544">
                  <c:v>42895</c:v>
                </c:pt>
                <c:pt idx="545">
                  <c:v>42902</c:v>
                </c:pt>
                <c:pt idx="546">
                  <c:v>42909</c:v>
                </c:pt>
                <c:pt idx="547">
                  <c:v>42916</c:v>
                </c:pt>
                <c:pt idx="548">
                  <c:v>42923</c:v>
                </c:pt>
                <c:pt idx="549">
                  <c:v>42930</c:v>
                </c:pt>
                <c:pt idx="550">
                  <c:v>42937</c:v>
                </c:pt>
                <c:pt idx="551">
                  <c:v>42944</c:v>
                </c:pt>
                <c:pt idx="552">
                  <c:v>42951</c:v>
                </c:pt>
                <c:pt idx="553">
                  <c:v>42958</c:v>
                </c:pt>
                <c:pt idx="554">
                  <c:v>42965</c:v>
                </c:pt>
                <c:pt idx="555">
                  <c:v>42972</c:v>
                </c:pt>
                <c:pt idx="556">
                  <c:v>42979</c:v>
                </c:pt>
                <c:pt idx="557">
                  <c:v>42986</c:v>
                </c:pt>
                <c:pt idx="558">
                  <c:v>42993</c:v>
                </c:pt>
                <c:pt idx="559">
                  <c:v>43000</c:v>
                </c:pt>
                <c:pt idx="560">
                  <c:v>43007</c:v>
                </c:pt>
                <c:pt idx="561">
                  <c:v>43014</c:v>
                </c:pt>
                <c:pt idx="562">
                  <c:v>43021</c:v>
                </c:pt>
                <c:pt idx="563">
                  <c:v>43028</c:v>
                </c:pt>
                <c:pt idx="564">
                  <c:v>43035</c:v>
                </c:pt>
                <c:pt idx="565">
                  <c:v>43042</c:v>
                </c:pt>
                <c:pt idx="566">
                  <c:v>43049</c:v>
                </c:pt>
                <c:pt idx="567">
                  <c:v>43056</c:v>
                </c:pt>
                <c:pt idx="568">
                  <c:v>43063</c:v>
                </c:pt>
                <c:pt idx="569">
                  <c:v>43070</c:v>
                </c:pt>
                <c:pt idx="570">
                  <c:v>43077</c:v>
                </c:pt>
                <c:pt idx="571">
                  <c:v>43084</c:v>
                </c:pt>
                <c:pt idx="572">
                  <c:v>43091</c:v>
                </c:pt>
                <c:pt idx="573">
                  <c:v>43098</c:v>
                </c:pt>
                <c:pt idx="574">
                  <c:v>43105</c:v>
                </c:pt>
                <c:pt idx="575">
                  <c:v>43112</c:v>
                </c:pt>
                <c:pt idx="576">
                  <c:v>43119</c:v>
                </c:pt>
                <c:pt idx="577">
                  <c:v>43126</c:v>
                </c:pt>
                <c:pt idx="578">
                  <c:v>43133</c:v>
                </c:pt>
                <c:pt idx="579">
                  <c:v>43140</c:v>
                </c:pt>
                <c:pt idx="580">
                  <c:v>43147</c:v>
                </c:pt>
                <c:pt idx="581">
                  <c:v>43154</c:v>
                </c:pt>
                <c:pt idx="582">
                  <c:v>43161</c:v>
                </c:pt>
                <c:pt idx="583">
                  <c:v>43168</c:v>
                </c:pt>
                <c:pt idx="584">
                  <c:v>43175</c:v>
                </c:pt>
                <c:pt idx="585">
                  <c:v>43182</c:v>
                </c:pt>
                <c:pt idx="586">
                  <c:v>43189</c:v>
                </c:pt>
                <c:pt idx="587">
                  <c:v>43196</c:v>
                </c:pt>
                <c:pt idx="588">
                  <c:v>43203</c:v>
                </c:pt>
                <c:pt idx="589">
                  <c:v>43210</c:v>
                </c:pt>
                <c:pt idx="590">
                  <c:v>43217</c:v>
                </c:pt>
                <c:pt idx="591">
                  <c:v>43224</c:v>
                </c:pt>
                <c:pt idx="592">
                  <c:v>43231</c:v>
                </c:pt>
                <c:pt idx="593">
                  <c:v>43238</c:v>
                </c:pt>
                <c:pt idx="594">
                  <c:v>43245</c:v>
                </c:pt>
                <c:pt idx="595">
                  <c:v>43252</c:v>
                </c:pt>
                <c:pt idx="596">
                  <c:v>43259</c:v>
                </c:pt>
                <c:pt idx="597">
                  <c:v>43266</c:v>
                </c:pt>
                <c:pt idx="598">
                  <c:v>43273</c:v>
                </c:pt>
                <c:pt idx="599">
                  <c:v>43280</c:v>
                </c:pt>
                <c:pt idx="600">
                  <c:v>43287</c:v>
                </c:pt>
                <c:pt idx="601">
                  <c:v>43294</c:v>
                </c:pt>
                <c:pt idx="602">
                  <c:v>43301</c:v>
                </c:pt>
                <c:pt idx="603">
                  <c:v>43308</c:v>
                </c:pt>
                <c:pt idx="604">
                  <c:v>43315</c:v>
                </c:pt>
                <c:pt idx="605">
                  <c:v>43322</c:v>
                </c:pt>
                <c:pt idx="606">
                  <c:v>43329</c:v>
                </c:pt>
                <c:pt idx="607">
                  <c:v>43336</c:v>
                </c:pt>
                <c:pt idx="608">
                  <c:v>43343</c:v>
                </c:pt>
                <c:pt idx="609">
                  <c:v>43350</c:v>
                </c:pt>
                <c:pt idx="610">
                  <c:v>43357</c:v>
                </c:pt>
                <c:pt idx="611">
                  <c:v>43364</c:v>
                </c:pt>
                <c:pt idx="612">
                  <c:v>43371</c:v>
                </c:pt>
                <c:pt idx="613">
                  <c:v>43378</c:v>
                </c:pt>
                <c:pt idx="614">
                  <c:v>43385</c:v>
                </c:pt>
                <c:pt idx="615">
                  <c:v>43392</c:v>
                </c:pt>
                <c:pt idx="616">
                  <c:v>43399</c:v>
                </c:pt>
                <c:pt idx="617">
                  <c:v>43406</c:v>
                </c:pt>
                <c:pt idx="618">
                  <c:v>43413</c:v>
                </c:pt>
                <c:pt idx="619">
                  <c:v>43420</c:v>
                </c:pt>
                <c:pt idx="620">
                  <c:v>43427</c:v>
                </c:pt>
                <c:pt idx="621">
                  <c:v>43434</c:v>
                </c:pt>
                <c:pt idx="622">
                  <c:v>43441</c:v>
                </c:pt>
                <c:pt idx="623">
                  <c:v>43448</c:v>
                </c:pt>
                <c:pt idx="624">
                  <c:v>43455</c:v>
                </c:pt>
                <c:pt idx="625">
                  <c:v>43462</c:v>
                </c:pt>
                <c:pt idx="626">
                  <c:v>43469</c:v>
                </c:pt>
                <c:pt idx="627">
                  <c:v>43476</c:v>
                </c:pt>
                <c:pt idx="628">
                  <c:v>43483</c:v>
                </c:pt>
                <c:pt idx="629">
                  <c:v>43490</c:v>
                </c:pt>
                <c:pt idx="630">
                  <c:v>43497</c:v>
                </c:pt>
                <c:pt idx="631">
                  <c:v>43504</c:v>
                </c:pt>
                <c:pt idx="632">
                  <c:v>43511</c:v>
                </c:pt>
                <c:pt idx="633">
                  <c:v>43518</c:v>
                </c:pt>
                <c:pt idx="634">
                  <c:v>43525</c:v>
                </c:pt>
                <c:pt idx="635">
                  <c:v>43532</c:v>
                </c:pt>
                <c:pt idx="636">
                  <c:v>43539</c:v>
                </c:pt>
                <c:pt idx="637">
                  <c:v>43546</c:v>
                </c:pt>
                <c:pt idx="638">
                  <c:v>43553</c:v>
                </c:pt>
                <c:pt idx="639">
                  <c:v>43560</c:v>
                </c:pt>
                <c:pt idx="640">
                  <c:v>43567</c:v>
                </c:pt>
                <c:pt idx="641">
                  <c:v>43574</c:v>
                </c:pt>
                <c:pt idx="642">
                  <c:v>43581</c:v>
                </c:pt>
                <c:pt idx="643">
                  <c:v>43588</c:v>
                </c:pt>
                <c:pt idx="644">
                  <c:v>43595</c:v>
                </c:pt>
                <c:pt idx="645">
                  <c:v>43602</c:v>
                </c:pt>
                <c:pt idx="646">
                  <c:v>43609</c:v>
                </c:pt>
                <c:pt idx="647">
                  <c:v>43616</c:v>
                </c:pt>
                <c:pt idx="648">
                  <c:v>43623</c:v>
                </c:pt>
                <c:pt idx="649">
                  <c:v>43630</c:v>
                </c:pt>
                <c:pt idx="650">
                  <c:v>43637</c:v>
                </c:pt>
                <c:pt idx="651">
                  <c:v>43644</c:v>
                </c:pt>
                <c:pt idx="652">
                  <c:v>43651</c:v>
                </c:pt>
                <c:pt idx="653">
                  <c:v>43658</c:v>
                </c:pt>
                <c:pt idx="654">
                  <c:v>43665</c:v>
                </c:pt>
                <c:pt idx="655">
                  <c:v>43672</c:v>
                </c:pt>
                <c:pt idx="656">
                  <c:v>43679</c:v>
                </c:pt>
                <c:pt idx="657">
                  <c:v>43686</c:v>
                </c:pt>
                <c:pt idx="658">
                  <c:v>43693</c:v>
                </c:pt>
                <c:pt idx="659">
                  <c:v>43700</c:v>
                </c:pt>
                <c:pt idx="660">
                  <c:v>43707</c:v>
                </c:pt>
                <c:pt idx="661">
                  <c:v>43714</c:v>
                </c:pt>
                <c:pt idx="662">
                  <c:v>43721</c:v>
                </c:pt>
                <c:pt idx="663">
                  <c:v>43728</c:v>
                </c:pt>
                <c:pt idx="664">
                  <c:v>43735</c:v>
                </c:pt>
                <c:pt idx="665">
                  <c:v>43742</c:v>
                </c:pt>
                <c:pt idx="666">
                  <c:v>43749</c:v>
                </c:pt>
                <c:pt idx="667">
                  <c:v>43756</c:v>
                </c:pt>
                <c:pt idx="668">
                  <c:v>43763</c:v>
                </c:pt>
                <c:pt idx="669">
                  <c:v>43770</c:v>
                </c:pt>
                <c:pt idx="670">
                  <c:v>43777</c:v>
                </c:pt>
                <c:pt idx="671">
                  <c:v>43784</c:v>
                </c:pt>
                <c:pt idx="672">
                  <c:v>43791</c:v>
                </c:pt>
                <c:pt idx="673">
                  <c:v>43798</c:v>
                </c:pt>
                <c:pt idx="674">
                  <c:v>43805</c:v>
                </c:pt>
                <c:pt idx="675">
                  <c:v>43812</c:v>
                </c:pt>
                <c:pt idx="676">
                  <c:v>43819</c:v>
                </c:pt>
                <c:pt idx="677">
                  <c:v>43826</c:v>
                </c:pt>
                <c:pt idx="678">
                  <c:v>43833</c:v>
                </c:pt>
                <c:pt idx="679">
                  <c:v>43840</c:v>
                </c:pt>
                <c:pt idx="680">
                  <c:v>43847</c:v>
                </c:pt>
                <c:pt idx="681">
                  <c:v>43854</c:v>
                </c:pt>
                <c:pt idx="682">
                  <c:v>43861</c:v>
                </c:pt>
                <c:pt idx="683">
                  <c:v>43868</c:v>
                </c:pt>
                <c:pt idx="684">
                  <c:v>43875</c:v>
                </c:pt>
                <c:pt idx="685">
                  <c:v>43882</c:v>
                </c:pt>
                <c:pt idx="686">
                  <c:v>43889</c:v>
                </c:pt>
                <c:pt idx="687">
                  <c:v>43896</c:v>
                </c:pt>
                <c:pt idx="688">
                  <c:v>43903</c:v>
                </c:pt>
                <c:pt idx="689">
                  <c:v>43910</c:v>
                </c:pt>
                <c:pt idx="690">
                  <c:v>43917</c:v>
                </c:pt>
                <c:pt idx="691">
                  <c:v>43924</c:v>
                </c:pt>
                <c:pt idx="692">
                  <c:v>43931</c:v>
                </c:pt>
                <c:pt idx="693">
                  <c:v>43938</c:v>
                </c:pt>
                <c:pt idx="694">
                  <c:v>43945</c:v>
                </c:pt>
                <c:pt idx="695">
                  <c:v>43952</c:v>
                </c:pt>
                <c:pt idx="696">
                  <c:v>43959</c:v>
                </c:pt>
                <c:pt idx="697">
                  <c:v>43966</c:v>
                </c:pt>
                <c:pt idx="698">
                  <c:v>43973</c:v>
                </c:pt>
                <c:pt idx="699">
                  <c:v>43980</c:v>
                </c:pt>
                <c:pt idx="700">
                  <c:v>43987</c:v>
                </c:pt>
                <c:pt idx="701">
                  <c:v>43994</c:v>
                </c:pt>
                <c:pt idx="702">
                  <c:v>44001</c:v>
                </c:pt>
                <c:pt idx="703">
                  <c:v>44008</c:v>
                </c:pt>
                <c:pt idx="704">
                  <c:v>44015</c:v>
                </c:pt>
                <c:pt idx="705">
                  <c:v>44022</c:v>
                </c:pt>
                <c:pt idx="706">
                  <c:v>44029</c:v>
                </c:pt>
                <c:pt idx="707">
                  <c:v>44036</c:v>
                </c:pt>
                <c:pt idx="708">
                  <c:v>44043</c:v>
                </c:pt>
                <c:pt idx="709">
                  <c:v>44050</c:v>
                </c:pt>
                <c:pt idx="710">
                  <c:v>44057</c:v>
                </c:pt>
                <c:pt idx="711">
                  <c:v>44064</c:v>
                </c:pt>
                <c:pt idx="712">
                  <c:v>44071</c:v>
                </c:pt>
                <c:pt idx="713">
                  <c:v>44078</c:v>
                </c:pt>
                <c:pt idx="714">
                  <c:v>44085</c:v>
                </c:pt>
                <c:pt idx="715">
                  <c:v>44092</c:v>
                </c:pt>
                <c:pt idx="716">
                  <c:v>44099</c:v>
                </c:pt>
                <c:pt idx="717">
                  <c:v>44106</c:v>
                </c:pt>
                <c:pt idx="718">
                  <c:v>44113</c:v>
                </c:pt>
                <c:pt idx="719">
                  <c:v>44120</c:v>
                </c:pt>
                <c:pt idx="720">
                  <c:v>44127</c:v>
                </c:pt>
                <c:pt idx="721">
                  <c:v>44134</c:v>
                </c:pt>
                <c:pt idx="722">
                  <c:v>44141</c:v>
                </c:pt>
                <c:pt idx="723">
                  <c:v>44148</c:v>
                </c:pt>
                <c:pt idx="724">
                  <c:v>44155</c:v>
                </c:pt>
                <c:pt idx="725">
                  <c:v>44162</c:v>
                </c:pt>
                <c:pt idx="726">
                  <c:v>44169</c:v>
                </c:pt>
                <c:pt idx="727">
                  <c:v>44176</c:v>
                </c:pt>
                <c:pt idx="728">
                  <c:v>44183</c:v>
                </c:pt>
                <c:pt idx="729">
                  <c:v>44190</c:v>
                </c:pt>
                <c:pt idx="730">
                  <c:v>44197</c:v>
                </c:pt>
                <c:pt idx="731">
                  <c:v>44204</c:v>
                </c:pt>
                <c:pt idx="732">
                  <c:v>44211</c:v>
                </c:pt>
                <c:pt idx="733">
                  <c:v>44218</c:v>
                </c:pt>
                <c:pt idx="734">
                  <c:v>44225</c:v>
                </c:pt>
                <c:pt idx="735">
                  <c:v>44232</c:v>
                </c:pt>
                <c:pt idx="736">
                  <c:v>44239</c:v>
                </c:pt>
                <c:pt idx="737">
                  <c:v>44246</c:v>
                </c:pt>
                <c:pt idx="738">
                  <c:v>44253</c:v>
                </c:pt>
                <c:pt idx="739">
                  <c:v>44260</c:v>
                </c:pt>
                <c:pt idx="740">
                  <c:v>44267</c:v>
                </c:pt>
                <c:pt idx="741">
                  <c:v>44274</c:v>
                </c:pt>
                <c:pt idx="742">
                  <c:v>44281</c:v>
                </c:pt>
                <c:pt idx="743">
                  <c:v>44288</c:v>
                </c:pt>
                <c:pt idx="744">
                  <c:v>44295</c:v>
                </c:pt>
                <c:pt idx="745">
                  <c:v>44302</c:v>
                </c:pt>
                <c:pt idx="746">
                  <c:v>44309</c:v>
                </c:pt>
                <c:pt idx="747">
                  <c:v>44316</c:v>
                </c:pt>
                <c:pt idx="748">
                  <c:v>44323</c:v>
                </c:pt>
                <c:pt idx="749">
                  <c:v>44330</c:v>
                </c:pt>
                <c:pt idx="750">
                  <c:v>44337</c:v>
                </c:pt>
                <c:pt idx="751">
                  <c:v>44344</c:v>
                </c:pt>
                <c:pt idx="752">
                  <c:v>44351</c:v>
                </c:pt>
                <c:pt idx="753">
                  <c:v>44358</c:v>
                </c:pt>
                <c:pt idx="754">
                  <c:v>44365</c:v>
                </c:pt>
                <c:pt idx="755">
                  <c:v>44372</c:v>
                </c:pt>
                <c:pt idx="756">
                  <c:v>44379</c:v>
                </c:pt>
                <c:pt idx="757">
                  <c:v>44386</c:v>
                </c:pt>
                <c:pt idx="758">
                  <c:v>44393</c:v>
                </c:pt>
                <c:pt idx="759">
                  <c:v>44400</c:v>
                </c:pt>
                <c:pt idx="760">
                  <c:v>44407</c:v>
                </c:pt>
                <c:pt idx="761">
                  <c:v>44414</c:v>
                </c:pt>
                <c:pt idx="762">
                  <c:v>44421</c:v>
                </c:pt>
                <c:pt idx="763">
                  <c:v>44428</c:v>
                </c:pt>
                <c:pt idx="764">
                  <c:v>44435</c:v>
                </c:pt>
                <c:pt idx="765">
                  <c:v>44442</c:v>
                </c:pt>
                <c:pt idx="766">
                  <c:v>44449</c:v>
                </c:pt>
                <c:pt idx="767">
                  <c:v>44456</c:v>
                </c:pt>
                <c:pt idx="768">
                  <c:v>44463</c:v>
                </c:pt>
                <c:pt idx="769">
                  <c:v>44470</c:v>
                </c:pt>
                <c:pt idx="770">
                  <c:v>44477</c:v>
                </c:pt>
                <c:pt idx="771">
                  <c:v>44484</c:v>
                </c:pt>
                <c:pt idx="772">
                  <c:v>44491</c:v>
                </c:pt>
                <c:pt idx="773">
                  <c:v>44498</c:v>
                </c:pt>
                <c:pt idx="774">
                  <c:v>44505</c:v>
                </c:pt>
                <c:pt idx="775">
                  <c:v>44512</c:v>
                </c:pt>
                <c:pt idx="776">
                  <c:v>44519</c:v>
                </c:pt>
                <c:pt idx="777">
                  <c:v>44526</c:v>
                </c:pt>
                <c:pt idx="778">
                  <c:v>44533</c:v>
                </c:pt>
                <c:pt idx="779">
                  <c:v>44540</c:v>
                </c:pt>
                <c:pt idx="780">
                  <c:v>44547</c:v>
                </c:pt>
                <c:pt idx="781">
                  <c:v>44554</c:v>
                </c:pt>
                <c:pt idx="782">
                  <c:v>44561</c:v>
                </c:pt>
                <c:pt idx="783">
                  <c:v>44568</c:v>
                </c:pt>
                <c:pt idx="784">
                  <c:v>44575</c:v>
                </c:pt>
                <c:pt idx="785">
                  <c:v>44582</c:v>
                </c:pt>
                <c:pt idx="786">
                  <c:v>44589</c:v>
                </c:pt>
                <c:pt idx="787">
                  <c:v>44596</c:v>
                </c:pt>
                <c:pt idx="788">
                  <c:v>44603</c:v>
                </c:pt>
                <c:pt idx="789">
                  <c:v>44610</c:v>
                </c:pt>
                <c:pt idx="790">
                  <c:v>44617</c:v>
                </c:pt>
                <c:pt idx="791">
                  <c:v>44624</c:v>
                </c:pt>
                <c:pt idx="792">
                  <c:v>44631</c:v>
                </c:pt>
                <c:pt idx="793">
                  <c:v>44638</c:v>
                </c:pt>
                <c:pt idx="794">
                  <c:v>44645</c:v>
                </c:pt>
                <c:pt idx="795">
                  <c:v>44652</c:v>
                </c:pt>
                <c:pt idx="796">
                  <c:v>44659</c:v>
                </c:pt>
                <c:pt idx="797">
                  <c:v>44666</c:v>
                </c:pt>
                <c:pt idx="798">
                  <c:v>44673</c:v>
                </c:pt>
                <c:pt idx="799">
                  <c:v>44680</c:v>
                </c:pt>
                <c:pt idx="800">
                  <c:v>44687</c:v>
                </c:pt>
                <c:pt idx="801">
                  <c:v>44694</c:v>
                </c:pt>
                <c:pt idx="802">
                  <c:v>44701</c:v>
                </c:pt>
                <c:pt idx="803">
                  <c:v>44708</c:v>
                </c:pt>
                <c:pt idx="804">
                  <c:v>44715</c:v>
                </c:pt>
                <c:pt idx="805">
                  <c:v>44722</c:v>
                </c:pt>
                <c:pt idx="806">
                  <c:v>44729</c:v>
                </c:pt>
                <c:pt idx="807">
                  <c:v>44736</c:v>
                </c:pt>
                <c:pt idx="808">
                  <c:v>44743</c:v>
                </c:pt>
                <c:pt idx="809">
                  <c:v>44750</c:v>
                </c:pt>
                <c:pt idx="810">
                  <c:v>44757</c:v>
                </c:pt>
                <c:pt idx="811">
                  <c:v>44764</c:v>
                </c:pt>
                <c:pt idx="812">
                  <c:v>44771</c:v>
                </c:pt>
                <c:pt idx="813">
                  <c:v>44778</c:v>
                </c:pt>
                <c:pt idx="814">
                  <c:v>44785</c:v>
                </c:pt>
                <c:pt idx="815">
                  <c:v>44792</c:v>
                </c:pt>
                <c:pt idx="816">
                  <c:v>44799</c:v>
                </c:pt>
                <c:pt idx="817">
                  <c:v>44806</c:v>
                </c:pt>
                <c:pt idx="818">
                  <c:v>44813</c:v>
                </c:pt>
                <c:pt idx="819">
                  <c:v>44820</c:v>
                </c:pt>
                <c:pt idx="820">
                  <c:v>44827</c:v>
                </c:pt>
                <c:pt idx="821">
                  <c:v>44834</c:v>
                </c:pt>
                <c:pt idx="822">
                  <c:v>44841</c:v>
                </c:pt>
                <c:pt idx="823">
                  <c:v>44848</c:v>
                </c:pt>
                <c:pt idx="824">
                  <c:v>44855</c:v>
                </c:pt>
                <c:pt idx="825">
                  <c:v>44862</c:v>
                </c:pt>
                <c:pt idx="826">
                  <c:v>44869</c:v>
                </c:pt>
                <c:pt idx="827">
                  <c:v>44876</c:v>
                </c:pt>
                <c:pt idx="828">
                  <c:v>44883</c:v>
                </c:pt>
                <c:pt idx="829">
                  <c:v>44890</c:v>
                </c:pt>
                <c:pt idx="830">
                  <c:v>44897</c:v>
                </c:pt>
                <c:pt idx="831">
                  <c:v>44904</c:v>
                </c:pt>
                <c:pt idx="832">
                  <c:v>44911</c:v>
                </c:pt>
                <c:pt idx="833">
                  <c:v>44918</c:v>
                </c:pt>
                <c:pt idx="834">
                  <c:v>44925</c:v>
                </c:pt>
                <c:pt idx="835">
                  <c:v>44932</c:v>
                </c:pt>
                <c:pt idx="836">
                  <c:v>44939</c:v>
                </c:pt>
                <c:pt idx="837">
                  <c:v>44946</c:v>
                </c:pt>
                <c:pt idx="838">
                  <c:v>44953</c:v>
                </c:pt>
                <c:pt idx="839">
                  <c:v>44960</c:v>
                </c:pt>
                <c:pt idx="840">
                  <c:v>44967</c:v>
                </c:pt>
                <c:pt idx="841">
                  <c:v>44974</c:v>
                </c:pt>
                <c:pt idx="842">
                  <c:v>44981</c:v>
                </c:pt>
                <c:pt idx="843">
                  <c:v>44988</c:v>
                </c:pt>
                <c:pt idx="844">
                  <c:v>44995</c:v>
                </c:pt>
                <c:pt idx="845">
                  <c:v>45002</c:v>
                </c:pt>
                <c:pt idx="846">
                  <c:v>45009</c:v>
                </c:pt>
                <c:pt idx="847">
                  <c:v>45016</c:v>
                </c:pt>
                <c:pt idx="848">
                  <c:v>45023</c:v>
                </c:pt>
                <c:pt idx="849">
                  <c:v>45030</c:v>
                </c:pt>
                <c:pt idx="850">
                  <c:v>45037</c:v>
                </c:pt>
                <c:pt idx="851">
                  <c:v>45044</c:v>
                </c:pt>
                <c:pt idx="852">
                  <c:v>45051</c:v>
                </c:pt>
                <c:pt idx="853">
                  <c:v>45058</c:v>
                </c:pt>
                <c:pt idx="854">
                  <c:v>45065</c:v>
                </c:pt>
                <c:pt idx="855">
                  <c:v>45072</c:v>
                </c:pt>
                <c:pt idx="856">
                  <c:v>45079</c:v>
                </c:pt>
                <c:pt idx="857">
                  <c:v>45086</c:v>
                </c:pt>
                <c:pt idx="858">
                  <c:v>45093</c:v>
                </c:pt>
                <c:pt idx="859">
                  <c:v>45100</c:v>
                </c:pt>
                <c:pt idx="860">
                  <c:v>45107</c:v>
                </c:pt>
                <c:pt idx="861">
                  <c:v>45114</c:v>
                </c:pt>
                <c:pt idx="862">
                  <c:v>45121</c:v>
                </c:pt>
                <c:pt idx="863">
                  <c:v>45128</c:v>
                </c:pt>
                <c:pt idx="864">
                  <c:v>45135</c:v>
                </c:pt>
                <c:pt idx="865">
                  <c:v>45142</c:v>
                </c:pt>
                <c:pt idx="866">
                  <c:v>45149</c:v>
                </c:pt>
                <c:pt idx="867">
                  <c:v>45156</c:v>
                </c:pt>
                <c:pt idx="868">
                  <c:v>45163</c:v>
                </c:pt>
                <c:pt idx="869">
                  <c:v>45170</c:v>
                </c:pt>
                <c:pt idx="870">
                  <c:v>45177</c:v>
                </c:pt>
                <c:pt idx="871">
                  <c:v>45184</c:v>
                </c:pt>
                <c:pt idx="872">
                  <c:v>45191</c:v>
                </c:pt>
                <c:pt idx="873">
                  <c:v>45198</c:v>
                </c:pt>
                <c:pt idx="874">
                  <c:v>45205</c:v>
                </c:pt>
                <c:pt idx="875">
                  <c:v>45212</c:v>
                </c:pt>
                <c:pt idx="876">
                  <c:v>45219</c:v>
                </c:pt>
                <c:pt idx="877">
                  <c:v>45226</c:v>
                </c:pt>
                <c:pt idx="878">
                  <c:v>45233</c:v>
                </c:pt>
                <c:pt idx="879">
                  <c:v>45240</c:v>
                </c:pt>
                <c:pt idx="880">
                  <c:v>45247</c:v>
                </c:pt>
                <c:pt idx="881">
                  <c:v>45254</c:v>
                </c:pt>
                <c:pt idx="882">
                  <c:v>45261</c:v>
                </c:pt>
                <c:pt idx="883">
                  <c:v>45268</c:v>
                </c:pt>
                <c:pt idx="884">
                  <c:v>45275</c:v>
                </c:pt>
                <c:pt idx="885">
                  <c:v>45282</c:v>
                </c:pt>
                <c:pt idx="886">
                  <c:v>45289</c:v>
                </c:pt>
                <c:pt idx="887">
                  <c:v>45296</c:v>
                </c:pt>
                <c:pt idx="888">
                  <c:v>45303</c:v>
                </c:pt>
                <c:pt idx="889">
                  <c:v>45310</c:v>
                </c:pt>
                <c:pt idx="890">
                  <c:v>45317</c:v>
                </c:pt>
                <c:pt idx="891">
                  <c:v>45324</c:v>
                </c:pt>
                <c:pt idx="892">
                  <c:v>45331</c:v>
                </c:pt>
                <c:pt idx="893">
                  <c:v>45338</c:v>
                </c:pt>
                <c:pt idx="894">
                  <c:v>45345</c:v>
                </c:pt>
                <c:pt idx="895">
                  <c:v>45352</c:v>
                </c:pt>
                <c:pt idx="896">
                  <c:v>45359</c:v>
                </c:pt>
                <c:pt idx="897">
                  <c:v>45366</c:v>
                </c:pt>
                <c:pt idx="898">
                  <c:v>45373</c:v>
                </c:pt>
                <c:pt idx="899">
                  <c:v>45380</c:v>
                </c:pt>
                <c:pt idx="900">
                  <c:v>45387</c:v>
                </c:pt>
                <c:pt idx="901">
                  <c:v>45394</c:v>
                </c:pt>
                <c:pt idx="902">
                  <c:v>45401</c:v>
                </c:pt>
                <c:pt idx="903">
                  <c:v>45408</c:v>
                </c:pt>
                <c:pt idx="904">
                  <c:v>45415</c:v>
                </c:pt>
                <c:pt idx="905">
                  <c:v>45422</c:v>
                </c:pt>
                <c:pt idx="906">
                  <c:v>45429</c:v>
                </c:pt>
                <c:pt idx="907">
                  <c:v>45436</c:v>
                </c:pt>
                <c:pt idx="908">
                  <c:v>45443</c:v>
                </c:pt>
                <c:pt idx="909">
                  <c:v>45450</c:v>
                </c:pt>
                <c:pt idx="910">
                  <c:v>45457</c:v>
                </c:pt>
                <c:pt idx="911">
                  <c:v>45464</c:v>
                </c:pt>
                <c:pt idx="912">
                  <c:v>45471</c:v>
                </c:pt>
                <c:pt idx="913">
                  <c:v>45478</c:v>
                </c:pt>
                <c:pt idx="914">
                  <c:v>45485</c:v>
                </c:pt>
                <c:pt idx="915">
                  <c:v>45492</c:v>
                </c:pt>
                <c:pt idx="916">
                  <c:v>45499</c:v>
                </c:pt>
                <c:pt idx="917">
                  <c:v>45506</c:v>
                </c:pt>
                <c:pt idx="918">
                  <c:v>45513</c:v>
                </c:pt>
                <c:pt idx="919">
                  <c:v>45520</c:v>
                </c:pt>
                <c:pt idx="920">
                  <c:v>45527</c:v>
                </c:pt>
                <c:pt idx="921">
                  <c:v>45534</c:v>
                </c:pt>
                <c:pt idx="922">
                  <c:v>45541</c:v>
                </c:pt>
                <c:pt idx="923">
                  <c:v>45548</c:v>
                </c:pt>
                <c:pt idx="924">
                  <c:v>45555</c:v>
                </c:pt>
                <c:pt idx="925">
                  <c:v>45562</c:v>
                </c:pt>
                <c:pt idx="926">
                  <c:v>45569</c:v>
                </c:pt>
                <c:pt idx="927">
                  <c:v>45576</c:v>
                </c:pt>
                <c:pt idx="928">
                  <c:v>45583</c:v>
                </c:pt>
                <c:pt idx="929">
                  <c:v>45590</c:v>
                </c:pt>
                <c:pt idx="930">
                  <c:v>45597</c:v>
                </c:pt>
                <c:pt idx="931">
                  <c:v>45604</c:v>
                </c:pt>
                <c:pt idx="932">
                  <c:v>45611</c:v>
                </c:pt>
                <c:pt idx="933">
                  <c:v>45618</c:v>
                </c:pt>
                <c:pt idx="934">
                  <c:v>45625</c:v>
                </c:pt>
                <c:pt idx="935">
                  <c:v>45632</c:v>
                </c:pt>
                <c:pt idx="936">
                  <c:v>45639</c:v>
                </c:pt>
                <c:pt idx="937">
                  <c:v>45646</c:v>
                </c:pt>
                <c:pt idx="938">
                  <c:v>45653</c:v>
                </c:pt>
                <c:pt idx="939">
                  <c:v>45660</c:v>
                </c:pt>
                <c:pt idx="940">
                  <c:v>45667</c:v>
                </c:pt>
                <c:pt idx="941">
                  <c:v>45674</c:v>
                </c:pt>
                <c:pt idx="942">
                  <c:v>45681</c:v>
                </c:pt>
                <c:pt idx="943">
                  <c:v>45688</c:v>
                </c:pt>
                <c:pt idx="944">
                  <c:v>45695</c:v>
                </c:pt>
                <c:pt idx="945">
                  <c:v>45702</c:v>
                </c:pt>
                <c:pt idx="946">
                  <c:v>45709</c:v>
                </c:pt>
                <c:pt idx="947">
                  <c:v>45716</c:v>
                </c:pt>
                <c:pt idx="948">
                  <c:v>45723</c:v>
                </c:pt>
                <c:pt idx="949">
                  <c:v>45730</c:v>
                </c:pt>
                <c:pt idx="950">
                  <c:v>45737</c:v>
                </c:pt>
                <c:pt idx="951">
                  <c:v>45744</c:v>
                </c:pt>
                <c:pt idx="952">
                  <c:v>45751</c:v>
                </c:pt>
                <c:pt idx="953">
                  <c:v>45758</c:v>
                </c:pt>
                <c:pt idx="954">
                  <c:v>45765</c:v>
                </c:pt>
                <c:pt idx="955">
                  <c:v>45772</c:v>
                </c:pt>
                <c:pt idx="956">
                  <c:v>45779</c:v>
                </c:pt>
                <c:pt idx="957">
                  <c:v>45786</c:v>
                </c:pt>
                <c:pt idx="958">
                  <c:v>45793</c:v>
                </c:pt>
                <c:pt idx="959">
                  <c:v>45800</c:v>
                </c:pt>
                <c:pt idx="960">
                  <c:v>45807</c:v>
                </c:pt>
                <c:pt idx="961">
                  <c:v>45814</c:v>
                </c:pt>
                <c:pt idx="962">
                  <c:v>45821</c:v>
                </c:pt>
                <c:pt idx="963">
                  <c:v>45828</c:v>
                </c:pt>
                <c:pt idx="964">
                  <c:v>45835</c:v>
                </c:pt>
                <c:pt idx="965">
                  <c:v>45842</c:v>
                </c:pt>
                <c:pt idx="966">
                  <c:v>45849</c:v>
                </c:pt>
                <c:pt idx="967">
                  <c:v>45856</c:v>
                </c:pt>
                <c:pt idx="968">
                  <c:v>45863</c:v>
                </c:pt>
                <c:pt idx="969">
                  <c:v>45870</c:v>
                </c:pt>
                <c:pt idx="970">
                  <c:v>45877</c:v>
                </c:pt>
                <c:pt idx="971">
                  <c:v>45884</c:v>
                </c:pt>
                <c:pt idx="972">
                  <c:v>45891</c:v>
                </c:pt>
                <c:pt idx="973">
                  <c:v>45898</c:v>
                </c:pt>
                <c:pt idx="974">
                  <c:v>45905</c:v>
                </c:pt>
                <c:pt idx="975">
                  <c:v>45912</c:v>
                </c:pt>
                <c:pt idx="976">
                  <c:v>45919</c:v>
                </c:pt>
                <c:pt idx="977">
                  <c:v>45926</c:v>
                </c:pt>
                <c:pt idx="978">
                  <c:v>45933</c:v>
                </c:pt>
                <c:pt idx="979">
                  <c:v>45940</c:v>
                </c:pt>
                <c:pt idx="980">
                  <c:v>45947</c:v>
                </c:pt>
                <c:pt idx="981">
                  <c:v>45954</c:v>
                </c:pt>
                <c:pt idx="982">
                  <c:v>45961</c:v>
                </c:pt>
                <c:pt idx="983">
                  <c:v>45968</c:v>
                </c:pt>
                <c:pt idx="984">
                  <c:v>45975</c:v>
                </c:pt>
                <c:pt idx="985">
                  <c:v>45982</c:v>
                </c:pt>
                <c:pt idx="986">
                  <c:v>45989</c:v>
                </c:pt>
                <c:pt idx="987">
                  <c:v>45996</c:v>
                </c:pt>
                <c:pt idx="988">
                  <c:v>46003</c:v>
                </c:pt>
                <c:pt idx="989">
                  <c:v>46010</c:v>
                </c:pt>
                <c:pt idx="990">
                  <c:v>46017</c:v>
                </c:pt>
                <c:pt idx="991">
                  <c:v>46024</c:v>
                </c:pt>
                <c:pt idx="992">
                  <c:v>46031</c:v>
                </c:pt>
                <c:pt idx="993">
                  <c:v>46038</c:v>
                </c:pt>
                <c:pt idx="994">
                  <c:v>46045</c:v>
                </c:pt>
                <c:pt idx="995">
                  <c:v>46052</c:v>
                </c:pt>
                <c:pt idx="996">
                  <c:v>46059</c:v>
                </c:pt>
                <c:pt idx="997">
                  <c:v>46066</c:v>
                </c:pt>
                <c:pt idx="998">
                  <c:v>46073</c:v>
                </c:pt>
                <c:pt idx="999">
                  <c:v>46080</c:v>
                </c:pt>
                <c:pt idx="1000">
                  <c:v>46087</c:v>
                </c:pt>
                <c:pt idx="1001">
                  <c:v>46094</c:v>
                </c:pt>
                <c:pt idx="1002">
                  <c:v>46101</c:v>
                </c:pt>
                <c:pt idx="1003">
                  <c:v>46108</c:v>
                </c:pt>
                <c:pt idx="1004">
                  <c:v>46115</c:v>
                </c:pt>
                <c:pt idx="1005">
                  <c:v>46122</c:v>
                </c:pt>
                <c:pt idx="1006">
                  <c:v>46129</c:v>
                </c:pt>
                <c:pt idx="1007">
                  <c:v>46136</c:v>
                </c:pt>
                <c:pt idx="1008">
                  <c:v>46143</c:v>
                </c:pt>
                <c:pt idx="1009">
                  <c:v>46150</c:v>
                </c:pt>
                <c:pt idx="1010">
                  <c:v>46157</c:v>
                </c:pt>
                <c:pt idx="1011">
                  <c:v>46164</c:v>
                </c:pt>
                <c:pt idx="1012">
                  <c:v>46171</c:v>
                </c:pt>
                <c:pt idx="1013">
                  <c:v>46178</c:v>
                </c:pt>
                <c:pt idx="1014">
                  <c:v>46185</c:v>
                </c:pt>
                <c:pt idx="1015">
                  <c:v>46192</c:v>
                </c:pt>
                <c:pt idx="1016">
                  <c:v>46199</c:v>
                </c:pt>
                <c:pt idx="1017">
                  <c:v>46206</c:v>
                </c:pt>
                <c:pt idx="1018">
                  <c:v>46213</c:v>
                </c:pt>
                <c:pt idx="1019">
                  <c:v>46220</c:v>
                </c:pt>
                <c:pt idx="1020">
                  <c:v>46227</c:v>
                </c:pt>
                <c:pt idx="1021">
                  <c:v>46234</c:v>
                </c:pt>
                <c:pt idx="1022">
                  <c:v>46241</c:v>
                </c:pt>
                <c:pt idx="1023">
                  <c:v>46248</c:v>
                </c:pt>
                <c:pt idx="1024">
                  <c:v>46255</c:v>
                </c:pt>
                <c:pt idx="1025">
                  <c:v>46262</c:v>
                </c:pt>
                <c:pt idx="1026">
                  <c:v>46269</c:v>
                </c:pt>
                <c:pt idx="1027">
                  <c:v>46276</c:v>
                </c:pt>
                <c:pt idx="1028">
                  <c:v>46283</c:v>
                </c:pt>
                <c:pt idx="1029">
                  <c:v>46290</c:v>
                </c:pt>
                <c:pt idx="1030">
                  <c:v>46297</c:v>
                </c:pt>
              </c:numCache>
            </c:numRef>
          </c:cat>
          <c:val>
            <c:numRef>
              <c:f>Indice!$AM$58:$AM$1500</c:f>
              <c:numCache>
                <c:formatCode>General</c:formatCode>
                <c:ptCount val="1443"/>
                <c:pt idx="0">
                  <c:v>0.91081815876993932</c:v>
                </c:pt>
                <c:pt idx="1">
                  <c:v>0.90507558635205843</c:v>
                </c:pt>
                <c:pt idx="2">
                  <c:v>0.90332730200537481</c:v>
                </c:pt>
                <c:pt idx="3">
                  <c:v>0.90094785798975108</c:v>
                </c:pt>
                <c:pt idx="4">
                  <c:v>0.89933416137048994</c:v>
                </c:pt>
                <c:pt idx="5">
                  <c:v>0.89458066415209392</c:v>
                </c:pt>
                <c:pt idx="6">
                  <c:v>0.8905779388986621</c:v>
                </c:pt>
                <c:pt idx="7">
                  <c:v>0.88699134991527995</c:v>
                </c:pt>
                <c:pt idx="8">
                  <c:v>0.88370669329778762</c:v>
                </c:pt>
                <c:pt idx="9">
                  <c:v>0.88051231975417998</c:v>
                </c:pt>
                <c:pt idx="10">
                  <c:v>0.88051231975417998</c:v>
                </c:pt>
                <c:pt idx="11">
                  <c:v>0.88051231975417998</c:v>
                </c:pt>
                <c:pt idx="12">
                  <c:v>0.88051231975417998</c:v>
                </c:pt>
                <c:pt idx="13">
                  <c:v>0.88051231975417998</c:v>
                </c:pt>
                <c:pt idx="14">
                  <c:v>0.88051231975417998</c:v>
                </c:pt>
                <c:pt idx="15">
                  <c:v>0.87939116686106855</c:v>
                </c:pt>
                <c:pt idx="16">
                  <c:v>0.87939116686106855</c:v>
                </c:pt>
                <c:pt idx="17">
                  <c:v>0.87939116686106855</c:v>
                </c:pt>
                <c:pt idx="18">
                  <c:v>0.87939116686106855</c:v>
                </c:pt>
                <c:pt idx="19">
                  <c:v>0.87906249438422135</c:v>
                </c:pt>
                <c:pt idx="20">
                  <c:v>0.87869559419668608</c:v>
                </c:pt>
                <c:pt idx="21">
                  <c:v>0.87494729263703996</c:v>
                </c:pt>
                <c:pt idx="22">
                  <c:v>0.87141991880807845</c:v>
                </c:pt>
                <c:pt idx="23">
                  <c:v>0.87141991880807845</c:v>
                </c:pt>
                <c:pt idx="24">
                  <c:v>0.8702927790028322</c:v>
                </c:pt>
                <c:pt idx="25">
                  <c:v>0.8702927790028322</c:v>
                </c:pt>
                <c:pt idx="26">
                  <c:v>0.8702927790028322</c:v>
                </c:pt>
                <c:pt idx="27">
                  <c:v>0.8702927790028322</c:v>
                </c:pt>
                <c:pt idx="28">
                  <c:v>0.86972012214630845</c:v>
                </c:pt>
                <c:pt idx="29">
                  <c:v>0.86709093022751682</c:v>
                </c:pt>
                <c:pt idx="30">
                  <c:v>0.86622054135204818</c:v>
                </c:pt>
                <c:pt idx="31">
                  <c:v>0.86622054135204818</c:v>
                </c:pt>
                <c:pt idx="32">
                  <c:v>0.86561166890270935</c:v>
                </c:pt>
                <c:pt idx="33">
                  <c:v>0.86561166890270935</c:v>
                </c:pt>
                <c:pt idx="34">
                  <c:v>0.86561166890270935</c:v>
                </c:pt>
                <c:pt idx="35">
                  <c:v>0.86561166890270935</c:v>
                </c:pt>
                <c:pt idx="36">
                  <c:v>0.86561166890270935</c:v>
                </c:pt>
                <c:pt idx="37">
                  <c:v>0.86561166890270935</c:v>
                </c:pt>
                <c:pt idx="38">
                  <c:v>0.867046531615837</c:v>
                </c:pt>
                <c:pt idx="39">
                  <c:v>0.86983911562055627</c:v>
                </c:pt>
                <c:pt idx="40">
                  <c:v>0.87174265482582181</c:v>
                </c:pt>
                <c:pt idx="41">
                  <c:v>0.87517914913616524</c:v>
                </c:pt>
                <c:pt idx="42">
                  <c:v>0.87570799053579329</c:v>
                </c:pt>
                <c:pt idx="43">
                  <c:v>0.87626339212978777</c:v>
                </c:pt>
                <c:pt idx="44">
                  <c:v>0.87925422712925771</c:v>
                </c:pt>
                <c:pt idx="45">
                  <c:v>0.88472516796600265</c:v>
                </c:pt>
                <c:pt idx="46">
                  <c:v>0.88473546497898248</c:v>
                </c:pt>
                <c:pt idx="47">
                  <c:v>0.88609572913056511</c:v>
                </c:pt>
                <c:pt idx="48">
                  <c:v>0.89291600589104414</c:v>
                </c:pt>
                <c:pt idx="49">
                  <c:v>0.90296061250868553</c:v>
                </c:pt>
                <c:pt idx="50">
                  <c:v>0.90878254942755032</c:v>
                </c:pt>
                <c:pt idx="51">
                  <c:v>0.91301952121702057</c:v>
                </c:pt>
                <c:pt idx="52">
                  <c:v>0.91541373912491486</c:v>
                </c:pt>
                <c:pt idx="53">
                  <c:v>0.9169362147311918</c:v>
                </c:pt>
                <c:pt idx="54">
                  <c:v>0.91757984406706239</c:v>
                </c:pt>
                <c:pt idx="55">
                  <c:v>0.91920647703992397</c:v>
                </c:pt>
                <c:pt idx="56">
                  <c:v>0.9204799297169669</c:v>
                </c:pt>
                <c:pt idx="57">
                  <c:v>0.92126890621012847</c:v>
                </c:pt>
                <c:pt idx="58">
                  <c:v>0.92328121714227707</c:v>
                </c:pt>
                <c:pt idx="59">
                  <c:v>0.92481088481282137</c:v>
                </c:pt>
                <c:pt idx="60">
                  <c:v>0.92700199843650433</c:v>
                </c:pt>
                <c:pt idx="61">
                  <c:v>0.93384061651352845</c:v>
                </c:pt>
                <c:pt idx="62">
                  <c:v>0.93524649067009236</c:v>
                </c:pt>
                <c:pt idx="63">
                  <c:v>0.93666902143781239</c:v>
                </c:pt>
                <c:pt idx="64">
                  <c:v>0.9415338436568883</c:v>
                </c:pt>
                <c:pt idx="65">
                  <c:v>0.94337103220663221</c:v>
                </c:pt>
                <c:pt idx="66">
                  <c:v>0.94358899675677543</c:v>
                </c:pt>
                <c:pt idx="67">
                  <c:v>0.94358899675677543</c:v>
                </c:pt>
                <c:pt idx="68">
                  <c:v>0.94358899675677543</c:v>
                </c:pt>
                <c:pt idx="69">
                  <c:v>0.94543561126797582</c:v>
                </c:pt>
                <c:pt idx="70">
                  <c:v>0.94949206074498393</c:v>
                </c:pt>
                <c:pt idx="71">
                  <c:v>0.95152271503460595</c:v>
                </c:pt>
                <c:pt idx="72">
                  <c:v>0.95644102996710945</c:v>
                </c:pt>
                <c:pt idx="73">
                  <c:v>0.96015050362201682</c:v>
                </c:pt>
                <c:pt idx="74">
                  <c:v>0.96425081460280637</c:v>
                </c:pt>
                <c:pt idx="75">
                  <c:v>0.96592045333704502</c:v>
                </c:pt>
                <c:pt idx="76">
                  <c:v>0.96752592637223822</c:v>
                </c:pt>
                <c:pt idx="77">
                  <c:v>0.9703502336926173</c:v>
                </c:pt>
                <c:pt idx="78">
                  <c:v>0.97101755817482582</c:v>
                </c:pt>
                <c:pt idx="79">
                  <c:v>0.97310454758200438</c:v>
                </c:pt>
                <c:pt idx="80">
                  <c:v>0.97535927687092161</c:v>
                </c:pt>
                <c:pt idx="81">
                  <c:v>0.97924396818830595</c:v>
                </c:pt>
                <c:pt idx="82">
                  <c:v>0.97924396818830595</c:v>
                </c:pt>
                <c:pt idx="83">
                  <c:v>0.9821366519976662</c:v>
                </c:pt>
                <c:pt idx="84">
                  <c:v>0.98900071662414091</c:v>
                </c:pt>
                <c:pt idx="85">
                  <c:v>0.99129106267491618</c:v>
                </c:pt>
                <c:pt idx="86">
                  <c:v>0.9918384567560069</c:v>
                </c:pt>
                <c:pt idx="87">
                  <c:v>0.9918384567560069</c:v>
                </c:pt>
                <c:pt idx="88">
                  <c:v>0.99198313557257334</c:v>
                </c:pt>
                <c:pt idx="89">
                  <c:v>0.9924003055721875</c:v>
                </c:pt>
                <c:pt idx="90">
                  <c:v>0.99387912383098276</c:v>
                </c:pt>
                <c:pt idx="91">
                  <c:v>0.99631681444290132</c:v>
                </c:pt>
                <c:pt idx="92">
                  <c:v>1.0017551073884576</c:v>
                </c:pt>
                <c:pt idx="93">
                  <c:v>1.0058362105350993</c:v>
                </c:pt>
                <c:pt idx="94">
                  <c:v>1.0096001082545865</c:v>
                </c:pt>
                <c:pt idx="95">
                  <c:v>1.0114487472225078</c:v>
                </c:pt>
                <c:pt idx="96">
                  <c:v>1.0131647312772656</c:v>
                </c:pt>
                <c:pt idx="97">
                  <c:v>1.0160132780556923</c:v>
                </c:pt>
                <c:pt idx="98">
                  <c:v>1.0222042409306391</c:v>
                </c:pt>
                <c:pt idx="99">
                  <c:v>1.0374664530430699</c:v>
                </c:pt>
                <c:pt idx="100">
                  <c:v>1.038679254669568</c:v>
                </c:pt>
                <c:pt idx="101">
                  <c:v>1.038679254669568</c:v>
                </c:pt>
                <c:pt idx="102">
                  <c:v>1.0404739126106337</c:v>
                </c:pt>
                <c:pt idx="103">
                  <c:v>1.0404739126106337</c:v>
                </c:pt>
                <c:pt idx="104">
                  <c:v>1.0404739126106337</c:v>
                </c:pt>
                <c:pt idx="105">
                  <c:v>1.0404739126106337</c:v>
                </c:pt>
                <c:pt idx="106">
                  <c:v>1.0404739126106337</c:v>
                </c:pt>
                <c:pt idx="107">
                  <c:v>1.0404739126106337</c:v>
                </c:pt>
                <c:pt idx="108">
                  <c:v>1.0404739126106337</c:v>
                </c:pt>
                <c:pt idx="109">
                  <c:v>1.0404739126106337</c:v>
                </c:pt>
                <c:pt idx="110">
                  <c:v>1.0404739126106337</c:v>
                </c:pt>
                <c:pt idx="111">
                  <c:v>1.0404739126106337</c:v>
                </c:pt>
                <c:pt idx="112">
                  <c:v>1.0404739126106337</c:v>
                </c:pt>
                <c:pt idx="113">
                  <c:v>1.0404739126106337</c:v>
                </c:pt>
                <c:pt idx="114">
                  <c:v>1.0404739126106337</c:v>
                </c:pt>
                <c:pt idx="115">
                  <c:v>1.0404739126106337</c:v>
                </c:pt>
                <c:pt idx="116">
                  <c:v>1.0404739126106337</c:v>
                </c:pt>
                <c:pt idx="117">
                  <c:v>1.0404739126106337</c:v>
                </c:pt>
                <c:pt idx="118">
                  <c:v>1.0404739126106337</c:v>
                </c:pt>
                <c:pt idx="119">
                  <c:v>1.0404739126106337</c:v>
                </c:pt>
                <c:pt idx="120">
                  <c:v>1.0404739126106337</c:v>
                </c:pt>
                <c:pt idx="121">
                  <c:v>1.0404739126106337</c:v>
                </c:pt>
                <c:pt idx="122">
                  <c:v>1.0404739126106337</c:v>
                </c:pt>
                <c:pt idx="123">
                  <c:v>1.0404739126106337</c:v>
                </c:pt>
                <c:pt idx="124">
                  <c:v>1.0404739126106337</c:v>
                </c:pt>
                <c:pt idx="125">
                  <c:v>1.0404739126106337</c:v>
                </c:pt>
                <c:pt idx="126">
                  <c:v>1.0404739126106337</c:v>
                </c:pt>
                <c:pt idx="127">
                  <c:v>1.0404739126106337</c:v>
                </c:pt>
                <c:pt idx="128">
                  <c:v>1.0393197153199836</c:v>
                </c:pt>
                <c:pt idx="129">
                  <c:v>1.0393197153199836</c:v>
                </c:pt>
                <c:pt idx="130">
                  <c:v>1.0393197153199836</c:v>
                </c:pt>
                <c:pt idx="131">
                  <c:v>1.0393197153199836</c:v>
                </c:pt>
                <c:pt idx="132">
                  <c:v>1.0393197153199836</c:v>
                </c:pt>
                <c:pt idx="133">
                  <c:v>1.0393197153199836</c:v>
                </c:pt>
                <c:pt idx="134">
                  <c:v>1.0393197153199836</c:v>
                </c:pt>
                <c:pt idx="135">
                  <c:v>1.0393197153199836</c:v>
                </c:pt>
                <c:pt idx="136">
                  <c:v>1.0393197153199836</c:v>
                </c:pt>
                <c:pt idx="137">
                  <c:v>1.0393197153199836</c:v>
                </c:pt>
                <c:pt idx="138">
                  <c:v>1.0393197153199836</c:v>
                </c:pt>
                <c:pt idx="139">
                  <c:v>1.0393197153199836</c:v>
                </c:pt>
                <c:pt idx="140">
                  <c:v>1.0291206394915977</c:v>
                </c:pt>
                <c:pt idx="141">
                  <c:v>1.0151058651288949</c:v>
                </c:pt>
                <c:pt idx="142">
                  <c:v>0.99780186247334413</c:v>
                </c:pt>
                <c:pt idx="143">
                  <c:v>0.95140210367775169</c:v>
                </c:pt>
                <c:pt idx="144">
                  <c:v>0.88723433813665686</c:v>
                </c:pt>
                <c:pt idx="145">
                  <c:v>0.86554273599510356</c:v>
                </c:pt>
                <c:pt idx="146">
                  <c:v>0.8637926926002748</c:v>
                </c:pt>
                <c:pt idx="147">
                  <c:v>0.86234826271686082</c:v>
                </c:pt>
                <c:pt idx="148">
                  <c:v>0.79839125212799311</c:v>
                </c:pt>
                <c:pt idx="149">
                  <c:v>0.77094686692449099</c:v>
                </c:pt>
                <c:pt idx="150">
                  <c:v>0.76885201130752767</c:v>
                </c:pt>
                <c:pt idx="151">
                  <c:v>0.76867316929740204</c:v>
                </c:pt>
                <c:pt idx="152">
                  <c:v>0.73966649144876551</c:v>
                </c:pt>
                <c:pt idx="153">
                  <c:v>0.72990795138127562</c:v>
                </c:pt>
                <c:pt idx="154">
                  <c:v>0.72983798380320053</c:v>
                </c:pt>
                <c:pt idx="155">
                  <c:v>0.72806887441813706</c:v>
                </c:pt>
                <c:pt idx="156">
                  <c:v>0.72806887441813706</c:v>
                </c:pt>
                <c:pt idx="157">
                  <c:v>0.72806887441813706</c:v>
                </c:pt>
                <c:pt idx="158">
                  <c:v>0.72806887441813706</c:v>
                </c:pt>
                <c:pt idx="159">
                  <c:v>0.72806887441813706</c:v>
                </c:pt>
                <c:pt idx="160">
                  <c:v>0.72806887441813706</c:v>
                </c:pt>
                <c:pt idx="161">
                  <c:v>0.72806887441813706</c:v>
                </c:pt>
                <c:pt idx="162">
                  <c:v>0.72806887441813706</c:v>
                </c:pt>
                <c:pt idx="163">
                  <c:v>0.72806887441813706</c:v>
                </c:pt>
                <c:pt idx="164">
                  <c:v>0.72806887441813706</c:v>
                </c:pt>
                <c:pt idx="165">
                  <c:v>0.72983798380320053</c:v>
                </c:pt>
                <c:pt idx="166">
                  <c:v>0.73565073957684102</c:v>
                </c:pt>
                <c:pt idx="167">
                  <c:v>0.75534745681897997</c:v>
                </c:pt>
                <c:pt idx="168">
                  <c:v>0.76397144543815243</c:v>
                </c:pt>
                <c:pt idx="169">
                  <c:v>0.7686734326781165</c:v>
                </c:pt>
                <c:pt idx="170">
                  <c:v>0.77301636113320782</c:v>
                </c:pt>
                <c:pt idx="171">
                  <c:v>0.78582696842652866</c:v>
                </c:pt>
                <c:pt idx="172">
                  <c:v>0.78693045612984691</c:v>
                </c:pt>
                <c:pt idx="173">
                  <c:v>0.7889553895160516</c:v>
                </c:pt>
                <c:pt idx="174">
                  <c:v>0.79457555973732952</c:v>
                </c:pt>
                <c:pt idx="175">
                  <c:v>0.79714866816074803</c:v>
                </c:pt>
                <c:pt idx="176">
                  <c:v>0.797440497751015</c:v>
                </c:pt>
                <c:pt idx="177">
                  <c:v>0.79820871011286276</c:v>
                </c:pt>
                <c:pt idx="178">
                  <c:v>0.79965260816797401</c:v>
                </c:pt>
                <c:pt idx="179">
                  <c:v>0.80058065674950574</c:v>
                </c:pt>
                <c:pt idx="180">
                  <c:v>0.80330769966643278</c:v>
                </c:pt>
                <c:pt idx="181">
                  <c:v>0.81036709934778184</c:v>
                </c:pt>
                <c:pt idx="182">
                  <c:v>0.81992594963157828</c:v>
                </c:pt>
                <c:pt idx="183">
                  <c:v>0.84318091774865611</c:v>
                </c:pt>
                <c:pt idx="184">
                  <c:v>0.85966513597672911</c:v>
                </c:pt>
                <c:pt idx="185">
                  <c:v>0.86798465566572358</c:v>
                </c:pt>
                <c:pt idx="186">
                  <c:v>0.87120303286419642</c:v>
                </c:pt>
                <c:pt idx="187">
                  <c:v>0.87147159347282577</c:v>
                </c:pt>
                <c:pt idx="188">
                  <c:v>0.87147159347282577</c:v>
                </c:pt>
                <c:pt idx="189">
                  <c:v>0.87147159347282577</c:v>
                </c:pt>
                <c:pt idx="190">
                  <c:v>0.87147159347282577</c:v>
                </c:pt>
                <c:pt idx="191">
                  <c:v>0.87228143709396178</c:v>
                </c:pt>
                <c:pt idx="192">
                  <c:v>0.87228143709396178</c:v>
                </c:pt>
                <c:pt idx="193">
                  <c:v>0.87228143709396178</c:v>
                </c:pt>
                <c:pt idx="194">
                  <c:v>0.87228143709396178</c:v>
                </c:pt>
                <c:pt idx="195">
                  <c:v>0.87228143709396178</c:v>
                </c:pt>
                <c:pt idx="196">
                  <c:v>0.87228143709396178</c:v>
                </c:pt>
                <c:pt idx="197">
                  <c:v>0.87228143709396178</c:v>
                </c:pt>
                <c:pt idx="198">
                  <c:v>0.87228143709396178</c:v>
                </c:pt>
                <c:pt idx="199">
                  <c:v>0.87228143709396178</c:v>
                </c:pt>
                <c:pt idx="200">
                  <c:v>0.87228143709396178</c:v>
                </c:pt>
                <c:pt idx="201">
                  <c:v>0.87228143709396178</c:v>
                </c:pt>
                <c:pt idx="202">
                  <c:v>0.87228143709396178</c:v>
                </c:pt>
                <c:pt idx="203">
                  <c:v>0.87228143709396178</c:v>
                </c:pt>
                <c:pt idx="204">
                  <c:v>0.87228143709396178</c:v>
                </c:pt>
                <c:pt idx="205">
                  <c:v>0.87228143709396178</c:v>
                </c:pt>
                <c:pt idx="206">
                  <c:v>0.87228143709396178</c:v>
                </c:pt>
                <c:pt idx="207">
                  <c:v>0.87228143709396178</c:v>
                </c:pt>
                <c:pt idx="208">
                  <c:v>0.87228143709396178</c:v>
                </c:pt>
                <c:pt idx="209">
                  <c:v>0.87228143709396178</c:v>
                </c:pt>
                <c:pt idx="210">
                  <c:v>0.87228143709396178</c:v>
                </c:pt>
                <c:pt idx="211">
                  <c:v>0.87228143709396178</c:v>
                </c:pt>
                <c:pt idx="212">
                  <c:v>0.87228143709396178</c:v>
                </c:pt>
                <c:pt idx="213">
                  <c:v>0.87228143709396178</c:v>
                </c:pt>
                <c:pt idx="214">
                  <c:v>0.87228143709396178</c:v>
                </c:pt>
                <c:pt idx="215">
                  <c:v>0.87228143709396178</c:v>
                </c:pt>
                <c:pt idx="216">
                  <c:v>0.87228143709396178</c:v>
                </c:pt>
                <c:pt idx="217">
                  <c:v>0.87228143709396178</c:v>
                </c:pt>
                <c:pt idx="218">
                  <c:v>0.87228143709396178</c:v>
                </c:pt>
                <c:pt idx="219">
                  <c:v>0.87228143709396178</c:v>
                </c:pt>
                <c:pt idx="220">
                  <c:v>0.87228143709396178</c:v>
                </c:pt>
                <c:pt idx="221">
                  <c:v>0.87228143709396178</c:v>
                </c:pt>
                <c:pt idx="222">
                  <c:v>0.87228143709396178</c:v>
                </c:pt>
                <c:pt idx="223">
                  <c:v>0.87228143709396178</c:v>
                </c:pt>
                <c:pt idx="224">
                  <c:v>0.87228143709396178</c:v>
                </c:pt>
                <c:pt idx="225">
                  <c:v>0.87147159347282577</c:v>
                </c:pt>
                <c:pt idx="226">
                  <c:v>0.87096830270644765</c:v>
                </c:pt>
                <c:pt idx="227">
                  <c:v>0.8707859052340754</c:v>
                </c:pt>
                <c:pt idx="228">
                  <c:v>0.86890641057992557</c:v>
                </c:pt>
                <c:pt idx="229">
                  <c:v>0.86694149945284771</c:v>
                </c:pt>
                <c:pt idx="230">
                  <c:v>0.85227654051944945</c:v>
                </c:pt>
                <c:pt idx="231">
                  <c:v>0.84099427193024379</c:v>
                </c:pt>
                <c:pt idx="232">
                  <c:v>0.82757878962441356</c:v>
                </c:pt>
                <c:pt idx="233">
                  <c:v>0.81996749132272584</c:v>
                </c:pt>
                <c:pt idx="234">
                  <c:v>0.81578725243102401</c:v>
                </c:pt>
                <c:pt idx="235">
                  <c:v>0.81376642088580176</c:v>
                </c:pt>
                <c:pt idx="236">
                  <c:v>0.81331161174773914</c:v>
                </c:pt>
                <c:pt idx="237">
                  <c:v>0.8061476137889293</c:v>
                </c:pt>
                <c:pt idx="238">
                  <c:v>0.79957014912071245</c:v>
                </c:pt>
                <c:pt idx="239">
                  <c:v>0.79485407022382337</c:v>
                </c:pt>
                <c:pt idx="240">
                  <c:v>0.79062035794268604</c:v>
                </c:pt>
                <c:pt idx="241">
                  <c:v>0.78706188257822407</c:v>
                </c:pt>
                <c:pt idx="242">
                  <c:v>0.78706188257822407</c:v>
                </c:pt>
                <c:pt idx="243">
                  <c:v>0.78706188257822407</c:v>
                </c:pt>
                <c:pt idx="244">
                  <c:v>0.78706188257822407</c:v>
                </c:pt>
                <c:pt idx="245">
                  <c:v>0.78706188257822407</c:v>
                </c:pt>
                <c:pt idx="246">
                  <c:v>0.78589957500130914</c:v>
                </c:pt>
                <c:pt idx="247">
                  <c:v>0.78570393797525517</c:v>
                </c:pt>
                <c:pt idx="248">
                  <c:v>0.78436525312923067</c:v>
                </c:pt>
                <c:pt idx="249">
                  <c:v>0.78375405540602727</c:v>
                </c:pt>
                <c:pt idx="250">
                  <c:v>0.7833090463060004</c:v>
                </c:pt>
                <c:pt idx="251">
                  <c:v>0.78234817097654485</c:v>
                </c:pt>
                <c:pt idx="252">
                  <c:v>0.78234817097654485</c:v>
                </c:pt>
                <c:pt idx="253">
                  <c:v>0.78234817097654485</c:v>
                </c:pt>
                <c:pt idx="254">
                  <c:v>0.78138638034649044</c:v>
                </c:pt>
                <c:pt idx="255">
                  <c:v>0.78138638034649044</c:v>
                </c:pt>
                <c:pt idx="256">
                  <c:v>0.78138638034649044</c:v>
                </c:pt>
                <c:pt idx="257">
                  <c:v>0.78138638034649044</c:v>
                </c:pt>
                <c:pt idx="258">
                  <c:v>0.78138638034649044</c:v>
                </c:pt>
                <c:pt idx="259">
                  <c:v>0.78138638034649044</c:v>
                </c:pt>
                <c:pt idx="260">
                  <c:v>0.7812249577993251</c:v>
                </c:pt>
                <c:pt idx="261">
                  <c:v>0.77993430241625272</c:v>
                </c:pt>
                <c:pt idx="262">
                  <c:v>0.77993430241625272</c:v>
                </c:pt>
                <c:pt idx="263">
                  <c:v>0.77955807725414639</c:v>
                </c:pt>
                <c:pt idx="264">
                  <c:v>0.77955807725414639</c:v>
                </c:pt>
                <c:pt idx="265">
                  <c:v>0.77753639257505358</c:v>
                </c:pt>
                <c:pt idx="266">
                  <c:v>0.77753639257505358</c:v>
                </c:pt>
                <c:pt idx="267">
                  <c:v>0.77955807725414639</c:v>
                </c:pt>
                <c:pt idx="268">
                  <c:v>0.77753639257505358</c:v>
                </c:pt>
                <c:pt idx="269">
                  <c:v>0.77753639257505358</c:v>
                </c:pt>
                <c:pt idx="270">
                  <c:v>0.77591617194325324</c:v>
                </c:pt>
                <c:pt idx="271">
                  <c:v>0.7754157449720287</c:v>
                </c:pt>
                <c:pt idx="272">
                  <c:v>0.7754157449720287</c:v>
                </c:pt>
                <c:pt idx="273">
                  <c:v>0.7754157449720287</c:v>
                </c:pt>
                <c:pt idx="274">
                  <c:v>0.7754157449720287</c:v>
                </c:pt>
                <c:pt idx="275">
                  <c:v>0.7754157449720287</c:v>
                </c:pt>
                <c:pt idx="276">
                  <c:v>0.77499378216319625</c:v>
                </c:pt>
                <c:pt idx="277">
                  <c:v>0.77499378216319625</c:v>
                </c:pt>
                <c:pt idx="278">
                  <c:v>0.77419696022115525</c:v>
                </c:pt>
                <c:pt idx="279">
                  <c:v>0.77352568536892641</c:v>
                </c:pt>
                <c:pt idx="280">
                  <c:v>0.77352568536892641</c:v>
                </c:pt>
                <c:pt idx="281">
                  <c:v>0.77352568536892641</c:v>
                </c:pt>
                <c:pt idx="282">
                  <c:v>0.77419696022115525</c:v>
                </c:pt>
                <c:pt idx="283">
                  <c:v>0.77505342845102909</c:v>
                </c:pt>
                <c:pt idx="284">
                  <c:v>0.77591617194325324</c:v>
                </c:pt>
                <c:pt idx="285">
                  <c:v>0.77753639257505358</c:v>
                </c:pt>
                <c:pt idx="286">
                  <c:v>0.78013422661784326</c:v>
                </c:pt>
                <c:pt idx="287">
                  <c:v>0.78293811606135699</c:v>
                </c:pt>
                <c:pt idx="288">
                  <c:v>0.7875269440901298</c:v>
                </c:pt>
                <c:pt idx="289">
                  <c:v>0.79200234613240139</c:v>
                </c:pt>
                <c:pt idx="290">
                  <c:v>0.79341000192767086</c:v>
                </c:pt>
                <c:pt idx="291">
                  <c:v>0.79341000192767086</c:v>
                </c:pt>
                <c:pt idx="292">
                  <c:v>0.79341000192767086</c:v>
                </c:pt>
                <c:pt idx="293">
                  <c:v>0.79341000192767086</c:v>
                </c:pt>
                <c:pt idx="294">
                  <c:v>0.79200234613240139</c:v>
                </c:pt>
                <c:pt idx="295">
                  <c:v>0.79091664710180154</c:v>
                </c:pt>
                <c:pt idx="296">
                  <c:v>0.78418816542184278</c:v>
                </c:pt>
                <c:pt idx="297">
                  <c:v>0.78013422661784326</c:v>
                </c:pt>
                <c:pt idx="298">
                  <c:v>0.78013422661784326</c:v>
                </c:pt>
                <c:pt idx="299">
                  <c:v>0.78013422661784326</c:v>
                </c:pt>
                <c:pt idx="300">
                  <c:v>0.78013422661784326</c:v>
                </c:pt>
                <c:pt idx="301">
                  <c:v>0.78013422661784326</c:v>
                </c:pt>
                <c:pt idx="302">
                  <c:v>0.78013422661784326</c:v>
                </c:pt>
                <c:pt idx="303">
                  <c:v>0.78013422661784326</c:v>
                </c:pt>
                <c:pt idx="304">
                  <c:v>0.78013422661784326</c:v>
                </c:pt>
                <c:pt idx="305">
                  <c:v>0.78013422661784326</c:v>
                </c:pt>
                <c:pt idx="306">
                  <c:v>0.78013422661784326</c:v>
                </c:pt>
                <c:pt idx="307">
                  <c:v>0.78013422661784326</c:v>
                </c:pt>
                <c:pt idx="308">
                  <c:v>0.78013422661784326</c:v>
                </c:pt>
                <c:pt idx="309">
                  <c:v>0.78013422661784326</c:v>
                </c:pt>
                <c:pt idx="310">
                  <c:v>0.78013422661784326</c:v>
                </c:pt>
                <c:pt idx="311">
                  <c:v>0.78013422661784326</c:v>
                </c:pt>
                <c:pt idx="312">
                  <c:v>0.78013422661784326</c:v>
                </c:pt>
                <c:pt idx="313">
                  <c:v>0.7760770277309782</c:v>
                </c:pt>
                <c:pt idx="314">
                  <c:v>0.77285617446151822</c:v>
                </c:pt>
                <c:pt idx="315">
                  <c:v>0.77179737093908063</c:v>
                </c:pt>
                <c:pt idx="316">
                  <c:v>0.76433538615052321</c:v>
                </c:pt>
                <c:pt idx="317">
                  <c:v>0.76217824812971635</c:v>
                </c:pt>
                <c:pt idx="318">
                  <c:v>0.7541967257369302</c:v>
                </c:pt>
                <c:pt idx="319">
                  <c:v>0.74774448314842767</c:v>
                </c:pt>
                <c:pt idx="320">
                  <c:v>0.74504099660834544</c:v>
                </c:pt>
                <c:pt idx="321">
                  <c:v>0.74504099660834544</c:v>
                </c:pt>
                <c:pt idx="322">
                  <c:v>0.74504099660834544</c:v>
                </c:pt>
                <c:pt idx="323">
                  <c:v>0.73564557526465035</c:v>
                </c:pt>
                <c:pt idx="324">
                  <c:v>0.72874913299715061</c:v>
                </c:pt>
                <c:pt idx="325">
                  <c:v>0.72846371490580053</c:v>
                </c:pt>
                <c:pt idx="326">
                  <c:v>0.72680586044072215</c:v>
                </c:pt>
                <c:pt idx="327">
                  <c:v>0.72680586044072215</c:v>
                </c:pt>
                <c:pt idx="328">
                  <c:v>0.72680586044072215</c:v>
                </c:pt>
                <c:pt idx="329">
                  <c:v>0.72680586044072215</c:v>
                </c:pt>
                <c:pt idx="330">
                  <c:v>0.72680586044072215</c:v>
                </c:pt>
                <c:pt idx="331">
                  <c:v>0.73638414738374647</c:v>
                </c:pt>
                <c:pt idx="332">
                  <c:v>0.73939793772936147</c:v>
                </c:pt>
                <c:pt idx="333">
                  <c:v>0.73461404424140475</c:v>
                </c:pt>
                <c:pt idx="334">
                  <c:v>0.72403116051650884</c:v>
                </c:pt>
                <c:pt idx="335">
                  <c:v>0.72403116051650884</c:v>
                </c:pt>
                <c:pt idx="336">
                  <c:v>0.72034178310600083</c:v>
                </c:pt>
                <c:pt idx="337">
                  <c:v>0.71787870713624369</c:v>
                </c:pt>
                <c:pt idx="338">
                  <c:v>0.71606171670128349</c:v>
                </c:pt>
                <c:pt idx="339">
                  <c:v>0.71606171670128349</c:v>
                </c:pt>
                <c:pt idx="340">
                  <c:v>0.71606171670128349</c:v>
                </c:pt>
                <c:pt idx="341">
                  <c:v>0.71606171670128349</c:v>
                </c:pt>
                <c:pt idx="342">
                  <c:v>0.71515085339712625</c:v>
                </c:pt>
                <c:pt idx="343">
                  <c:v>0.71437565530781255</c:v>
                </c:pt>
                <c:pt idx="344">
                  <c:v>0.71212752831161996</c:v>
                </c:pt>
                <c:pt idx="345">
                  <c:v>0.71212752831161996</c:v>
                </c:pt>
                <c:pt idx="346">
                  <c:v>0.71112839178920539</c:v>
                </c:pt>
                <c:pt idx="347">
                  <c:v>0.70816948719646278</c:v>
                </c:pt>
                <c:pt idx="348">
                  <c:v>0.70827453232764204</c:v>
                </c:pt>
                <c:pt idx="349">
                  <c:v>0.70827453232764204</c:v>
                </c:pt>
                <c:pt idx="350">
                  <c:v>0.70827453232764204</c:v>
                </c:pt>
                <c:pt idx="351">
                  <c:v>0.70827453232764204</c:v>
                </c:pt>
                <c:pt idx="352">
                  <c:v>0.70827453232764204</c:v>
                </c:pt>
                <c:pt idx="353">
                  <c:v>0.70827453232764204</c:v>
                </c:pt>
                <c:pt idx="354">
                  <c:v>0.70827453232764204</c:v>
                </c:pt>
                <c:pt idx="355">
                  <c:v>0.70827453232764204</c:v>
                </c:pt>
                <c:pt idx="356">
                  <c:v>0.70827453232764204</c:v>
                </c:pt>
                <c:pt idx="357">
                  <c:v>0.70827453232764204</c:v>
                </c:pt>
                <c:pt idx="358">
                  <c:v>0.70827453232764204</c:v>
                </c:pt>
                <c:pt idx="359">
                  <c:v>0.70827453232764204</c:v>
                </c:pt>
                <c:pt idx="360">
                  <c:v>0.70827453232764204</c:v>
                </c:pt>
                <c:pt idx="361">
                  <c:v>0.70827453232764204</c:v>
                </c:pt>
                <c:pt idx="362">
                  <c:v>0.70827453232764204</c:v>
                </c:pt>
                <c:pt idx="363">
                  <c:v>0.70827453232764204</c:v>
                </c:pt>
                <c:pt idx="364">
                  <c:v>0.70827453232764204</c:v>
                </c:pt>
                <c:pt idx="365">
                  <c:v>0.70827453232764204</c:v>
                </c:pt>
                <c:pt idx="366">
                  <c:v>0.70827453232764204</c:v>
                </c:pt>
                <c:pt idx="367">
                  <c:v>0.70827453232764204</c:v>
                </c:pt>
                <c:pt idx="368">
                  <c:v>0.70827453232764204</c:v>
                </c:pt>
                <c:pt idx="369">
                  <c:v>0.70827453232764204</c:v>
                </c:pt>
                <c:pt idx="370">
                  <c:v>0.70827453232764204</c:v>
                </c:pt>
                <c:pt idx="371">
                  <c:v>0.70827453232764204</c:v>
                </c:pt>
                <c:pt idx="372">
                  <c:v>0.70827453232764204</c:v>
                </c:pt>
                <c:pt idx="373">
                  <c:v>0.70827453232764204</c:v>
                </c:pt>
                <c:pt idx="374">
                  <c:v>0.70827453232764204</c:v>
                </c:pt>
                <c:pt idx="375">
                  <c:v>0.70827453232764204</c:v>
                </c:pt>
                <c:pt idx="376">
                  <c:v>0.70827453232764204</c:v>
                </c:pt>
                <c:pt idx="377">
                  <c:v>0.70827453232764204</c:v>
                </c:pt>
                <c:pt idx="378">
                  <c:v>0.70827453232764204</c:v>
                </c:pt>
                <c:pt idx="379">
                  <c:v>0.70827453232764204</c:v>
                </c:pt>
                <c:pt idx="380">
                  <c:v>0.70827453232764204</c:v>
                </c:pt>
                <c:pt idx="381">
                  <c:v>0.70827453232764204</c:v>
                </c:pt>
                <c:pt idx="382">
                  <c:v>0.70449024869267862</c:v>
                </c:pt>
                <c:pt idx="383">
                  <c:v>0.70057704744611304</c:v>
                </c:pt>
                <c:pt idx="384">
                  <c:v>0.69953731441491296</c:v>
                </c:pt>
                <c:pt idx="385">
                  <c:v>0.69882558280605855</c:v>
                </c:pt>
                <c:pt idx="386">
                  <c:v>0.69498387325474575</c:v>
                </c:pt>
                <c:pt idx="387">
                  <c:v>0.69200907775599307</c:v>
                </c:pt>
                <c:pt idx="388">
                  <c:v>0.68155335646172777</c:v>
                </c:pt>
                <c:pt idx="389">
                  <c:v>0.67524703525996732</c:v>
                </c:pt>
                <c:pt idx="390">
                  <c:v>0.67355274184072089</c:v>
                </c:pt>
                <c:pt idx="391">
                  <c:v>0.65780080149897935</c:v>
                </c:pt>
                <c:pt idx="392">
                  <c:v>0.65165890094042167</c:v>
                </c:pt>
                <c:pt idx="393">
                  <c:v>0.64419447038059896</c:v>
                </c:pt>
                <c:pt idx="394">
                  <c:v>0.63724375319200144</c:v>
                </c:pt>
                <c:pt idx="395">
                  <c:v>0.63537884673502731</c:v>
                </c:pt>
                <c:pt idx="396">
                  <c:v>0.63419615174213784</c:v>
                </c:pt>
                <c:pt idx="397">
                  <c:v>0.63213998830183427</c:v>
                </c:pt>
                <c:pt idx="398">
                  <c:v>0.62664396480848117</c:v>
                </c:pt>
                <c:pt idx="399">
                  <c:v>0.62367675300537662</c:v>
                </c:pt>
                <c:pt idx="400">
                  <c:v>0.62032817905340365</c:v>
                </c:pt>
                <c:pt idx="401">
                  <c:v>0.61678013606285043</c:v>
                </c:pt>
                <c:pt idx="402">
                  <c:v>0.61583101000180218</c:v>
                </c:pt>
                <c:pt idx="403">
                  <c:v>0.61547446202134815</c:v>
                </c:pt>
                <c:pt idx="404">
                  <c:v>0.61583101000180218</c:v>
                </c:pt>
                <c:pt idx="405">
                  <c:v>0.61583101000180218</c:v>
                </c:pt>
                <c:pt idx="406">
                  <c:v>0.61678013606285043</c:v>
                </c:pt>
                <c:pt idx="407">
                  <c:v>0.62032817905340365</c:v>
                </c:pt>
                <c:pt idx="408">
                  <c:v>0.62367675300537662</c:v>
                </c:pt>
                <c:pt idx="409">
                  <c:v>0.62756687467154115</c:v>
                </c:pt>
                <c:pt idx="410">
                  <c:v>0.63537884673502731</c:v>
                </c:pt>
                <c:pt idx="411">
                  <c:v>0.63962436293584901</c:v>
                </c:pt>
                <c:pt idx="412">
                  <c:v>0.65165890094042167</c:v>
                </c:pt>
                <c:pt idx="413">
                  <c:v>0.65302120514099227</c:v>
                </c:pt>
                <c:pt idx="414">
                  <c:v>0.65537565314946189</c:v>
                </c:pt>
                <c:pt idx="415">
                  <c:v>0.65909013392206406</c:v>
                </c:pt>
                <c:pt idx="416">
                  <c:v>0.66333171091691345</c:v>
                </c:pt>
                <c:pt idx="417">
                  <c:v>0.67853733178926368</c:v>
                </c:pt>
                <c:pt idx="418">
                  <c:v>0.69322937813561625</c:v>
                </c:pt>
                <c:pt idx="419">
                  <c:v>0.70054058640409789</c:v>
                </c:pt>
                <c:pt idx="420">
                  <c:v>0.7077350510000967</c:v>
                </c:pt>
                <c:pt idx="421">
                  <c:v>0.71226799449488476</c:v>
                </c:pt>
                <c:pt idx="422">
                  <c:v>0.71460860102135182</c:v>
                </c:pt>
                <c:pt idx="423">
                  <c:v>0.72421873286754324</c:v>
                </c:pt>
                <c:pt idx="424">
                  <c:v>0.73394247802028612</c:v>
                </c:pt>
                <c:pt idx="425">
                  <c:v>0.7403639560625993</c:v>
                </c:pt>
                <c:pt idx="426">
                  <c:v>0.75376311766884152</c:v>
                </c:pt>
                <c:pt idx="427">
                  <c:v>0.78515019937692232</c:v>
                </c:pt>
                <c:pt idx="428">
                  <c:v>0.80021487732968655</c:v>
                </c:pt>
                <c:pt idx="429">
                  <c:v>0.80522355033396464</c:v>
                </c:pt>
                <c:pt idx="430">
                  <c:v>0.81388203438472417</c:v>
                </c:pt>
                <c:pt idx="431">
                  <c:v>0.82030280757308804</c:v>
                </c:pt>
                <c:pt idx="432">
                  <c:v>0.82030280757308804</c:v>
                </c:pt>
                <c:pt idx="433">
                  <c:v>0.82030280757308804</c:v>
                </c:pt>
                <c:pt idx="434">
                  <c:v>0.82030280757308804</c:v>
                </c:pt>
                <c:pt idx="435">
                  <c:v>0.82030280757308804</c:v>
                </c:pt>
                <c:pt idx="436">
                  <c:v>0.82030280757308804</c:v>
                </c:pt>
                <c:pt idx="437">
                  <c:v>0.82030280757308804</c:v>
                </c:pt>
                <c:pt idx="438">
                  <c:v>0.82030280757308804</c:v>
                </c:pt>
                <c:pt idx="439">
                  <c:v>0.82030280757308804</c:v>
                </c:pt>
                <c:pt idx="440">
                  <c:v>0.82030280757308804</c:v>
                </c:pt>
                <c:pt idx="441">
                  <c:v>0.82030280757308804</c:v>
                </c:pt>
                <c:pt idx="442">
                  <c:v>0.82030280757308804</c:v>
                </c:pt>
                <c:pt idx="443">
                  <c:v>0.82030280757308804</c:v>
                </c:pt>
                <c:pt idx="444">
                  <c:v>0.82030280757308804</c:v>
                </c:pt>
                <c:pt idx="445">
                  <c:v>0.82030280757308804</c:v>
                </c:pt>
                <c:pt idx="446">
                  <c:v>0.82030280757308804</c:v>
                </c:pt>
                <c:pt idx="447">
                  <c:v>0.82030280757308804</c:v>
                </c:pt>
                <c:pt idx="448">
                  <c:v>0.82030280757308804</c:v>
                </c:pt>
                <c:pt idx="449">
                  <c:v>0.82030280757308804</c:v>
                </c:pt>
                <c:pt idx="450">
                  <c:v>0.82030280757308804</c:v>
                </c:pt>
                <c:pt idx="451">
                  <c:v>0.82030280757308804</c:v>
                </c:pt>
                <c:pt idx="452">
                  <c:v>0.82030280757308804</c:v>
                </c:pt>
                <c:pt idx="453">
                  <c:v>0.82030280757308804</c:v>
                </c:pt>
                <c:pt idx="454">
                  <c:v>0.82030280757308804</c:v>
                </c:pt>
                <c:pt idx="455">
                  <c:v>0.82030280757308804</c:v>
                </c:pt>
                <c:pt idx="456">
                  <c:v>0.82030280757308804</c:v>
                </c:pt>
                <c:pt idx="457">
                  <c:v>0.82030280757308804</c:v>
                </c:pt>
                <c:pt idx="458">
                  <c:v>0.82030280757308804</c:v>
                </c:pt>
                <c:pt idx="459">
                  <c:v>0.82030280757308804</c:v>
                </c:pt>
                <c:pt idx="460">
                  <c:v>0.82030280757308804</c:v>
                </c:pt>
                <c:pt idx="461">
                  <c:v>0.82030280757308804</c:v>
                </c:pt>
                <c:pt idx="462">
                  <c:v>0.82030280757308804</c:v>
                </c:pt>
                <c:pt idx="463">
                  <c:v>0.83054637249869212</c:v>
                </c:pt>
                <c:pt idx="464">
                  <c:v>0.83054637249869212</c:v>
                </c:pt>
                <c:pt idx="465">
                  <c:v>0.83880623322236059</c:v>
                </c:pt>
                <c:pt idx="466">
                  <c:v>0.84377890803636424</c:v>
                </c:pt>
                <c:pt idx="467">
                  <c:v>0.84508143727751528</c:v>
                </c:pt>
                <c:pt idx="468">
                  <c:v>0.84628092107215591</c:v>
                </c:pt>
                <c:pt idx="469">
                  <c:v>0.84628092107215591</c:v>
                </c:pt>
                <c:pt idx="470">
                  <c:v>0.84628092107215591</c:v>
                </c:pt>
                <c:pt idx="471">
                  <c:v>0.84628092107215591</c:v>
                </c:pt>
                <c:pt idx="472">
                  <c:v>0.84628092107215591</c:v>
                </c:pt>
                <c:pt idx="473">
                  <c:v>0.84628092107215591</c:v>
                </c:pt>
                <c:pt idx="474">
                  <c:v>0.84628092107215591</c:v>
                </c:pt>
                <c:pt idx="475">
                  <c:v>0.84414300234051542</c:v>
                </c:pt>
                <c:pt idx="476">
                  <c:v>0.83880623322236059</c:v>
                </c:pt>
                <c:pt idx="477">
                  <c:v>0.83880623322236059</c:v>
                </c:pt>
                <c:pt idx="478">
                  <c:v>0.82802202407995318</c:v>
                </c:pt>
                <c:pt idx="479">
                  <c:v>0.81720987221084607</c:v>
                </c:pt>
                <c:pt idx="480">
                  <c:v>0.80941064834388721</c:v>
                </c:pt>
                <c:pt idx="481">
                  <c:v>0.80413049268090353</c:v>
                </c:pt>
                <c:pt idx="482">
                  <c:v>0.79403909562971764</c:v>
                </c:pt>
                <c:pt idx="483">
                  <c:v>0.79070845923181898</c:v>
                </c:pt>
                <c:pt idx="484">
                  <c:v>0.79070845923181898</c:v>
                </c:pt>
                <c:pt idx="485">
                  <c:v>0.79070845923181898</c:v>
                </c:pt>
                <c:pt idx="486">
                  <c:v>0.79070845923181898</c:v>
                </c:pt>
                <c:pt idx="487">
                  <c:v>0.79070845923181898</c:v>
                </c:pt>
                <c:pt idx="488">
                  <c:v>0.79070845923181898</c:v>
                </c:pt>
                <c:pt idx="489">
                  <c:v>0.79070845923181898</c:v>
                </c:pt>
                <c:pt idx="490">
                  <c:v>0.79070845923181898</c:v>
                </c:pt>
                <c:pt idx="491">
                  <c:v>0.79070845923181898</c:v>
                </c:pt>
                <c:pt idx="492">
                  <c:v>0.79070845923181898</c:v>
                </c:pt>
                <c:pt idx="493">
                  <c:v>0.79070845923181898</c:v>
                </c:pt>
                <c:pt idx="494">
                  <c:v>0.79070845923181898</c:v>
                </c:pt>
                <c:pt idx="495">
                  <c:v>0.79070845923181898</c:v>
                </c:pt>
                <c:pt idx="496">
                  <c:v>0.79070845923181898</c:v>
                </c:pt>
                <c:pt idx="497">
                  <c:v>0.79070845923181898</c:v>
                </c:pt>
                <c:pt idx="498">
                  <c:v>0.79070845923181898</c:v>
                </c:pt>
                <c:pt idx="499">
                  <c:v>0.79070845923181898</c:v>
                </c:pt>
                <c:pt idx="500">
                  <c:v>0.79070845923181898</c:v>
                </c:pt>
                <c:pt idx="501">
                  <c:v>0.79070845923181898</c:v>
                </c:pt>
                <c:pt idx="502">
                  <c:v>0.79070845923181898</c:v>
                </c:pt>
                <c:pt idx="503">
                  <c:v>0.79070845923181898</c:v>
                </c:pt>
                <c:pt idx="504">
                  <c:v>0.79070845923181898</c:v>
                </c:pt>
                <c:pt idx="505">
                  <c:v>0.79070845923181898</c:v>
                </c:pt>
                <c:pt idx="506">
                  <c:v>0.79070845923181898</c:v>
                </c:pt>
                <c:pt idx="507">
                  <c:v>0.79070845923181898</c:v>
                </c:pt>
                <c:pt idx="508">
                  <c:v>0.79070845923181898</c:v>
                </c:pt>
                <c:pt idx="509">
                  <c:v>0.79070845923181898</c:v>
                </c:pt>
                <c:pt idx="510">
                  <c:v>0.79070845923181898</c:v>
                </c:pt>
                <c:pt idx="511">
                  <c:v>0.79070845923181898</c:v>
                </c:pt>
                <c:pt idx="512">
                  <c:v>0.79070845923181898</c:v>
                </c:pt>
                <c:pt idx="513">
                  <c:v>0.79070845923181898</c:v>
                </c:pt>
                <c:pt idx="514">
                  <c:v>0.78842783510271941</c:v>
                </c:pt>
                <c:pt idx="515">
                  <c:v>0.77001629561813778</c:v>
                </c:pt>
                <c:pt idx="516">
                  <c:v>0.76337922388446633</c:v>
                </c:pt>
                <c:pt idx="517">
                  <c:v>0.74834119380250275</c:v>
                </c:pt>
                <c:pt idx="518">
                  <c:v>0.74178780980720316</c:v>
                </c:pt>
                <c:pt idx="519">
                  <c:v>0.73862153957322818</c:v>
                </c:pt>
                <c:pt idx="520">
                  <c:v>0.73746365822995585</c:v>
                </c:pt>
                <c:pt idx="521">
                  <c:v>0.72416653243862994</c:v>
                </c:pt>
                <c:pt idx="522">
                  <c:v>0.70861309312926357</c:v>
                </c:pt>
                <c:pt idx="523">
                  <c:v>0.69359686164359768</c:v>
                </c:pt>
                <c:pt idx="524">
                  <c:v>0.68957788342846116</c:v>
                </c:pt>
                <c:pt idx="525">
                  <c:v>0.68684722261155873</c:v>
                </c:pt>
                <c:pt idx="526">
                  <c:v>0.68424614098058889</c:v>
                </c:pt>
                <c:pt idx="527">
                  <c:v>0.67772673070938261</c:v>
                </c:pt>
                <c:pt idx="528">
                  <c:v>0.66989642034601227</c:v>
                </c:pt>
                <c:pt idx="529">
                  <c:v>0.66762213667565717</c:v>
                </c:pt>
                <c:pt idx="530">
                  <c:v>0.66718058325628404</c:v>
                </c:pt>
                <c:pt idx="531">
                  <c:v>0.66701755742431712</c:v>
                </c:pt>
                <c:pt idx="532">
                  <c:v>0.66289326936671333</c:v>
                </c:pt>
                <c:pt idx="533">
                  <c:v>0.66051614016120763</c:v>
                </c:pt>
                <c:pt idx="534">
                  <c:v>0.65866468295294311</c:v>
                </c:pt>
                <c:pt idx="535">
                  <c:v>0.65758183692381134</c:v>
                </c:pt>
                <c:pt idx="536">
                  <c:v>0.656162312470154</c:v>
                </c:pt>
                <c:pt idx="537">
                  <c:v>0.65498605718951763</c:v>
                </c:pt>
                <c:pt idx="538">
                  <c:v>0.65311125573380435</c:v>
                </c:pt>
                <c:pt idx="539">
                  <c:v>0.65121974510436931</c:v>
                </c:pt>
                <c:pt idx="540">
                  <c:v>0.65058234663142933</c:v>
                </c:pt>
                <c:pt idx="541">
                  <c:v>0.65058234663142933</c:v>
                </c:pt>
                <c:pt idx="542">
                  <c:v>0.64592524209489466</c:v>
                </c:pt>
                <c:pt idx="543">
                  <c:v>0.64251684759216054</c:v>
                </c:pt>
                <c:pt idx="544">
                  <c:v>0.6414807626877097</c:v>
                </c:pt>
                <c:pt idx="545">
                  <c:v>0.64105277084671553</c:v>
                </c:pt>
                <c:pt idx="546">
                  <c:v>0.64069151500129284</c:v>
                </c:pt>
                <c:pt idx="547">
                  <c:v>0.63903742529904339</c:v>
                </c:pt>
                <c:pt idx="548">
                  <c:v>0.63785457272494939</c:v>
                </c:pt>
                <c:pt idx="549">
                  <c:v>0.63682248639079486</c:v>
                </c:pt>
                <c:pt idx="550">
                  <c:v>0.63682248639079486</c:v>
                </c:pt>
                <c:pt idx="551">
                  <c:v>0.63574527483150922</c:v>
                </c:pt>
                <c:pt idx="552">
                  <c:v>0.63392167768364904</c:v>
                </c:pt>
                <c:pt idx="553">
                  <c:v>0.63392167768364904</c:v>
                </c:pt>
                <c:pt idx="554">
                  <c:v>0.63392167768364904</c:v>
                </c:pt>
                <c:pt idx="555">
                  <c:v>0.63392167768364904</c:v>
                </c:pt>
                <c:pt idx="556">
                  <c:v>0.63392167768364904</c:v>
                </c:pt>
                <c:pt idx="557">
                  <c:v>0.63392167768364904</c:v>
                </c:pt>
                <c:pt idx="558">
                  <c:v>0.63392167768364904</c:v>
                </c:pt>
                <c:pt idx="559">
                  <c:v>0.63392167768364904</c:v>
                </c:pt>
                <c:pt idx="560">
                  <c:v>0.63392167768364904</c:v>
                </c:pt>
                <c:pt idx="561">
                  <c:v>0.63306992766677017</c:v>
                </c:pt>
                <c:pt idx="562">
                  <c:v>0.6324791249090369</c:v>
                </c:pt>
                <c:pt idx="563">
                  <c:v>0.63148806235472965</c:v>
                </c:pt>
                <c:pt idx="564">
                  <c:v>0.63026683938138561</c:v>
                </c:pt>
                <c:pt idx="565">
                  <c:v>0.62903755966768837</c:v>
                </c:pt>
                <c:pt idx="566">
                  <c:v>0.62798750893666755</c:v>
                </c:pt>
                <c:pt idx="567">
                  <c:v>0.62798750893666755</c:v>
                </c:pt>
                <c:pt idx="568">
                  <c:v>0.6254577569564802</c:v>
                </c:pt>
                <c:pt idx="569">
                  <c:v>0.62373243199117023</c:v>
                </c:pt>
                <c:pt idx="570">
                  <c:v>0.62181669638817061</c:v>
                </c:pt>
                <c:pt idx="571">
                  <c:v>0.62095291927643725</c:v>
                </c:pt>
                <c:pt idx="572">
                  <c:v>0.62039849505089828</c:v>
                </c:pt>
                <c:pt idx="573">
                  <c:v>0.619766655765285</c:v>
                </c:pt>
                <c:pt idx="574">
                  <c:v>0.61846831997474139</c:v>
                </c:pt>
                <c:pt idx="575">
                  <c:v>0.61770454111946527</c:v>
                </c:pt>
                <c:pt idx="576">
                  <c:v>0.61770454111946527</c:v>
                </c:pt>
                <c:pt idx="577">
                  <c:v>0.61673314469776908</c:v>
                </c:pt>
                <c:pt idx="578">
                  <c:v>0.6157866994925788</c:v>
                </c:pt>
                <c:pt idx="579">
                  <c:v>0.61548180481863202</c:v>
                </c:pt>
                <c:pt idx="580">
                  <c:v>0.6157866994925788</c:v>
                </c:pt>
                <c:pt idx="581">
                  <c:v>0.61548180481863202</c:v>
                </c:pt>
                <c:pt idx="582">
                  <c:v>0.61485456158857976</c:v>
                </c:pt>
                <c:pt idx="583">
                  <c:v>0.61383219838529124</c:v>
                </c:pt>
                <c:pt idx="584">
                  <c:v>0.60885351217395234</c:v>
                </c:pt>
                <c:pt idx="585">
                  <c:v>0.60546540190673914</c:v>
                </c:pt>
                <c:pt idx="586">
                  <c:v>0.60485193924157765</c:v>
                </c:pt>
                <c:pt idx="587">
                  <c:v>0.60485193924157765</c:v>
                </c:pt>
                <c:pt idx="588">
                  <c:v>0.60468631535077955</c:v>
                </c:pt>
                <c:pt idx="589">
                  <c:v>0.60244631049340369</c:v>
                </c:pt>
                <c:pt idx="590">
                  <c:v>0.6011482611140273</c:v>
                </c:pt>
                <c:pt idx="591">
                  <c:v>0.6011482611140273</c:v>
                </c:pt>
                <c:pt idx="592">
                  <c:v>0.6011482611140273</c:v>
                </c:pt>
                <c:pt idx="593">
                  <c:v>0.6011482611140273</c:v>
                </c:pt>
                <c:pt idx="594">
                  <c:v>0.60250076107722372</c:v>
                </c:pt>
                <c:pt idx="595">
                  <c:v>0.60250076107722372</c:v>
                </c:pt>
                <c:pt idx="596">
                  <c:v>0.60485193924157765</c:v>
                </c:pt>
                <c:pt idx="597">
                  <c:v>0.60546540190673914</c:v>
                </c:pt>
                <c:pt idx="598">
                  <c:v>0.60728661032087816</c:v>
                </c:pt>
                <c:pt idx="599">
                  <c:v>0.6074419570701568</c:v>
                </c:pt>
                <c:pt idx="600">
                  <c:v>0.60796305670117134</c:v>
                </c:pt>
                <c:pt idx="601">
                  <c:v>0.60978556533202921</c:v>
                </c:pt>
                <c:pt idx="602">
                  <c:v>0.61485456158857976</c:v>
                </c:pt>
                <c:pt idx="603">
                  <c:v>0.61556300289711874</c:v>
                </c:pt>
                <c:pt idx="604">
                  <c:v>0.61603029372803908</c:v>
                </c:pt>
                <c:pt idx="605">
                  <c:v>0.61724040743262454</c:v>
                </c:pt>
                <c:pt idx="606">
                  <c:v>0.61991452975107386</c:v>
                </c:pt>
                <c:pt idx="607">
                  <c:v>0.62199821780985509</c:v>
                </c:pt>
                <c:pt idx="608">
                  <c:v>0.62735028139657634</c:v>
                </c:pt>
                <c:pt idx="609">
                  <c:v>0.63309863234685992</c:v>
                </c:pt>
                <c:pt idx="610">
                  <c:v>0.63309863234685992</c:v>
                </c:pt>
                <c:pt idx="611">
                  <c:v>0.63309863234685992</c:v>
                </c:pt>
                <c:pt idx="612">
                  <c:v>0.63309863234685992</c:v>
                </c:pt>
                <c:pt idx="613">
                  <c:v>0.63429289702819602</c:v>
                </c:pt>
                <c:pt idx="614">
                  <c:v>0.63429289702819602</c:v>
                </c:pt>
                <c:pt idx="615">
                  <c:v>0.63429289702819602</c:v>
                </c:pt>
                <c:pt idx="616">
                  <c:v>0.63770260273826695</c:v>
                </c:pt>
                <c:pt idx="617">
                  <c:v>0.63770260273826695</c:v>
                </c:pt>
                <c:pt idx="618">
                  <c:v>0.63984860986338432</c:v>
                </c:pt>
                <c:pt idx="619">
                  <c:v>0.64047122935875334</c:v>
                </c:pt>
                <c:pt idx="620">
                  <c:v>0.64228659373902508</c:v>
                </c:pt>
                <c:pt idx="621">
                  <c:v>0.64282119445786212</c:v>
                </c:pt>
                <c:pt idx="622">
                  <c:v>0.64282119445786212</c:v>
                </c:pt>
                <c:pt idx="623">
                  <c:v>0.64282119445786212</c:v>
                </c:pt>
                <c:pt idx="624">
                  <c:v>0.64282119445786212</c:v>
                </c:pt>
                <c:pt idx="625">
                  <c:v>0.64282119445786212</c:v>
                </c:pt>
                <c:pt idx="626">
                  <c:v>0.64282119445786212</c:v>
                </c:pt>
                <c:pt idx="627">
                  <c:v>0.64282119445786212</c:v>
                </c:pt>
                <c:pt idx="628">
                  <c:v>0.64282119445786212</c:v>
                </c:pt>
                <c:pt idx="629">
                  <c:v>0.64282119445786212</c:v>
                </c:pt>
                <c:pt idx="630">
                  <c:v>0.64282119445786212</c:v>
                </c:pt>
                <c:pt idx="631">
                  <c:v>0.64282119445786212</c:v>
                </c:pt>
                <c:pt idx="632">
                  <c:v>0.64282119445786212</c:v>
                </c:pt>
                <c:pt idx="633">
                  <c:v>0.64282119445786212</c:v>
                </c:pt>
                <c:pt idx="634">
                  <c:v>0.64282119445786212</c:v>
                </c:pt>
                <c:pt idx="635">
                  <c:v>0.64282119445786212</c:v>
                </c:pt>
                <c:pt idx="636">
                  <c:v>0.64282119445786212</c:v>
                </c:pt>
                <c:pt idx="637">
                  <c:v>0.64282119445786212</c:v>
                </c:pt>
                <c:pt idx="638">
                  <c:v>0.64282119445786212</c:v>
                </c:pt>
                <c:pt idx="639">
                  <c:v>0.64282119445786212</c:v>
                </c:pt>
                <c:pt idx="640">
                  <c:v>0.64282119445786212</c:v>
                </c:pt>
                <c:pt idx="641">
                  <c:v>0.64282119445786212</c:v>
                </c:pt>
                <c:pt idx="642">
                  <c:v>0.64282119445786212</c:v>
                </c:pt>
                <c:pt idx="643">
                  <c:v>0.64282119445786212</c:v>
                </c:pt>
                <c:pt idx="644">
                  <c:v>0.64282119445786212</c:v>
                </c:pt>
                <c:pt idx="645">
                  <c:v>0.64282119445786212</c:v>
                </c:pt>
                <c:pt idx="646">
                  <c:v>0.64282119445786212</c:v>
                </c:pt>
                <c:pt idx="647">
                  <c:v>0.64282119445786212</c:v>
                </c:pt>
                <c:pt idx="648">
                  <c:v>0.64282119445786212</c:v>
                </c:pt>
                <c:pt idx="649">
                  <c:v>0.64282119445786212</c:v>
                </c:pt>
                <c:pt idx="650">
                  <c:v>0.64211721821864631</c:v>
                </c:pt>
                <c:pt idx="651">
                  <c:v>0.64047122935875334</c:v>
                </c:pt>
                <c:pt idx="652">
                  <c:v>0.63984860986338432</c:v>
                </c:pt>
                <c:pt idx="653">
                  <c:v>0.6377738424343079</c:v>
                </c:pt>
                <c:pt idx="654">
                  <c:v>0.63519714389783521</c:v>
                </c:pt>
                <c:pt idx="655">
                  <c:v>0.63455589507693433</c:v>
                </c:pt>
                <c:pt idx="656">
                  <c:v>0.63338948581864429</c:v>
                </c:pt>
                <c:pt idx="657">
                  <c:v>0.63231718697365191</c:v>
                </c:pt>
                <c:pt idx="658">
                  <c:v>0.63145428693228123</c:v>
                </c:pt>
                <c:pt idx="659">
                  <c:v>0.63119254492995758</c:v>
                </c:pt>
                <c:pt idx="660">
                  <c:v>0.63119254492995758</c:v>
                </c:pt>
                <c:pt idx="661">
                  <c:v>0.63119254492995758</c:v>
                </c:pt>
                <c:pt idx="662">
                  <c:v>0.63145428693228123</c:v>
                </c:pt>
                <c:pt idx="663">
                  <c:v>0.63270510784986644</c:v>
                </c:pt>
                <c:pt idx="664">
                  <c:v>0.63455589507693433</c:v>
                </c:pt>
                <c:pt idx="665">
                  <c:v>0.63455589507693433</c:v>
                </c:pt>
                <c:pt idx="666">
                  <c:v>0.63519714389783521</c:v>
                </c:pt>
                <c:pt idx="667">
                  <c:v>0.6377738424343079</c:v>
                </c:pt>
                <c:pt idx="668">
                  <c:v>0.63781829464162199</c:v>
                </c:pt>
                <c:pt idx="669">
                  <c:v>0.64064942959836568</c:v>
                </c:pt>
                <c:pt idx="670">
                  <c:v>0.64566390501770787</c:v>
                </c:pt>
                <c:pt idx="671">
                  <c:v>0.64593998555615029</c:v>
                </c:pt>
                <c:pt idx="672">
                  <c:v>0.6566639378211</c:v>
                </c:pt>
                <c:pt idx="673">
                  <c:v>0.69954296937856597</c:v>
                </c:pt>
                <c:pt idx="674">
                  <c:v>0.70822505988738782</c:v>
                </c:pt>
                <c:pt idx="675">
                  <c:v>0.72728550120145585</c:v>
                </c:pt>
                <c:pt idx="676">
                  <c:v>0.73022427301167236</c:v>
                </c:pt>
                <c:pt idx="677">
                  <c:v>0.73399800570471374</c:v>
                </c:pt>
                <c:pt idx="678">
                  <c:v>0.73611303994692268</c:v>
                </c:pt>
                <c:pt idx="679">
                  <c:v>0.74422066441830803</c:v>
                </c:pt>
                <c:pt idx="680">
                  <c:v>0.75645535957794086</c:v>
                </c:pt>
                <c:pt idx="681">
                  <c:v>0.75904446555539196</c:v>
                </c:pt>
                <c:pt idx="682">
                  <c:v>0.76980431887803791</c:v>
                </c:pt>
                <c:pt idx="683">
                  <c:v>0.80012396838080679</c:v>
                </c:pt>
                <c:pt idx="684">
                  <c:v>0.80308864304183947</c:v>
                </c:pt>
                <c:pt idx="685">
                  <c:v>0.80799971233730628</c:v>
                </c:pt>
                <c:pt idx="686">
                  <c:v>0.80799971233730628</c:v>
                </c:pt>
                <c:pt idx="687">
                  <c:v>0.80799971233730628</c:v>
                </c:pt>
                <c:pt idx="688">
                  <c:v>0.80799971233730628</c:v>
                </c:pt>
                <c:pt idx="689">
                  <c:v>0.80799971233730628</c:v>
                </c:pt>
                <c:pt idx="690">
                  <c:v>0.81983244994494042</c:v>
                </c:pt>
                <c:pt idx="691">
                  <c:v>0.82391544370443492</c:v>
                </c:pt>
                <c:pt idx="692">
                  <c:v>0.83116285055887973</c:v>
                </c:pt>
                <c:pt idx="693">
                  <c:v>0.83599048310692936</c:v>
                </c:pt>
                <c:pt idx="694">
                  <c:v>0.83884170486657428</c:v>
                </c:pt>
                <c:pt idx="695">
                  <c:v>0.8443182289760145</c:v>
                </c:pt>
                <c:pt idx="696">
                  <c:v>0.8498705585215317</c:v>
                </c:pt>
                <c:pt idx="697">
                  <c:v>0.85353262553469711</c:v>
                </c:pt>
                <c:pt idx="698">
                  <c:v>0.85850425624457483</c:v>
                </c:pt>
                <c:pt idx="699">
                  <c:v>0.86336816574455422</c:v>
                </c:pt>
                <c:pt idx="700">
                  <c:v>0.87277740977903884</c:v>
                </c:pt>
                <c:pt idx="701">
                  <c:v>0.89308812646552183</c:v>
                </c:pt>
                <c:pt idx="702">
                  <c:v>0.90321790918587141</c:v>
                </c:pt>
                <c:pt idx="703">
                  <c:v>0.90894837195682665</c:v>
                </c:pt>
                <c:pt idx="704">
                  <c:v>0.9218989886812452</c:v>
                </c:pt>
                <c:pt idx="705">
                  <c:v>0.92834112923703982</c:v>
                </c:pt>
                <c:pt idx="706">
                  <c:v>0.92834112923703982</c:v>
                </c:pt>
                <c:pt idx="707">
                  <c:v>0.92834112923703982</c:v>
                </c:pt>
                <c:pt idx="708">
                  <c:v>0.92834112923703982</c:v>
                </c:pt>
                <c:pt idx="709">
                  <c:v>0.93799130441445044</c:v>
                </c:pt>
                <c:pt idx="710">
                  <c:v>0.94905267933625947</c:v>
                </c:pt>
                <c:pt idx="711">
                  <c:v>0.95085759517477875</c:v>
                </c:pt>
                <c:pt idx="712">
                  <c:v>0.95681413212656796</c:v>
                </c:pt>
                <c:pt idx="713">
                  <c:v>0.9655722833781416</c:v>
                </c:pt>
                <c:pt idx="714">
                  <c:v>0.96607649265322304</c:v>
                </c:pt>
                <c:pt idx="715">
                  <c:v>0.96690899552769327</c:v>
                </c:pt>
                <c:pt idx="716">
                  <c:v>0.96787938979572408</c:v>
                </c:pt>
                <c:pt idx="717">
                  <c:v>0.97506564547106489</c:v>
                </c:pt>
                <c:pt idx="718">
                  <c:v>0.99250511083829074</c:v>
                </c:pt>
                <c:pt idx="719">
                  <c:v>0.99416675898617646</c:v>
                </c:pt>
                <c:pt idx="720">
                  <c:v>0.99656980329381983</c:v>
                </c:pt>
                <c:pt idx="721">
                  <c:v>1.0038959940316625</c:v>
                </c:pt>
                <c:pt idx="722">
                  <c:v>1.0069139124034718</c:v>
                </c:pt>
                <c:pt idx="723">
                  <c:v>1.0108341557090257</c:v>
                </c:pt>
                <c:pt idx="724">
                  <c:v>1.0149412305288112</c:v>
                </c:pt>
                <c:pt idx="725">
                  <c:v>1.0260717220953428</c:v>
                </c:pt>
                <c:pt idx="726">
                  <c:v>1.0406029019234868</c:v>
                </c:pt>
                <c:pt idx="727">
                  <c:v>1.0555034153872755</c:v>
                </c:pt>
                <c:pt idx="728">
                  <c:v>1.0703253899947049</c:v>
                </c:pt>
                <c:pt idx="729">
                  <c:v>1.0841959867422686</c:v>
                </c:pt>
                <c:pt idx="730">
                  <c:v>1.1041928105201051</c:v>
                </c:pt>
                <c:pt idx="731">
                  <c:v>1.1041928105201051</c:v>
                </c:pt>
                <c:pt idx="732">
                  <c:v>1.1111148997384155</c:v>
                </c:pt>
                <c:pt idx="733">
                  <c:v>1.1140717587663551</c:v>
                </c:pt>
                <c:pt idx="734">
                  <c:v>1.1187210449336806</c:v>
                </c:pt>
                <c:pt idx="735">
                  <c:v>1.1234904315433936</c:v>
                </c:pt>
                <c:pt idx="736">
                  <c:v>1.1234904315433936</c:v>
                </c:pt>
                <c:pt idx="737">
                  <c:v>1.127037118752886</c:v>
                </c:pt>
                <c:pt idx="738">
                  <c:v>1.1309932845145565</c:v>
                </c:pt>
                <c:pt idx="739">
                  <c:v>1.1435945153515568</c:v>
                </c:pt>
                <c:pt idx="740">
                  <c:v>1.1479625870174868</c:v>
                </c:pt>
                <c:pt idx="741">
                  <c:v>1.1479625870174868</c:v>
                </c:pt>
                <c:pt idx="742">
                  <c:v>1.1479625870174868</c:v>
                </c:pt>
                <c:pt idx="743">
                  <c:v>1.1502382533804689</c:v>
                </c:pt>
                <c:pt idx="744">
                  <c:v>1.1544668676568326</c:v>
                </c:pt>
                <c:pt idx="745">
                  <c:v>1.1556515995871441</c:v>
                </c:pt>
                <c:pt idx="746">
                  <c:v>1.1638914589816314</c:v>
                </c:pt>
                <c:pt idx="747">
                  <c:v>1.1831835305106364</c:v>
                </c:pt>
                <c:pt idx="748">
                  <c:v>1.1980857814302932</c:v>
                </c:pt>
                <c:pt idx="749">
                  <c:v>1.1987718136495442</c:v>
                </c:pt>
                <c:pt idx="750">
                  <c:v>1.1987718136495442</c:v>
                </c:pt>
                <c:pt idx="751">
                  <c:v>1.1987718136495442</c:v>
                </c:pt>
                <c:pt idx="752">
                  <c:v>1.1987718136495442</c:v>
                </c:pt>
                <c:pt idx="753">
                  <c:v>1.1987718136495442</c:v>
                </c:pt>
                <c:pt idx="754">
                  <c:v>1.1987718136495442</c:v>
                </c:pt>
                <c:pt idx="755">
                  <c:v>1.1987718136495442</c:v>
                </c:pt>
                <c:pt idx="756">
                  <c:v>1.2002758784218275</c:v>
                </c:pt>
                <c:pt idx="757">
                  <c:v>1.2028854252007366</c:v>
                </c:pt>
                <c:pt idx="758">
                  <c:v>1.2040525746506319</c:v>
                </c:pt>
                <c:pt idx="759">
                  <c:v>1.2071118265406855</c:v>
                </c:pt>
                <c:pt idx="760">
                  <c:v>1.2090810854092326</c:v>
                </c:pt>
                <c:pt idx="761">
                  <c:v>1.2100551686273096</c:v>
                </c:pt>
                <c:pt idx="762">
                  <c:v>1.2139121985632184</c:v>
                </c:pt>
                <c:pt idx="763">
                  <c:v>1.2204099691218184</c:v>
                </c:pt>
                <c:pt idx="764">
                  <c:v>1.2245438805936679</c:v>
                </c:pt>
                <c:pt idx="765">
                  <c:v>1.2359780363914816</c:v>
                </c:pt>
                <c:pt idx="766">
                  <c:v>1.2422400587208129</c:v>
                </c:pt>
                <c:pt idx="767">
                  <c:v>1.2483898899366579</c:v>
                </c:pt>
                <c:pt idx="768">
                  <c:v>1.2483898899366579</c:v>
                </c:pt>
                <c:pt idx="769">
                  <c:v>1.2538354230987983</c:v>
                </c:pt>
                <c:pt idx="770">
                  <c:v>1.2538354230987983</c:v>
                </c:pt>
                <c:pt idx="771">
                  <c:v>1.2538354230987983</c:v>
                </c:pt>
                <c:pt idx="772">
                  <c:v>1.2538354230987983</c:v>
                </c:pt>
                <c:pt idx="773">
                  <c:v>1.2538354230987983</c:v>
                </c:pt>
                <c:pt idx="774">
                  <c:v>1.2538354230987983</c:v>
                </c:pt>
                <c:pt idx="775">
                  <c:v>1.256330481335012</c:v>
                </c:pt>
                <c:pt idx="776">
                  <c:v>1.2586977240653705</c:v>
                </c:pt>
                <c:pt idx="777">
                  <c:v>1.2642509128006143</c:v>
                </c:pt>
                <c:pt idx="778">
                  <c:v>1.2747141219852143</c:v>
                </c:pt>
                <c:pt idx="779">
                  <c:v>1.2776354237233216</c:v>
                </c:pt>
                <c:pt idx="780">
                  <c:v>1.2856772283532483</c:v>
                </c:pt>
                <c:pt idx="781">
                  <c:v>1.2953921666548069</c:v>
                </c:pt>
                <c:pt idx="782">
                  <c:v>1.3089020890136074</c:v>
                </c:pt>
                <c:pt idx="783">
                  <c:v>1.3305067200823082</c:v>
                </c:pt>
                <c:pt idx="784">
                  <c:v>1.3403363904146717</c:v>
                </c:pt>
                <c:pt idx="785">
                  <c:v>1.3538615530473397</c:v>
                </c:pt>
                <c:pt idx="786">
                  <c:v>1.3572669290107497</c:v>
                </c:pt>
                <c:pt idx="787">
                  <c:v>1.3704604606288764</c:v>
                </c:pt>
                <c:pt idx="788">
                  <c:v>1.3924466418969319</c:v>
                </c:pt>
                <c:pt idx="789">
                  <c:v>1.4140025363781499</c:v>
                </c:pt>
                <c:pt idx="790">
                  <c:v>1.4140025363781499</c:v>
                </c:pt>
                <c:pt idx="791">
                  <c:v>1.4140025363781499</c:v>
                </c:pt>
                <c:pt idx="792">
                  <c:v>1.4140025363781499</c:v>
                </c:pt>
                <c:pt idx="793">
                  <c:v>1.4140025363781499</c:v>
                </c:pt>
                <c:pt idx="794">
                  <c:v>1.4233107994222844</c:v>
                </c:pt>
                <c:pt idx="795">
                  <c:v>1.4233107994222844</c:v>
                </c:pt>
                <c:pt idx="796">
                  <c:v>1.4233107994222844</c:v>
                </c:pt>
                <c:pt idx="797">
                  <c:v>1.4233107994222844</c:v>
                </c:pt>
                <c:pt idx="798">
                  <c:v>1.4233107994222844</c:v>
                </c:pt>
                <c:pt idx="799">
                  <c:v>1.4233107994222844</c:v>
                </c:pt>
                <c:pt idx="800">
                  <c:v>1.4233107994222844</c:v>
                </c:pt>
                <c:pt idx="801">
                  <c:v>1.4233107994222844</c:v>
                </c:pt>
                <c:pt idx="802">
                  <c:v>1.4233107994222844</c:v>
                </c:pt>
                <c:pt idx="803">
                  <c:v>1.4233107994222844</c:v>
                </c:pt>
                <c:pt idx="804">
                  <c:v>1.4233107994222844</c:v>
                </c:pt>
                <c:pt idx="805">
                  <c:v>1.4233107994222844</c:v>
                </c:pt>
                <c:pt idx="806">
                  <c:v>1.4233107994222844</c:v>
                </c:pt>
                <c:pt idx="807">
                  <c:v>1.4233107994222844</c:v>
                </c:pt>
                <c:pt idx="808">
                  <c:v>1.4233107994222844</c:v>
                </c:pt>
                <c:pt idx="809">
                  <c:v>1.4233107994222844</c:v>
                </c:pt>
                <c:pt idx="810">
                  <c:v>1.4233107994222844</c:v>
                </c:pt>
                <c:pt idx="811">
                  <c:v>1.4233107994222844</c:v>
                </c:pt>
                <c:pt idx="812">
                  <c:v>1.4263273087709603</c:v>
                </c:pt>
                <c:pt idx="813">
                  <c:v>1.4263273087709603</c:v>
                </c:pt>
                <c:pt idx="814">
                  <c:v>1.4263273087709603</c:v>
                </c:pt>
                <c:pt idx="815">
                  <c:v>1.4263273087709603</c:v>
                </c:pt>
                <c:pt idx="816">
                  <c:v>1.4263273087709603</c:v>
                </c:pt>
                <c:pt idx="817">
                  <c:v>1.4263273087709603</c:v>
                </c:pt>
                <c:pt idx="818">
                  <c:v>1.4263273087709603</c:v>
                </c:pt>
                <c:pt idx="819">
                  <c:v>1.4263273087709603</c:v>
                </c:pt>
                <c:pt idx="820">
                  <c:v>1.4263273087709603</c:v>
                </c:pt>
                <c:pt idx="821">
                  <c:v>1.4263273087709603</c:v>
                </c:pt>
                <c:pt idx="822">
                  <c:v>1.4263273087709603</c:v>
                </c:pt>
                <c:pt idx="823">
                  <c:v>1.4263273087709603</c:v>
                </c:pt>
                <c:pt idx="824">
                  <c:v>1.4263273087709603</c:v>
                </c:pt>
                <c:pt idx="825">
                  <c:v>1.4263273087709603</c:v>
                </c:pt>
                <c:pt idx="826">
                  <c:v>1.4263273087709603</c:v>
                </c:pt>
                <c:pt idx="827">
                  <c:v>1.4233107994222844</c:v>
                </c:pt>
                <c:pt idx="828">
                  <c:v>1.4137249872264073</c:v>
                </c:pt>
                <c:pt idx="829">
                  <c:v>1.4089288197769516</c:v>
                </c:pt>
                <c:pt idx="830">
                  <c:v>1.407718408574492</c:v>
                </c:pt>
                <c:pt idx="831">
                  <c:v>1.3929493326469111</c:v>
                </c:pt>
                <c:pt idx="832">
                  <c:v>1.3876199932994671</c:v>
                </c:pt>
                <c:pt idx="833">
                  <c:v>1.3866562415715331</c:v>
                </c:pt>
                <c:pt idx="834">
                  <c:v>1.3846889145286387</c:v>
                </c:pt>
                <c:pt idx="835">
                  <c:v>1.3807423035331214</c:v>
                </c:pt>
                <c:pt idx="836">
                  <c:v>1.3715294583745949</c:v>
                </c:pt>
                <c:pt idx="837">
                  <c:v>1.3670888058417772</c:v>
                </c:pt>
                <c:pt idx="838">
                  <c:v>1.3638086743464113</c:v>
                </c:pt>
                <c:pt idx="839">
                  <c:v>1.3562754020918724</c:v>
                </c:pt>
                <c:pt idx="840">
                  <c:v>1.3518057200414886</c:v>
                </c:pt>
                <c:pt idx="841">
                  <c:v>1.3475304099258556</c:v>
                </c:pt>
                <c:pt idx="842">
                  <c:v>1.3422136008526213</c:v>
                </c:pt>
                <c:pt idx="843">
                  <c:v>1.3344615311416821</c:v>
                </c:pt>
                <c:pt idx="844">
                  <c:v>1.3317249523422043</c:v>
                </c:pt>
                <c:pt idx="845">
                  <c:v>1.3216062514112625</c:v>
                </c:pt>
                <c:pt idx="846">
                  <c:v>1.3171612110764888</c:v>
                </c:pt>
                <c:pt idx="847">
                  <c:v>1.3171612110764888</c:v>
                </c:pt>
                <c:pt idx="848">
                  <c:v>1.3135201234337464</c:v>
                </c:pt>
                <c:pt idx="849">
                  <c:v>1.3135201234337464</c:v>
                </c:pt>
                <c:pt idx="850">
                  <c:v>1.3062833680722425</c:v>
                </c:pt>
                <c:pt idx="851">
                  <c:v>1.3021106539086158</c:v>
                </c:pt>
                <c:pt idx="852">
                  <c:v>1.2909935258450462</c:v>
                </c:pt>
                <c:pt idx="853">
                  <c:v>1.2909935258450462</c:v>
                </c:pt>
                <c:pt idx="854">
                  <c:v>1.3021106539086158</c:v>
                </c:pt>
                <c:pt idx="855">
                  <c:v>1.3043718117254519</c:v>
                </c:pt>
                <c:pt idx="856">
                  <c:v>1.3066984512178319</c:v>
                </c:pt>
                <c:pt idx="857">
                  <c:v>1.3180256828428019</c:v>
                </c:pt>
                <c:pt idx="858">
                  <c:v>1.3180256828428019</c:v>
                </c:pt>
                <c:pt idx="859">
                  <c:v>1.3180256828428019</c:v>
                </c:pt>
                <c:pt idx="860">
                  <c:v>1.3180256828428019</c:v>
                </c:pt>
                <c:pt idx="861">
                  <c:v>1.3180256828428019</c:v>
                </c:pt>
                <c:pt idx="862">
                  <c:v>1.3081843753266345</c:v>
                </c:pt>
                <c:pt idx="863">
                  <c:v>1.305282202907309</c:v>
                </c:pt>
                <c:pt idx="864">
                  <c:v>1.291646769480582</c:v>
                </c:pt>
                <c:pt idx="865">
                  <c:v>1.2847605114013096</c:v>
                </c:pt>
                <c:pt idx="866">
                  <c:v>1.2830991937678236</c:v>
                </c:pt>
                <c:pt idx="867">
                  <c:v>1.2741817714631578</c:v>
                </c:pt>
                <c:pt idx="868">
                  <c:v>1.2678307987773823</c:v>
                </c:pt>
                <c:pt idx="869">
                  <c:v>1.2605377425082605</c:v>
                </c:pt>
                <c:pt idx="870">
                  <c:v>1.2510007250877222</c:v>
                </c:pt>
                <c:pt idx="871">
                  <c:v>1.2475079239582472</c:v>
                </c:pt>
                <c:pt idx="872">
                  <c:v>1.2530461586655284</c:v>
                </c:pt>
                <c:pt idx="873">
                  <c:v>1.2678307987773823</c:v>
                </c:pt>
                <c:pt idx="874">
                  <c:v>1.2678307987773823</c:v>
                </c:pt>
                <c:pt idx="875">
                  <c:v>1.2741817714631578</c:v>
                </c:pt>
                <c:pt idx="876">
                  <c:v>1.2830991937678236</c:v>
                </c:pt>
                <c:pt idx="877">
                  <c:v>1.2891405531981295</c:v>
                </c:pt>
                <c:pt idx="878">
                  <c:v>1.305282202907309</c:v>
                </c:pt>
                <c:pt idx="879">
                  <c:v>1.3081843753266345</c:v>
                </c:pt>
                <c:pt idx="880">
                  <c:v>1.3120847457519793</c:v>
                </c:pt>
                <c:pt idx="881">
                  <c:v>1.3297267941188364</c:v>
                </c:pt>
                <c:pt idx="882">
                  <c:v>1.3297267941188364</c:v>
                </c:pt>
                <c:pt idx="883">
                  <c:v>1.3351798660231853</c:v>
                </c:pt>
                <c:pt idx="884">
                  <c:v>1.3396480023452113</c:v>
                </c:pt>
                <c:pt idx="885">
                  <c:v>1.3396480023452113</c:v>
                </c:pt>
                <c:pt idx="886">
                  <c:v>1.3396480023452113</c:v>
                </c:pt>
                <c:pt idx="887">
                  <c:v>1.3396480023452113</c:v>
                </c:pt>
                <c:pt idx="888">
                  <c:v>1.3396480023452113</c:v>
                </c:pt>
                <c:pt idx="889">
                  <c:v>1.3396480023452113</c:v>
                </c:pt>
                <c:pt idx="890">
                  <c:v>1.3396480023452113</c:v>
                </c:pt>
                <c:pt idx="891">
                  <c:v>1.3396480023452113</c:v>
                </c:pt>
                <c:pt idx="892">
                  <c:v>1.3396480023452113</c:v>
                </c:pt>
                <c:pt idx="893">
                  <c:v>1.3396480023452113</c:v>
                </c:pt>
                <c:pt idx="894">
                  <c:v>1.3396480023452113</c:v>
                </c:pt>
                <c:pt idx="895">
                  <c:v>1.3396480023452113</c:v>
                </c:pt>
                <c:pt idx="896">
                  <c:v>1.3396480023452113</c:v>
                </c:pt>
                <c:pt idx="897">
                  <c:v>1.3396480023452113</c:v>
                </c:pt>
                <c:pt idx="898">
                  <c:v>1.3396480023452113</c:v>
                </c:pt>
                <c:pt idx="899">
                  <c:v>1.3396480023452113</c:v>
                </c:pt>
                <c:pt idx="900">
                  <c:v>1.3396480023452113</c:v>
                </c:pt>
                <c:pt idx="901">
                  <c:v>1.3396480023452113</c:v>
                </c:pt>
                <c:pt idx="902">
                  <c:v>1.3396480023452113</c:v>
                </c:pt>
                <c:pt idx="903">
                  <c:v>1.3396480023452113</c:v>
                </c:pt>
                <c:pt idx="904">
                  <c:v>1.3396480023452113</c:v>
                </c:pt>
                <c:pt idx="905">
                  <c:v>1.3396480023452113</c:v>
                </c:pt>
                <c:pt idx="906">
                  <c:v>1.3396480023452113</c:v>
                </c:pt>
                <c:pt idx="907">
                  <c:v>1.3301032895454246</c:v>
                </c:pt>
                <c:pt idx="908">
                  <c:v>1.3160671747671824</c:v>
                </c:pt>
                <c:pt idx="909">
                  <c:v>1.3080956033545126</c:v>
                </c:pt>
                <c:pt idx="910">
                  <c:v>1.2643971559475375</c:v>
                </c:pt>
                <c:pt idx="911">
                  <c:v>1.2643971559475375</c:v>
                </c:pt>
                <c:pt idx="912">
                  <c:v>1.2643971559475375</c:v>
                </c:pt>
                <c:pt idx="913">
                  <c:v>1.2643971559475375</c:v>
                </c:pt>
                <c:pt idx="914">
                  <c:v>1.2643971559475375</c:v>
                </c:pt>
                <c:pt idx="915">
                  <c:v>1.2643971559475375</c:v>
                </c:pt>
                <c:pt idx="916">
                  <c:v>1.2634015494323063</c:v>
                </c:pt>
                <c:pt idx="917">
                  <c:v>1.2610453328809255</c:v>
                </c:pt>
                <c:pt idx="918">
                  <c:v>1.2610453328809255</c:v>
                </c:pt>
                <c:pt idx="919">
                  <c:v>1.2610453328809255</c:v>
                </c:pt>
                <c:pt idx="920">
                  <c:v>1.2600718940150601</c:v>
                </c:pt>
                <c:pt idx="921">
                  <c:v>1.2600718940150601</c:v>
                </c:pt>
                <c:pt idx="922">
                  <c:v>1.2600718940150601</c:v>
                </c:pt>
                <c:pt idx="923">
                  <c:v>1.2452151212776972</c:v>
                </c:pt>
                <c:pt idx="924">
                  <c:v>1.1908530392370074</c:v>
                </c:pt>
                <c:pt idx="925">
                  <c:v>1.1626188709242944</c:v>
                </c:pt>
                <c:pt idx="926">
                  <c:v>1.1517175989721287</c:v>
                </c:pt>
                <c:pt idx="927">
                  <c:v>1.1223598528172767</c:v>
                </c:pt>
                <c:pt idx="928">
                  <c:v>1.0711699176677194</c:v>
                </c:pt>
                <c:pt idx="929">
                  <c:v>1.0552891300402938</c:v>
                </c:pt>
                <c:pt idx="930">
                  <c:v>1.0460494249643508</c:v>
                </c:pt>
                <c:pt idx="931">
                  <c:v>1.0427284127082108</c:v>
                </c:pt>
                <c:pt idx="932">
                  <c:v>1.0306031669636058</c:v>
                </c:pt>
                <c:pt idx="933">
                  <c:v>1.0070035573232752</c:v>
                </c:pt>
                <c:pt idx="934">
                  <c:v>0.99529194414911049</c:v>
                </c:pt>
                <c:pt idx="935">
                  <c:v>0.9563104512619387</c:v>
                </c:pt>
                <c:pt idx="936">
                  <c:v>0.93005365127401429</c:v>
                </c:pt>
                <c:pt idx="937">
                  <c:v>0.91746150034162177</c:v>
                </c:pt>
                <c:pt idx="938">
                  <c:v>0.91133745307915126</c:v>
                </c:pt>
                <c:pt idx="939">
                  <c:v>0.88862601712529288</c:v>
                </c:pt>
                <c:pt idx="940">
                  <c:v>0.88036795150684044</c:v>
                </c:pt>
                <c:pt idx="941">
                  <c:v>0.864502112148402</c:v>
                </c:pt>
                <c:pt idx="942">
                  <c:v>0.84837662374612699</c:v>
                </c:pt>
                <c:pt idx="943">
                  <c:v>0.83937760004104867</c:v>
                </c:pt>
                <c:pt idx="944">
                  <c:v>0.8305966569950739</c:v>
                </c:pt>
                <c:pt idx="945">
                  <c:v>0.8218539516192932</c:v>
                </c:pt>
                <c:pt idx="946">
                  <c:v>0.81945204961285645</c:v>
                </c:pt>
                <c:pt idx="947">
                  <c:v>0.81567289474153648</c:v>
                </c:pt>
                <c:pt idx="948">
                  <c:v>0.81408747143352489</c:v>
                </c:pt>
                <c:pt idx="949">
                  <c:v>0.80998434686159648</c:v>
                </c:pt>
                <c:pt idx="950">
                  <c:v>0.80401666841339947</c:v>
                </c:pt>
                <c:pt idx="951">
                  <c:v>0.80087536791490699</c:v>
                </c:pt>
                <c:pt idx="952">
                  <c:v>0.7998888773763142</c:v>
                </c:pt>
                <c:pt idx="953">
                  <c:v>0.7882541571662981</c:v>
                </c:pt>
                <c:pt idx="954">
                  <c:v>0.77883260147804401</c:v>
                </c:pt>
                <c:pt idx="955">
                  <c:v>0.75559690120073464</c:v>
                </c:pt>
                <c:pt idx="956">
                  <c:v>0.73795325337970341</c:v>
                </c:pt>
                <c:pt idx="957">
                  <c:v>0.72118842661664539</c:v>
                </c:pt>
                <c:pt idx="958">
                  <c:v>0.71625308607683102</c:v>
                </c:pt>
                <c:pt idx="959">
                  <c:v>0.7123056013206629</c:v>
                </c:pt>
                <c:pt idx="960">
                  <c:v>0.67262220510815152</c:v>
                </c:pt>
                <c:pt idx="961">
                  <c:v>0.65402990310189812</c:v>
                </c:pt>
                <c:pt idx="962">
                  <c:v>0.64637103743462243</c:v>
                </c:pt>
                <c:pt idx="963">
                  <c:v>0.63335448930127491</c:v>
                </c:pt>
                <c:pt idx="964">
                  <c:v>0.62955769831599906</c:v>
                </c:pt>
                <c:pt idx="965">
                  <c:v>0.62565086022699934</c:v>
                </c:pt>
                <c:pt idx="966">
                  <c:v>0.61402999941440528</c:v>
                </c:pt>
                <c:pt idx="967">
                  <c:v>0.59878034361506438</c:v>
                </c:pt>
                <c:pt idx="968">
                  <c:v>0.5900755603691511</c:v>
                </c:pt>
                <c:pt idx="969">
                  <c:v>0.57913807381550086</c:v>
                </c:pt>
                <c:pt idx="970">
                  <c:v>0.57540077183326632</c:v>
                </c:pt>
                <c:pt idx="971">
                  <c:v>0.56887599767197394</c:v>
                </c:pt>
                <c:pt idx="972">
                  <c:v>0.56367836092334522</c:v>
                </c:pt>
                <c:pt idx="973">
                  <c:v>0.55895320996150522</c:v>
                </c:pt>
                <c:pt idx="974">
                  <c:v>0.55047183120675547</c:v>
                </c:pt>
                <c:pt idx="975">
                  <c:v>0.54121402765110316</c:v>
                </c:pt>
                <c:pt idx="976">
                  <c:v>0.51853472576803528</c:v>
                </c:pt>
                <c:pt idx="977">
                  <c:v>0.50996575124765742</c:v>
                </c:pt>
                <c:pt idx="978">
                  <c:v>0.50728163581553853</c:v>
                </c:pt>
                <c:pt idx="979">
                  <c:v>0.50728163581553853</c:v>
                </c:pt>
                <c:pt idx="980">
                  <c:v>0.49713495938109387</c:v>
                </c:pt>
                <c:pt idx="981">
                  <c:v>0.49494571453223196</c:v>
                </c:pt>
                <c:pt idx="982">
                  <c:v>0.49320800570075018</c:v>
                </c:pt>
                <c:pt idx="983">
                  <c:v>0.49278021619476048</c:v>
                </c:pt>
                <c:pt idx="984">
                  <c:v>0.49041470884281002</c:v>
                </c:pt>
                <c:pt idx="985">
                  <c:v>0.48774247282726496</c:v>
                </c:pt>
                <c:pt idx="986">
                  <c:v>0.48646265746904543</c:v>
                </c:pt>
                <c:pt idx="987">
                  <c:v>0.48587657164699904</c:v>
                </c:pt>
                <c:pt idx="988">
                  <c:v>0.48546626206559462</c:v>
                </c:pt>
                <c:pt idx="989">
                  <c:v>0.48444700321670814</c:v>
                </c:pt>
                <c:pt idx="990">
                  <c:v>0.48256351855386614</c:v>
                </c:pt>
                <c:pt idx="991">
                  <c:v>0.4819943205035368</c:v>
                </c:pt>
                <c:pt idx="992">
                  <c:v>0.4819943205035368</c:v>
                </c:pt>
                <c:pt idx="993">
                  <c:v>0.4819943205035368</c:v>
                </c:pt>
                <c:pt idx="994">
                  <c:v>0.4819943205035368</c:v>
                </c:pt>
                <c:pt idx="995">
                  <c:v>0.4819943205035368</c:v>
                </c:pt>
                <c:pt idx="996">
                  <c:v>0.4819943205035368</c:v>
                </c:pt>
                <c:pt idx="997">
                  <c:v>0.4819943205035368</c:v>
                </c:pt>
                <c:pt idx="998">
                  <c:v>0.4815841895150812</c:v>
                </c:pt>
                <c:pt idx="999">
                  <c:v>0.47903380300992132</c:v>
                </c:pt>
                <c:pt idx="1000">
                  <c:v>0.47903380300992132</c:v>
                </c:pt>
                <c:pt idx="1001">
                  <c:v>0.47715154651281083</c:v>
                </c:pt>
                <c:pt idx="1002">
                  <c:v>0.47715154651281083</c:v>
                </c:pt>
                <c:pt idx="1003">
                  <c:v>0.47647963705236063</c:v>
                </c:pt>
                <c:pt idx="1004">
                  <c:v>0.47264508564424496</c:v>
                </c:pt>
                <c:pt idx="1005">
                  <c:v>0.46972925940437338</c:v>
                </c:pt>
                <c:pt idx="1006">
                  <c:v>0.46667533729148952</c:v>
                </c:pt>
                <c:pt idx="1007">
                  <c:v>0.46522366118059916</c:v>
                </c:pt>
                <c:pt idx="1008">
                  <c:v>0.46522366118059916</c:v>
                </c:pt>
                <c:pt idx="1009">
                  <c:v>0.46522366118059916</c:v>
                </c:pt>
                <c:pt idx="1010">
                  <c:v>0.46522366118059916</c:v>
                </c:pt>
                <c:pt idx="1011">
                  <c:v>0.46522366118059916</c:v>
                </c:pt>
                <c:pt idx="1012">
                  <c:v>0.46522366118059916</c:v>
                </c:pt>
                <c:pt idx="1013">
                  <c:v>0.46484458414530477</c:v>
                </c:pt>
                <c:pt idx="1014">
                  <c:v>0.46484458414530477</c:v>
                </c:pt>
                <c:pt idx="1015">
                  <c:v>0.46484458414530477</c:v>
                </c:pt>
                <c:pt idx="1016">
                  <c:v>0.46484458414530477</c:v>
                </c:pt>
                <c:pt idx="1017">
                  <c:v>0.46090223759308424</c:v>
                </c:pt>
                <c:pt idx="1018">
                  <c:v>0.45533790882437092</c:v>
                </c:pt>
                <c:pt idx="1019">
                  <c:v>0.45013898628677801</c:v>
                </c:pt>
                <c:pt idx="1020">
                  <c:v>0.44400063955398167</c:v>
                </c:pt>
                <c:pt idx="1021">
                  <c:v>0.44093733061126311</c:v>
                </c:pt>
                <c:pt idx="1022">
                  <c:v>0.43991562972854198</c:v>
                </c:pt>
                <c:pt idx="1023">
                  <c:v>0.43863167066998171</c:v>
                </c:pt>
                <c:pt idx="1024">
                  <c:v>0.43723001088073277</c:v>
                </c:pt>
                <c:pt idx="1025">
                  <c:v>0.43466141728876539</c:v>
                </c:pt>
                <c:pt idx="1026">
                  <c:v>0.4321520109457011</c:v>
                </c:pt>
                <c:pt idx="1027">
                  <c:v>0.42969808015594335</c:v>
                </c:pt>
                <c:pt idx="1028">
                  <c:v>0.42643382818434783</c:v>
                </c:pt>
                <c:pt idx="1029">
                  <c:v>0.42560896325075392</c:v>
                </c:pt>
                <c:pt idx="1030">
                  <c:v>0.42390256202161908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AC22-41F4-A914-B9BE69AE6336}"/>
            </c:ext>
          </c:extLst>
        </c:ser>
        <c:ser>
          <c:idx val="5"/>
          <c:order val="5"/>
          <c:tx>
            <c:strRef>
              <c:f>Indice!$AN$5</c:f>
              <c:strCache>
                <c:ptCount val="1"/>
                <c:pt idx="0">
                  <c:v>Q90</c:v>
                </c:pt>
              </c:strCache>
            </c:strRef>
          </c:tx>
          <c:spPr>
            <a:ln w="28575" cap="rnd">
              <a:solidFill>
                <a:srgbClr val="C00000"/>
              </a:solidFill>
              <a:prstDash val="sysDot"/>
              <a:round/>
            </a:ln>
            <a:effectLst/>
          </c:spPr>
          <c:marker>
            <c:symbol val="none"/>
          </c:marker>
          <c:cat>
            <c:numRef>
              <c:f>Indice!$AH$58:$AH$1500</c:f>
              <c:numCache>
                <c:formatCode>m/d/yyyy</c:formatCode>
                <c:ptCount val="1443"/>
                <c:pt idx="0">
                  <c:v>39087</c:v>
                </c:pt>
                <c:pt idx="1">
                  <c:v>39094</c:v>
                </c:pt>
                <c:pt idx="2">
                  <c:v>39101</c:v>
                </c:pt>
                <c:pt idx="3">
                  <c:v>39108</c:v>
                </c:pt>
                <c:pt idx="4">
                  <c:v>39115</c:v>
                </c:pt>
                <c:pt idx="5">
                  <c:v>39122</c:v>
                </c:pt>
                <c:pt idx="6">
                  <c:v>39129</c:v>
                </c:pt>
                <c:pt idx="7">
                  <c:v>39136</c:v>
                </c:pt>
                <c:pt idx="8">
                  <c:v>39143</c:v>
                </c:pt>
                <c:pt idx="9">
                  <c:v>39150</c:v>
                </c:pt>
                <c:pt idx="10">
                  <c:v>39157</c:v>
                </c:pt>
                <c:pt idx="11">
                  <c:v>39164</c:v>
                </c:pt>
                <c:pt idx="12">
                  <c:v>39171</c:v>
                </c:pt>
                <c:pt idx="13">
                  <c:v>39178</c:v>
                </c:pt>
                <c:pt idx="14">
                  <c:v>39185</c:v>
                </c:pt>
                <c:pt idx="15">
                  <c:v>39192</c:v>
                </c:pt>
                <c:pt idx="16">
                  <c:v>39199</c:v>
                </c:pt>
                <c:pt idx="17">
                  <c:v>39206</c:v>
                </c:pt>
                <c:pt idx="18">
                  <c:v>39213</c:v>
                </c:pt>
                <c:pt idx="19">
                  <c:v>39220</c:v>
                </c:pt>
                <c:pt idx="20">
                  <c:v>39227</c:v>
                </c:pt>
                <c:pt idx="21">
                  <c:v>39234</c:v>
                </c:pt>
                <c:pt idx="22">
                  <c:v>39241</c:v>
                </c:pt>
                <c:pt idx="23">
                  <c:v>39248</c:v>
                </c:pt>
                <c:pt idx="24">
                  <c:v>39255</c:v>
                </c:pt>
                <c:pt idx="25">
                  <c:v>39262</c:v>
                </c:pt>
                <c:pt idx="26">
                  <c:v>39269</c:v>
                </c:pt>
                <c:pt idx="27">
                  <c:v>39276</c:v>
                </c:pt>
                <c:pt idx="28">
                  <c:v>39283</c:v>
                </c:pt>
                <c:pt idx="29">
                  <c:v>39290</c:v>
                </c:pt>
                <c:pt idx="30">
                  <c:v>39297</c:v>
                </c:pt>
                <c:pt idx="31">
                  <c:v>39304</c:v>
                </c:pt>
                <c:pt idx="32">
                  <c:v>39311</c:v>
                </c:pt>
                <c:pt idx="33">
                  <c:v>39318</c:v>
                </c:pt>
                <c:pt idx="34">
                  <c:v>39325</c:v>
                </c:pt>
                <c:pt idx="35">
                  <c:v>39332</c:v>
                </c:pt>
                <c:pt idx="36">
                  <c:v>39339</c:v>
                </c:pt>
                <c:pt idx="37">
                  <c:v>39346</c:v>
                </c:pt>
                <c:pt idx="38">
                  <c:v>39353</c:v>
                </c:pt>
                <c:pt idx="39">
                  <c:v>39360</c:v>
                </c:pt>
                <c:pt idx="40">
                  <c:v>39367</c:v>
                </c:pt>
                <c:pt idx="41">
                  <c:v>39374</c:v>
                </c:pt>
                <c:pt idx="42">
                  <c:v>39381</c:v>
                </c:pt>
                <c:pt idx="43">
                  <c:v>39388</c:v>
                </c:pt>
                <c:pt idx="44">
                  <c:v>39395</c:v>
                </c:pt>
                <c:pt idx="45">
                  <c:v>39402</c:v>
                </c:pt>
                <c:pt idx="46">
                  <c:v>39409</c:v>
                </c:pt>
                <c:pt idx="47">
                  <c:v>39416</c:v>
                </c:pt>
                <c:pt idx="48">
                  <c:v>39423</c:v>
                </c:pt>
                <c:pt idx="49">
                  <c:v>39430</c:v>
                </c:pt>
                <c:pt idx="50">
                  <c:v>39437</c:v>
                </c:pt>
                <c:pt idx="51">
                  <c:v>39444</c:v>
                </c:pt>
                <c:pt idx="52">
                  <c:v>39451</c:v>
                </c:pt>
                <c:pt idx="53">
                  <c:v>39458</c:v>
                </c:pt>
                <c:pt idx="54">
                  <c:v>39465</c:v>
                </c:pt>
                <c:pt idx="55">
                  <c:v>39472</c:v>
                </c:pt>
                <c:pt idx="56">
                  <c:v>39479</c:v>
                </c:pt>
                <c:pt idx="57">
                  <c:v>39486</c:v>
                </c:pt>
                <c:pt idx="58">
                  <c:v>39493</c:v>
                </c:pt>
                <c:pt idx="59">
                  <c:v>39500</c:v>
                </c:pt>
                <c:pt idx="60">
                  <c:v>39507</c:v>
                </c:pt>
                <c:pt idx="61">
                  <c:v>39514</c:v>
                </c:pt>
                <c:pt idx="62">
                  <c:v>39521</c:v>
                </c:pt>
                <c:pt idx="63">
                  <c:v>39528</c:v>
                </c:pt>
                <c:pt idx="64">
                  <c:v>39535</c:v>
                </c:pt>
                <c:pt idx="65">
                  <c:v>39542</c:v>
                </c:pt>
                <c:pt idx="66">
                  <c:v>39549</c:v>
                </c:pt>
                <c:pt idx="67">
                  <c:v>39556</c:v>
                </c:pt>
                <c:pt idx="68">
                  <c:v>39563</c:v>
                </c:pt>
                <c:pt idx="69">
                  <c:v>39570</c:v>
                </c:pt>
                <c:pt idx="70">
                  <c:v>39577</c:v>
                </c:pt>
                <c:pt idx="71">
                  <c:v>39584</c:v>
                </c:pt>
                <c:pt idx="72">
                  <c:v>39591</c:v>
                </c:pt>
                <c:pt idx="73">
                  <c:v>39598</c:v>
                </c:pt>
                <c:pt idx="74">
                  <c:v>39605</c:v>
                </c:pt>
                <c:pt idx="75">
                  <c:v>39612</c:v>
                </c:pt>
                <c:pt idx="76">
                  <c:v>39619</c:v>
                </c:pt>
                <c:pt idx="77">
                  <c:v>39626</c:v>
                </c:pt>
                <c:pt idx="78">
                  <c:v>39633</c:v>
                </c:pt>
                <c:pt idx="79">
                  <c:v>39640</c:v>
                </c:pt>
                <c:pt idx="80">
                  <c:v>39647</c:v>
                </c:pt>
                <c:pt idx="81">
                  <c:v>39654</c:v>
                </c:pt>
                <c:pt idx="82">
                  <c:v>39661</c:v>
                </c:pt>
                <c:pt idx="83">
                  <c:v>39668</c:v>
                </c:pt>
                <c:pt idx="84">
                  <c:v>39675</c:v>
                </c:pt>
                <c:pt idx="85">
                  <c:v>39682</c:v>
                </c:pt>
                <c:pt idx="86">
                  <c:v>39689</c:v>
                </c:pt>
                <c:pt idx="87">
                  <c:v>39696</c:v>
                </c:pt>
                <c:pt idx="88">
                  <c:v>39703</c:v>
                </c:pt>
                <c:pt idx="89">
                  <c:v>39710</c:v>
                </c:pt>
                <c:pt idx="90">
                  <c:v>39717</c:v>
                </c:pt>
                <c:pt idx="91">
                  <c:v>39724</c:v>
                </c:pt>
                <c:pt idx="92">
                  <c:v>39731</c:v>
                </c:pt>
                <c:pt idx="93">
                  <c:v>39738</c:v>
                </c:pt>
                <c:pt idx="94">
                  <c:v>39745</c:v>
                </c:pt>
                <c:pt idx="95">
                  <c:v>39752</c:v>
                </c:pt>
                <c:pt idx="96">
                  <c:v>39759</c:v>
                </c:pt>
                <c:pt idx="97">
                  <c:v>39766</c:v>
                </c:pt>
                <c:pt idx="98">
                  <c:v>39773</c:v>
                </c:pt>
                <c:pt idx="99">
                  <c:v>39780</c:v>
                </c:pt>
                <c:pt idx="100">
                  <c:v>39787</c:v>
                </c:pt>
                <c:pt idx="101">
                  <c:v>39794</c:v>
                </c:pt>
                <c:pt idx="102">
                  <c:v>39801</c:v>
                </c:pt>
                <c:pt idx="103">
                  <c:v>39808</c:v>
                </c:pt>
                <c:pt idx="104">
                  <c:v>39815</c:v>
                </c:pt>
                <c:pt idx="105">
                  <c:v>39822</c:v>
                </c:pt>
                <c:pt idx="106">
                  <c:v>39829</c:v>
                </c:pt>
                <c:pt idx="107">
                  <c:v>39836</c:v>
                </c:pt>
                <c:pt idx="108">
                  <c:v>39843</c:v>
                </c:pt>
                <c:pt idx="109">
                  <c:v>39850</c:v>
                </c:pt>
                <c:pt idx="110">
                  <c:v>39857</c:v>
                </c:pt>
                <c:pt idx="111">
                  <c:v>39864</c:v>
                </c:pt>
                <c:pt idx="112">
                  <c:v>39871</c:v>
                </c:pt>
                <c:pt idx="113">
                  <c:v>39878</c:v>
                </c:pt>
                <c:pt idx="114">
                  <c:v>39885</c:v>
                </c:pt>
                <c:pt idx="115">
                  <c:v>39892</c:v>
                </c:pt>
                <c:pt idx="116">
                  <c:v>39899</c:v>
                </c:pt>
                <c:pt idx="117">
                  <c:v>39906</c:v>
                </c:pt>
                <c:pt idx="118">
                  <c:v>39913</c:v>
                </c:pt>
                <c:pt idx="119">
                  <c:v>39920</c:v>
                </c:pt>
                <c:pt idx="120">
                  <c:v>39927</c:v>
                </c:pt>
                <c:pt idx="121">
                  <c:v>39934</c:v>
                </c:pt>
                <c:pt idx="122">
                  <c:v>39941</c:v>
                </c:pt>
                <c:pt idx="123">
                  <c:v>39948</c:v>
                </c:pt>
                <c:pt idx="124">
                  <c:v>39955</c:v>
                </c:pt>
                <c:pt idx="125">
                  <c:v>39962</c:v>
                </c:pt>
                <c:pt idx="126">
                  <c:v>39969</c:v>
                </c:pt>
                <c:pt idx="127">
                  <c:v>39976</c:v>
                </c:pt>
                <c:pt idx="128">
                  <c:v>39983</c:v>
                </c:pt>
                <c:pt idx="129">
                  <c:v>39990</c:v>
                </c:pt>
                <c:pt idx="130">
                  <c:v>39997</c:v>
                </c:pt>
                <c:pt idx="131">
                  <c:v>40004</c:v>
                </c:pt>
                <c:pt idx="132">
                  <c:v>40011</c:v>
                </c:pt>
                <c:pt idx="133">
                  <c:v>40018</c:v>
                </c:pt>
                <c:pt idx="134">
                  <c:v>40025</c:v>
                </c:pt>
                <c:pt idx="135">
                  <c:v>40032</c:v>
                </c:pt>
                <c:pt idx="136">
                  <c:v>40039</c:v>
                </c:pt>
                <c:pt idx="137">
                  <c:v>40046</c:v>
                </c:pt>
                <c:pt idx="138">
                  <c:v>40053</c:v>
                </c:pt>
                <c:pt idx="139">
                  <c:v>40060</c:v>
                </c:pt>
                <c:pt idx="140">
                  <c:v>40067</c:v>
                </c:pt>
                <c:pt idx="141">
                  <c:v>40074</c:v>
                </c:pt>
                <c:pt idx="142">
                  <c:v>40081</c:v>
                </c:pt>
                <c:pt idx="143">
                  <c:v>40088</c:v>
                </c:pt>
                <c:pt idx="144">
                  <c:v>40095</c:v>
                </c:pt>
                <c:pt idx="145">
                  <c:v>40102</c:v>
                </c:pt>
                <c:pt idx="146">
                  <c:v>40109</c:v>
                </c:pt>
                <c:pt idx="147">
                  <c:v>40116</c:v>
                </c:pt>
                <c:pt idx="148">
                  <c:v>40123</c:v>
                </c:pt>
                <c:pt idx="149">
                  <c:v>40130</c:v>
                </c:pt>
                <c:pt idx="150">
                  <c:v>40137</c:v>
                </c:pt>
                <c:pt idx="151">
                  <c:v>40144</c:v>
                </c:pt>
                <c:pt idx="152">
                  <c:v>40151</c:v>
                </c:pt>
                <c:pt idx="153">
                  <c:v>40158</c:v>
                </c:pt>
                <c:pt idx="154">
                  <c:v>40165</c:v>
                </c:pt>
                <c:pt idx="155">
                  <c:v>40172</c:v>
                </c:pt>
                <c:pt idx="156">
                  <c:v>40179</c:v>
                </c:pt>
                <c:pt idx="157">
                  <c:v>40186</c:v>
                </c:pt>
                <c:pt idx="158">
                  <c:v>40193</c:v>
                </c:pt>
                <c:pt idx="159">
                  <c:v>40200</c:v>
                </c:pt>
                <c:pt idx="160">
                  <c:v>40207</c:v>
                </c:pt>
                <c:pt idx="161">
                  <c:v>40214</c:v>
                </c:pt>
                <c:pt idx="162">
                  <c:v>40221</c:v>
                </c:pt>
                <c:pt idx="163">
                  <c:v>40228</c:v>
                </c:pt>
                <c:pt idx="164">
                  <c:v>40235</c:v>
                </c:pt>
                <c:pt idx="165">
                  <c:v>40242</c:v>
                </c:pt>
                <c:pt idx="166">
                  <c:v>40249</c:v>
                </c:pt>
                <c:pt idx="167">
                  <c:v>40256</c:v>
                </c:pt>
                <c:pt idx="168">
                  <c:v>40263</c:v>
                </c:pt>
                <c:pt idx="169">
                  <c:v>40270</c:v>
                </c:pt>
                <c:pt idx="170">
                  <c:v>40277</c:v>
                </c:pt>
                <c:pt idx="171">
                  <c:v>40284</c:v>
                </c:pt>
                <c:pt idx="172">
                  <c:v>40291</c:v>
                </c:pt>
                <c:pt idx="173">
                  <c:v>40298</c:v>
                </c:pt>
                <c:pt idx="174">
                  <c:v>40305</c:v>
                </c:pt>
                <c:pt idx="175">
                  <c:v>40312</c:v>
                </c:pt>
                <c:pt idx="176">
                  <c:v>40319</c:v>
                </c:pt>
                <c:pt idx="177">
                  <c:v>40326</c:v>
                </c:pt>
                <c:pt idx="178">
                  <c:v>40333</c:v>
                </c:pt>
                <c:pt idx="179">
                  <c:v>40340</c:v>
                </c:pt>
                <c:pt idx="180">
                  <c:v>40347</c:v>
                </c:pt>
                <c:pt idx="181">
                  <c:v>40354</c:v>
                </c:pt>
                <c:pt idx="182">
                  <c:v>40361</c:v>
                </c:pt>
                <c:pt idx="183">
                  <c:v>40368</c:v>
                </c:pt>
                <c:pt idx="184">
                  <c:v>40375</c:v>
                </c:pt>
                <c:pt idx="185">
                  <c:v>40382</c:v>
                </c:pt>
                <c:pt idx="186">
                  <c:v>40389</c:v>
                </c:pt>
                <c:pt idx="187">
                  <c:v>40396</c:v>
                </c:pt>
                <c:pt idx="188">
                  <c:v>40403</c:v>
                </c:pt>
                <c:pt idx="189">
                  <c:v>40410</c:v>
                </c:pt>
                <c:pt idx="190">
                  <c:v>40417</c:v>
                </c:pt>
                <c:pt idx="191">
                  <c:v>40424</c:v>
                </c:pt>
                <c:pt idx="192">
                  <c:v>40431</c:v>
                </c:pt>
                <c:pt idx="193">
                  <c:v>40438</c:v>
                </c:pt>
                <c:pt idx="194">
                  <c:v>40445</c:v>
                </c:pt>
                <c:pt idx="195">
                  <c:v>40452</c:v>
                </c:pt>
                <c:pt idx="196">
                  <c:v>40459</c:v>
                </c:pt>
                <c:pt idx="197">
                  <c:v>40466</c:v>
                </c:pt>
                <c:pt idx="198">
                  <c:v>40473</c:v>
                </c:pt>
                <c:pt idx="199">
                  <c:v>40480</c:v>
                </c:pt>
                <c:pt idx="200">
                  <c:v>40487</c:v>
                </c:pt>
                <c:pt idx="201">
                  <c:v>40494</c:v>
                </c:pt>
                <c:pt idx="202">
                  <c:v>40501</c:v>
                </c:pt>
                <c:pt idx="203">
                  <c:v>40508</c:v>
                </c:pt>
                <c:pt idx="204">
                  <c:v>40515</c:v>
                </c:pt>
                <c:pt idx="205">
                  <c:v>40522</c:v>
                </c:pt>
                <c:pt idx="206">
                  <c:v>40529</c:v>
                </c:pt>
                <c:pt idx="207">
                  <c:v>40536</c:v>
                </c:pt>
                <c:pt idx="208">
                  <c:v>40543</c:v>
                </c:pt>
                <c:pt idx="209">
                  <c:v>40550</c:v>
                </c:pt>
                <c:pt idx="210">
                  <c:v>40557</c:v>
                </c:pt>
                <c:pt idx="211">
                  <c:v>40564</c:v>
                </c:pt>
                <c:pt idx="212">
                  <c:v>40571</c:v>
                </c:pt>
                <c:pt idx="213">
                  <c:v>40578</c:v>
                </c:pt>
                <c:pt idx="214">
                  <c:v>40585</c:v>
                </c:pt>
                <c:pt idx="215">
                  <c:v>40592</c:v>
                </c:pt>
                <c:pt idx="216">
                  <c:v>40599</c:v>
                </c:pt>
                <c:pt idx="217">
                  <c:v>40606</c:v>
                </c:pt>
                <c:pt idx="218">
                  <c:v>40613</c:v>
                </c:pt>
                <c:pt idx="219">
                  <c:v>40620</c:v>
                </c:pt>
                <c:pt idx="220">
                  <c:v>40627</c:v>
                </c:pt>
                <c:pt idx="221">
                  <c:v>40634</c:v>
                </c:pt>
                <c:pt idx="222">
                  <c:v>40641</c:v>
                </c:pt>
                <c:pt idx="223">
                  <c:v>40648</c:v>
                </c:pt>
                <c:pt idx="224">
                  <c:v>40655</c:v>
                </c:pt>
                <c:pt idx="225">
                  <c:v>40662</c:v>
                </c:pt>
                <c:pt idx="226">
                  <c:v>40669</c:v>
                </c:pt>
                <c:pt idx="227">
                  <c:v>40676</c:v>
                </c:pt>
                <c:pt idx="228">
                  <c:v>40683</c:v>
                </c:pt>
                <c:pt idx="229">
                  <c:v>40690</c:v>
                </c:pt>
                <c:pt idx="230">
                  <c:v>40697</c:v>
                </c:pt>
                <c:pt idx="231">
                  <c:v>40704</c:v>
                </c:pt>
                <c:pt idx="232">
                  <c:v>40711</c:v>
                </c:pt>
                <c:pt idx="233">
                  <c:v>40718</c:v>
                </c:pt>
                <c:pt idx="234">
                  <c:v>40725</c:v>
                </c:pt>
                <c:pt idx="235">
                  <c:v>40732</c:v>
                </c:pt>
                <c:pt idx="236">
                  <c:v>40739</c:v>
                </c:pt>
                <c:pt idx="237">
                  <c:v>40746</c:v>
                </c:pt>
                <c:pt idx="238">
                  <c:v>40753</c:v>
                </c:pt>
                <c:pt idx="239">
                  <c:v>40760</c:v>
                </c:pt>
                <c:pt idx="240">
                  <c:v>40767</c:v>
                </c:pt>
                <c:pt idx="241">
                  <c:v>40774</c:v>
                </c:pt>
                <c:pt idx="242">
                  <c:v>40781</c:v>
                </c:pt>
                <c:pt idx="243">
                  <c:v>40788</c:v>
                </c:pt>
                <c:pt idx="244">
                  <c:v>40795</c:v>
                </c:pt>
                <c:pt idx="245">
                  <c:v>40802</c:v>
                </c:pt>
                <c:pt idx="246">
                  <c:v>40809</c:v>
                </c:pt>
                <c:pt idx="247">
                  <c:v>40816</c:v>
                </c:pt>
                <c:pt idx="248">
                  <c:v>40823</c:v>
                </c:pt>
                <c:pt idx="249">
                  <c:v>40830</c:v>
                </c:pt>
                <c:pt idx="250">
                  <c:v>40837</c:v>
                </c:pt>
                <c:pt idx="251">
                  <c:v>40844</c:v>
                </c:pt>
                <c:pt idx="252">
                  <c:v>40851</c:v>
                </c:pt>
                <c:pt idx="253">
                  <c:v>40858</c:v>
                </c:pt>
                <c:pt idx="254">
                  <c:v>40865</c:v>
                </c:pt>
                <c:pt idx="255">
                  <c:v>40872</c:v>
                </c:pt>
                <c:pt idx="256">
                  <c:v>40879</c:v>
                </c:pt>
                <c:pt idx="257">
                  <c:v>40886</c:v>
                </c:pt>
                <c:pt idx="258">
                  <c:v>40893</c:v>
                </c:pt>
                <c:pt idx="259">
                  <c:v>40900</c:v>
                </c:pt>
                <c:pt idx="260">
                  <c:v>40907</c:v>
                </c:pt>
                <c:pt idx="261">
                  <c:v>40914</c:v>
                </c:pt>
                <c:pt idx="262">
                  <c:v>40921</c:v>
                </c:pt>
                <c:pt idx="263">
                  <c:v>40928</c:v>
                </c:pt>
                <c:pt idx="264">
                  <c:v>40935</c:v>
                </c:pt>
                <c:pt idx="265">
                  <c:v>40942</c:v>
                </c:pt>
                <c:pt idx="266">
                  <c:v>40949</c:v>
                </c:pt>
                <c:pt idx="267">
                  <c:v>40956</c:v>
                </c:pt>
                <c:pt idx="268">
                  <c:v>40963</c:v>
                </c:pt>
                <c:pt idx="269">
                  <c:v>40970</c:v>
                </c:pt>
                <c:pt idx="270">
                  <c:v>40977</c:v>
                </c:pt>
                <c:pt idx="271">
                  <c:v>40984</c:v>
                </c:pt>
                <c:pt idx="272">
                  <c:v>40991</c:v>
                </c:pt>
                <c:pt idx="273">
                  <c:v>40998</c:v>
                </c:pt>
                <c:pt idx="274">
                  <c:v>41005</c:v>
                </c:pt>
                <c:pt idx="275">
                  <c:v>41012</c:v>
                </c:pt>
                <c:pt idx="276">
                  <c:v>41019</c:v>
                </c:pt>
                <c:pt idx="277">
                  <c:v>41026</c:v>
                </c:pt>
                <c:pt idx="278">
                  <c:v>41033</c:v>
                </c:pt>
                <c:pt idx="279">
                  <c:v>41040</c:v>
                </c:pt>
                <c:pt idx="280">
                  <c:v>41047</c:v>
                </c:pt>
                <c:pt idx="281">
                  <c:v>41054</c:v>
                </c:pt>
                <c:pt idx="282">
                  <c:v>41061</c:v>
                </c:pt>
                <c:pt idx="283">
                  <c:v>41068</c:v>
                </c:pt>
                <c:pt idx="284">
                  <c:v>41075</c:v>
                </c:pt>
                <c:pt idx="285">
                  <c:v>41082</c:v>
                </c:pt>
                <c:pt idx="286">
                  <c:v>41089</c:v>
                </c:pt>
                <c:pt idx="287">
                  <c:v>41096</c:v>
                </c:pt>
                <c:pt idx="288">
                  <c:v>41103</c:v>
                </c:pt>
                <c:pt idx="289">
                  <c:v>41110</c:v>
                </c:pt>
                <c:pt idx="290">
                  <c:v>41117</c:v>
                </c:pt>
                <c:pt idx="291">
                  <c:v>41124</c:v>
                </c:pt>
                <c:pt idx="292">
                  <c:v>41131</c:v>
                </c:pt>
                <c:pt idx="293">
                  <c:v>41138</c:v>
                </c:pt>
                <c:pt idx="294">
                  <c:v>41145</c:v>
                </c:pt>
                <c:pt idx="295">
                  <c:v>41152</c:v>
                </c:pt>
                <c:pt idx="296">
                  <c:v>41159</c:v>
                </c:pt>
                <c:pt idx="297">
                  <c:v>41166</c:v>
                </c:pt>
                <c:pt idx="298">
                  <c:v>41173</c:v>
                </c:pt>
                <c:pt idx="299">
                  <c:v>41180</c:v>
                </c:pt>
                <c:pt idx="300">
                  <c:v>41187</c:v>
                </c:pt>
                <c:pt idx="301">
                  <c:v>41194</c:v>
                </c:pt>
                <c:pt idx="302">
                  <c:v>41201</c:v>
                </c:pt>
                <c:pt idx="303">
                  <c:v>41208</c:v>
                </c:pt>
                <c:pt idx="304">
                  <c:v>41215</c:v>
                </c:pt>
                <c:pt idx="305">
                  <c:v>41222</c:v>
                </c:pt>
                <c:pt idx="306">
                  <c:v>41229</c:v>
                </c:pt>
                <c:pt idx="307">
                  <c:v>41236</c:v>
                </c:pt>
                <c:pt idx="308">
                  <c:v>41243</c:v>
                </c:pt>
                <c:pt idx="309">
                  <c:v>41250</c:v>
                </c:pt>
                <c:pt idx="310">
                  <c:v>41257</c:v>
                </c:pt>
                <c:pt idx="311">
                  <c:v>41264</c:v>
                </c:pt>
                <c:pt idx="312">
                  <c:v>41271</c:v>
                </c:pt>
                <c:pt idx="313">
                  <c:v>41278</c:v>
                </c:pt>
                <c:pt idx="314">
                  <c:v>41285</c:v>
                </c:pt>
                <c:pt idx="315">
                  <c:v>41292</c:v>
                </c:pt>
                <c:pt idx="316">
                  <c:v>41299</c:v>
                </c:pt>
                <c:pt idx="317">
                  <c:v>41306</c:v>
                </c:pt>
                <c:pt idx="318">
                  <c:v>41313</c:v>
                </c:pt>
                <c:pt idx="319">
                  <c:v>41320</c:v>
                </c:pt>
                <c:pt idx="320">
                  <c:v>41327</c:v>
                </c:pt>
                <c:pt idx="321">
                  <c:v>41334</c:v>
                </c:pt>
                <c:pt idx="322">
                  <c:v>41341</c:v>
                </c:pt>
                <c:pt idx="323">
                  <c:v>41348</c:v>
                </c:pt>
                <c:pt idx="324">
                  <c:v>41355</c:v>
                </c:pt>
                <c:pt idx="325">
                  <c:v>41362</c:v>
                </c:pt>
                <c:pt idx="326">
                  <c:v>41369</c:v>
                </c:pt>
                <c:pt idx="327">
                  <c:v>41376</c:v>
                </c:pt>
                <c:pt idx="328">
                  <c:v>41383</c:v>
                </c:pt>
                <c:pt idx="329">
                  <c:v>41390</c:v>
                </c:pt>
                <c:pt idx="330">
                  <c:v>41397</c:v>
                </c:pt>
                <c:pt idx="331">
                  <c:v>41404</c:v>
                </c:pt>
                <c:pt idx="332">
                  <c:v>41411</c:v>
                </c:pt>
                <c:pt idx="333">
                  <c:v>41418</c:v>
                </c:pt>
                <c:pt idx="334">
                  <c:v>41425</c:v>
                </c:pt>
                <c:pt idx="335">
                  <c:v>41432</c:v>
                </c:pt>
                <c:pt idx="336">
                  <c:v>41439</c:v>
                </c:pt>
                <c:pt idx="337">
                  <c:v>41446</c:v>
                </c:pt>
                <c:pt idx="338">
                  <c:v>41453</c:v>
                </c:pt>
                <c:pt idx="339">
                  <c:v>41460</c:v>
                </c:pt>
                <c:pt idx="340">
                  <c:v>41467</c:v>
                </c:pt>
                <c:pt idx="341">
                  <c:v>41474</c:v>
                </c:pt>
                <c:pt idx="342">
                  <c:v>41481</c:v>
                </c:pt>
                <c:pt idx="343">
                  <c:v>41488</c:v>
                </c:pt>
                <c:pt idx="344">
                  <c:v>41495</c:v>
                </c:pt>
                <c:pt idx="345">
                  <c:v>41502</c:v>
                </c:pt>
                <c:pt idx="346">
                  <c:v>41509</c:v>
                </c:pt>
                <c:pt idx="347">
                  <c:v>41516</c:v>
                </c:pt>
                <c:pt idx="348">
                  <c:v>41523</c:v>
                </c:pt>
                <c:pt idx="349">
                  <c:v>41530</c:v>
                </c:pt>
                <c:pt idx="350">
                  <c:v>41537</c:v>
                </c:pt>
                <c:pt idx="351">
                  <c:v>41544</c:v>
                </c:pt>
                <c:pt idx="352">
                  <c:v>41551</c:v>
                </c:pt>
                <c:pt idx="353">
                  <c:v>41558</c:v>
                </c:pt>
                <c:pt idx="354">
                  <c:v>41565</c:v>
                </c:pt>
                <c:pt idx="355">
                  <c:v>41572</c:v>
                </c:pt>
                <c:pt idx="356">
                  <c:v>41579</c:v>
                </c:pt>
                <c:pt idx="357">
                  <c:v>41586</c:v>
                </c:pt>
                <c:pt idx="358">
                  <c:v>41593</c:v>
                </c:pt>
                <c:pt idx="359">
                  <c:v>41600</c:v>
                </c:pt>
                <c:pt idx="360">
                  <c:v>41607</c:v>
                </c:pt>
                <c:pt idx="361">
                  <c:v>41614</c:v>
                </c:pt>
                <c:pt idx="362">
                  <c:v>41621</c:v>
                </c:pt>
                <c:pt idx="363">
                  <c:v>41628</c:v>
                </c:pt>
                <c:pt idx="364">
                  <c:v>41635</c:v>
                </c:pt>
                <c:pt idx="365">
                  <c:v>41642</c:v>
                </c:pt>
                <c:pt idx="366">
                  <c:v>41649</c:v>
                </c:pt>
                <c:pt idx="367">
                  <c:v>41656</c:v>
                </c:pt>
                <c:pt idx="368">
                  <c:v>41663</c:v>
                </c:pt>
                <c:pt idx="369">
                  <c:v>41670</c:v>
                </c:pt>
                <c:pt idx="370">
                  <c:v>41677</c:v>
                </c:pt>
                <c:pt idx="371">
                  <c:v>41684</c:v>
                </c:pt>
                <c:pt idx="372">
                  <c:v>41691</c:v>
                </c:pt>
                <c:pt idx="373">
                  <c:v>41698</c:v>
                </c:pt>
                <c:pt idx="374">
                  <c:v>41705</c:v>
                </c:pt>
                <c:pt idx="375">
                  <c:v>41712</c:v>
                </c:pt>
                <c:pt idx="376">
                  <c:v>41719</c:v>
                </c:pt>
                <c:pt idx="377">
                  <c:v>41726</c:v>
                </c:pt>
                <c:pt idx="378">
                  <c:v>41733</c:v>
                </c:pt>
                <c:pt idx="379">
                  <c:v>41740</c:v>
                </c:pt>
                <c:pt idx="380">
                  <c:v>41747</c:v>
                </c:pt>
                <c:pt idx="381">
                  <c:v>41754</c:v>
                </c:pt>
                <c:pt idx="382">
                  <c:v>41761</c:v>
                </c:pt>
                <c:pt idx="383">
                  <c:v>41768</c:v>
                </c:pt>
                <c:pt idx="384">
                  <c:v>41775</c:v>
                </c:pt>
                <c:pt idx="385">
                  <c:v>41782</c:v>
                </c:pt>
                <c:pt idx="386">
                  <c:v>41789</c:v>
                </c:pt>
                <c:pt idx="387">
                  <c:v>41796</c:v>
                </c:pt>
                <c:pt idx="388">
                  <c:v>41803</c:v>
                </c:pt>
                <c:pt idx="389">
                  <c:v>41810</c:v>
                </c:pt>
                <c:pt idx="390">
                  <c:v>41817</c:v>
                </c:pt>
                <c:pt idx="391">
                  <c:v>41824</c:v>
                </c:pt>
                <c:pt idx="392">
                  <c:v>41831</c:v>
                </c:pt>
                <c:pt idx="393">
                  <c:v>41838</c:v>
                </c:pt>
                <c:pt idx="394">
                  <c:v>41845</c:v>
                </c:pt>
                <c:pt idx="395">
                  <c:v>41852</c:v>
                </c:pt>
                <c:pt idx="396">
                  <c:v>41859</c:v>
                </c:pt>
                <c:pt idx="397">
                  <c:v>41866</c:v>
                </c:pt>
                <c:pt idx="398">
                  <c:v>41873</c:v>
                </c:pt>
                <c:pt idx="399">
                  <c:v>41880</c:v>
                </c:pt>
                <c:pt idx="400">
                  <c:v>41887</c:v>
                </c:pt>
                <c:pt idx="401">
                  <c:v>41894</c:v>
                </c:pt>
                <c:pt idx="402">
                  <c:v>41901</c:v>
                </c:pt>
                <c:pt idx="403">
                  <c:v>41908</c:v>
                </c:pt>
                <c:pt idx="404">
                  <c:v>41915</c:v>
                </c:pt>
                <c:pt idx="405">
                  <c:v>41922</c:v>
                </c:pt>
                <c:pt idx="406">
                  <c:v>41929</c:v>
                </c:pt>
                <c:pt idx="407">
                  <c:v>41936</c:v>
                </c:pt>
                <c:pt idx="408">
                  <c:v>41943</c:v>
                </c:pt>
                <c:pt idx="409">
                  <c:v>41950</c:v>
                </c:pt>
                <c:pt idx="410">
                  <c:v>41957</c:v>
                </c:pt>
                <c:pt idx="411">
                  <c:v>41964</c:v>
                </c:pt>
                <c:pt idx="412">
                  <c:v>41971</c:v>
                </c:pt>
                <c:pt idx="413">
                  <c:v>41978</c:v>
                </c:pt>
                <c:pt idx="414">
                  <c:v>41985</c:v>
                </c:pt>
                <c:pt idx="415">
                  <c:v>41992</c:v>
                </c:pt>
                <c:pt idx="416">
                  <c:v>41999</c:v>
                </c:pt>
                <c:pt idx="417">
                  <c:v>42006</c:v>
                </c:pt>
                <c:pt idx="418">
                  <c:v>42013</c:v>
                </c:pt>
                <c:pt idx="419">
                  <c:v>42020</c:v>
                </c:pt>
                <c:pt idx="420">
                  <c:v>42027</c:v>
                </c:pt>
                <c:pt idx="421">
                  <c:v>42034</c:v>
                </c:pt>
                <c:pt idx="422">
                  <c:v>42041</c:v>
                </c:pt>
                <c:pt idx="423">
                  <c:v>42048</c:v>
                </c:pt>
                <c:pt idx="424">
                  <c:v>42055</c:v>
                </c:pt>
                <c:pt idx="425">
                  <c:v>42062</c:v>
                </c:pt>
                <c:pt idx="426">
                  <c:v>42069</c:v>
                </c:pt>
                <c:pt idx="427">
                  <c:v>42076</c:v>
                </c:pt>
                <c:pt idx="428">
                  <c:v>42083</c:v>
                </c:pt>
                <c:pt idx="429">
                  <c:v>42090</c:v>
                </c:pt>
                <c:pt idx="430">
                  <c:v>42097</c:v>
                </c:pt>
                <c:pt idx="431">
                  <c:v>42104</c:v>
                </c:pt>
                <c:pt idx="432">
                  <c:v>42111</c:v>
                </c:pt>
                <c:pt idx="433">
                  <c:v>42118</c:v>
                </c:pt>
                <c:pt idx="434">
                  <c:v>42125</c:v>
                </c:pt>
                <c:pt idx="435">
                  <c:v>42132</c:v>
                </c:pt>
                <c:pt idx="436">
                  <c:v>42139</c:v>
                </c:pt>
                <c:pt idx="437">
                  <c:v>42146</c:v>
                </c:pt>
                <c:pt idx="438">
                  <c:v>42153</c:v>
                </c:pt>
                <c:pt idx="439">
                  <c:v>42160</c:v>
                </c:pt>
                <c:pt idx="440">
                  <c:v>42167</c:v>
                </c:pt>
                <c:pt idx="441">
                  <c:v>42174</c:v>
                </c:pt>
                <c:pt idx="442">
                  <c:v>42181</c:v>
                </c:pt>
                <c:pt idx="443">
                  <c:v>42188</c:v>
                </c:pt>
                <c:pt idx="444">
                  <c:v>42195</c:v>
                </c:pt>
                <c:pt idx="445">
                  <c:v>42202</c:v>
                </c:pt>
                <c:pt idx="446">
                  <c:v>42209</c:v>
                </c:pt>
                <c:pt idx="447">
                  <c:v>42216</c:v>
                </c:pt>
                <c:pt idx="448">
                  <c:v>42223</c:v>
                </c:pt>
                <c:pt idx="449">
                  <c:v>42230</c:v>
                </c:pt>
                <c:pt idx="450">
                  <c:v>42237</c:v>
                </c:pt>
                <c:pt idx="451">
                  <c:v>42244</c:v>
                </c:pt>
                <c:pt idx="452">
                  <c:v>42251</c:v>
                </c:pt>
                <c:pt idx="453">
                  <c:v>42258</c:v>
                </c:pt>
                <c:pt idx="454">
                  <c:v>42265</c:v>
                </c:pt>
                <c:pt idx="455">
                  <c:v>42272</c:v>
                </c:pt>
                <c:pt idx="456">
                  <c:v>42279</c:v>
                </c:pt>
                <c:pt idx="457">
                  <c:v>42286</c:v>
                </c:pt>
                <c:pt idx="458">
                  <c:v>42293</c:v>
                </c:pt>
                <c:pt idx="459">
                  <c:v>42300</c:v>
                </c:pt>
                <c:pt idx="460">
                  <c:v>42307</c:v>
                </c:pt>
                <c:pt idx="461">
                  <c:v>42314</c:v>
                </c:pt>
                <c:pt idx="462">
                  <c:v>42321</c:v>
                </c:pt>
                <c:pt idx="463">
                  <c:v>42328</c:v>
                </c:pt>
                <c:pt idx="464">
                  <c:v>42335</c:v>
                </c:pt>
                <c:pt idx="465">
                  <c:v>42342</c:v>
                </c:pt>
                <c:pt idx="466">
                  <c:v>42349</c:v>
                </c:pt>
                <c:pt idx="467">
                  <c:v>42356</c:v>
                </c:pt>
                <c:pt idx="468">
                  <c:v>42363</c:v>
                </c:pt>
                <c:pt idx="469">
                  <c:v>42370</c:v>
                </c:pt>
                <c:pt idx="470">
                  <c:v>42377</c:v>
                </c:pt>
                <c:pt idx="471">
                  <c:v>42384</c:v>
                </c:pt>
                <c:pt idx="472">
                  <c:v>42391</c:v>
                </c:pt>
                <c:pt idx="473">
                  <c:v>42398</c:v>
                </c:pt>
                <c:pt idx="474">
                  <c:v>42405</c:v>
                </c:pt>
                <c:pt idx="475">
                  <c:v>42412</c:v>
                </c:pt>
                <c:pt idx="476">
                  <c:v>42419</c:v>
                </c:pt>
                <c:pt idx="477">
                  <c:v>42426</c:v>
                </c:pt>
                <c:pt idx="478">
                  <c:v>42433</c:v>
                </c:pt>
                <c:pt idx="479">
                  <c:v>42440</c:v>
                </c:pt>
                <c:pt idx="480">
                  <c:v>42447</c:v>
                </c:pt>
                <c:pt idx="481">
                  <c:v>42454</c:v>
                </c:pt>
                <c:pt idx="482">
                  <c:v>42461</c:v>
                </c:pt>
                <c:pt idx="483">
                  <c:v>42468</c:v>
                </c:pt>
                <c:pt idx="484">
                  <c:v>42475</c:v>
                </c:pt>
                <c:pt idx="485">
                  <c:v>42482</c:v>
                </c:pt>
                <c:pt idx="486">
                  <c:v>42489</c:v>
                </c:pt>
                <c:pt idx="487">
                  <c:v>42496</c:v>
                </c:pt>
                <c:pt idx="488">
                  <c:v>42503</c:v>
                </c:pt>
                <c:pt idx="489">
                  <c:v>42510</c:v>
                </c:pt>
                <c:pt idx="490">
                  <c:v>42517</c:v>
                </c:pt>
                <c:pt idx="491">
                  <c:v>42524</c:v>
                </c:pt>
                <c:pt idx="492">
                  <c:v>42531</c:v>
                </c:pt>
                <c:pt idx="493">
                  <c:v>42538</c:v>
                </c:pt>
                <c:pt idx="494">
                  <c:v>42545</c:v>
                </c:pt>
                <c:pt idx="495">
                  <c:v>42552</c:v>
                </c:pt>
                <c:pt idx="496">
                  <c:v>42559</c:v>
                </c:pt>
                <c:pt idx="497">
                  <c:v>42566</c:v>
                </c:pt>
                <c:pt idx="498">
                  <c:v>42573</c:v>
                </c:pt>
                <c:pt idx="499">
                  <c:v>42580</c:v>
                </c:pt>
                <c:pt idx="500">
                  <c:v>42587</c:v>
                </c:pt>
                <c:pt idx="501">
                  <c:v>42594</c:v>
                </c:pt>
                <c:pt idx="502">
                  <c:v>42601</c:v>
                </c:pt>
                <c:pt idx="503">
                  <c:v>42608</c:v>
                </c:pt>
                <c:pt idx="504">
                  <c:v>42615</c:v>
                </c:pt>
                <c:pt idx="505">
                  <c:v>42622</c:v>
                </c:pt>
                <c:pt idx="506">
                  <c:v>42629</c:v>
                </c:pt>
                <c:pt idx="507">
                  <c:v>42636</c:v>
                </c:pt>
                <c:pt idx="508">
                  <c:v>42643</c:v>
                </c:pt>
                <c:pt idx="509">
                  <c:v>42650</c:v>
                </c:pt>
                <c:pt idx="510">
                  <c:v>42657</c:v>
                </c:pt>
                <c:pt idx="511">
                  <c:v>42664</c:v>
                </c:pt>
                <c:pt idx="512">
                  <c:v>42671</c:v>
                </c:pt>
                <c:pt idx="513">
                  <c:v>42678</c:v>
                </c:pt>
                <c:pt idx="514">
                  <c:v>42685</c:v>
                </c:pt>
                <c:pt idx="515">
                  <c:v>42692</c:v>
                </c:pt>
                <c:pt idx="516">
                  <c:v>42699</c:v>
                </c:pt>
                <c:pt idx="517">
                  <c:v>42706</c:v>
                </c:pt>
                <c:pt idx="518">
                  <c:v>42713</c:v>
                </c:pt>
                <c:pt idx="519">
                  <c:v>42720</c:v>
                </c:pt>
                <c:pt idx="520">
                  <c:v>42727</c:v>
                </c:pt>
                <c:pt idx="521">
                  <c:v>42734</c:v>
                </c:pt>
                <c:pt idx="522">
                  <c:v>42741</c:v>
                </c:pt>
                <c:pt idx="523">
                  <c:v>42748</c:v>
                </c:pt>
                <c:pt idx="524">
                  <c:v>42755</c:v>
                </c:pt>
                <c:pt idx="525">
                  <c:v>42762</c:v>
                </c:pt>
                <c:pt idx="526">
                  <c:v>42769</c:v>
                </c:pt>
                <c:pt idx="527">
                  <c:v>42776</c:v>
                </c:pt>
                <c:pt idx="528">
                  <c:v>42783</c:v>
                </c:pt>
                <c:pt idx="529">
                  <c:v>42790</c:v>
                </c:pt>
                <c:pt idx="530">
                  <c:v>42797</c:v>
                </c:pt>
                <c:pt idx="531">
                  <c:v>42804</c:v>
                </c:pt>
                <c:pt idx="532">
                  <c:v>42811</c:v>
                </c:pt>
                <c:pt idx="533">
                  <c:v>42818</c:v>
                </c:pt>
                <c:pt idx="534">
                  <c:v>42825</c:v>
                </c:pt>
                <c:pt idx="535">
                  <c:v>42832</c:v>
                </c:pt>
                <c:pt idx="536">
                  <c:v>42839</c:v>
                </c:pt>
                <c:pt idx="537">
                  <c:v>42846</c:v>
                </c:pt>
                <c:pt idx="538">
                  <c:v>42853</c:v>
                </c:pt>
                <c:pt idx="539">
                  <c:v>42860</c:v>
                </c:pt>
                <c:pt idx="540">
                  <c:v>42867</c:v>
                </c:pt>
                <c:pt idx="541">
                  <c:v>42874</c:v>
                </c:pt>
                <c:pt idx="542">
                  <c:v>42881</c:v>
                </c:pt>
                <c:pt idx="543">
                  <c:v>42888</c:v>
                </c:pt>
                <c:pt idx="544">
                  <c:v>42895</c:v>
                </c:pt>
                <c:pt idx="545">
                  <c:v>42902</c:v>
                </c:pt>
                <c:pt idx="546">
                  <c:v>42909</c:v>
                </c:pt>
                <c:pt idx="547">
                  <c:v>42916</c:v>
                </c:pt>
                <c:pt idx="548">
                  <c:v>42923</c:v>
                </c:pt>
                <c:pt idx="549">
                  <c:v>42930</c:v>
                </c:pt>
                <c:pt idx="550">
                  <c:v>42937</c:v>
                </c:pt>
                <c:pt idx="551">
                  <c:v>42944</c:v>
                </c:pt>
                <c:pt idx="552">
                  <c:v>42951</c:v>
                </c:pt>
                <c:pt idx="553">
                  <c:v>42958</c:v>
                </c:pt>
                <c:pt idx="554">
                  <c:v>42965</c:v>
                </c:pt>
                <c:pt idx="555">
                  <c:v>42972</c:v>
                </c:pt>
                <c:pt idx="556">
                  <c:v>42979</c:v>
                </c:pt>
                <c:pt idx="557">
                  <c:v>42986</c:v>
                </c:pt>
                <c:pt idx="558">
                  <c:v>42993</c:v>
                </c:pt>
                <c:pt idx="559">
                  <c:v>43000</c:v>
                </c:pt>
                <c:pt idx="560">
                  <c:v>43007</c:v>
                </c:pt>
                <c:pt idx="561">
                  <c:v>43014</c:v>
                </c:pt>
                <c:pt idx="562">
                  <c:v>43021</c:v>
                </c:pt>
                <c:pt idx="563">
                  <c:v>43028</c:v>
                </c:pt>
                <c:pt idx="564">
                  <c:v>43035</c:v>
                </c:pt>
                <c:pt idx="565">
                  <c:v>43042</c:v>
                </c:pt>
                <c:pt idx="566">
                  <c:v>43049</c:v>
                </c:pt>
                <c:pt idx="567">
                  <c:v>43056</c:v>
                </c:pt>
                <c:pt idx="568">
                  <c:v>43063</c:v>
                </c:pt>
                <c:pt idx="569">
                  <c:v>43070</c:v>
                </c:pt>
                <c:pt idx="570">
                  <c:v>43077</c:v>
                </c:pt>
                <c:pt idx="571">
                  <c:v>43084</c:v>
                </c:pt>
                <c:pt idx="572">
                  <c:v>43091</c:v>
                </c:pt>
                <c:pt idx="573">
                  <c:v>43098</c:v>
                </c:pt>
                <c:pt idx="574">
                  <c:v>43105</c:v>
                </c:pt>
                <c:pt idx="575">
                  <c:v>43112</c:v>
                </c:pt>
                <c:pt idx="576">
                  <c:v>43119</c:v>
                </c:pt>
                <c:pt idx="577">
                  <c:v>43126</c:v>
                </c:pt>
                <c:pt idx="578">
                  <c:v>43133</c:v>
                </c:pt>
                <c:pt idx="579">
                  <c:v>43140</c:v>
                </c:pt>
                <c:pt idx="580">
                  <c:v>43147</c:v>
                </c:pt>
                <c:pt idx="581">
                  <c:v>43154</c:v>
                </c:pt>
                <c:pt idx="582">
                  <c:v>43161</c:v>
                </c:pt>
                <c:pt idx="583">
                  <c:v>43168</c:v>
                </c:pt>
                <c:pt idx="584">
                  <c:v>43175</c:v>
                </c:pt>
                <c:pt idx="585">
                  <c:v>43182</c:v>
                </c:pt>
                <c:pt idx="586">
                  <c:v>43189</c:v>
                </c:pt>
                <c:pt idx="587">
                  <c:v>43196</c:v>
                </c:pt>
                <c:pt idx="588">
                  <c:v>43203</c:v>
                </c:pt>
                <c:pt idx="589">
                  <c:v>43210</c:v>
                </c:pt>
                <c:pt idx="590">
                  <c:v>43217</c:v>
                </c:pt>
                <c:pt idx="591">
                  <c:v>43224</c:v>
                </c:pt>
                <c:pt idx="592">
                  <c:v>43231</c:v>
                </c:pt>
                <c:pt idx="593">
                  <c:v>43238</c:v>
                </c:pt>
                <c:pt idx="594">
                  <c:v>43245</c:v>
                </c:pt>
                <c:pt idx="595">
                  <c:v>43252</c:v>
                </c:pt>
                <c:pt idx="596">
                  <c:v>43259</c:v>
                </c:pt>
                <c:pt idx="597">
                  <c:v>43266</c:v>
                </c:pt>
                <c:pt idx="598">
                  <c:v>43273</c:v>
                </c:pt>
                <c:pt idx="599">
                  <c:v>43280</c:v>
                </c:pt>
                <c:pt idx="600">
                  <c:v>43287</c:v>
                </c:pt>
                <c:pt idx="601">
                  <c:v>43294</c:v>
                </c:pt>
                <c:pt idx="602">
                  <c:v>43301</c:v>
                </c:pt>
                <c:pt idx="603">
                  <c:v>43308</c:v>
                </c:pt>
                <c:pt idx="604">
                  <c:v>43315</c:v>
                </c:pt>
                <c:pt idx="605">
                  <c:v>43322</c:v>
                </c:pt>
                <c:pt idx="606">
                  <c:v>43329</c:v>
                </c:pt>
                <c:pt idx="607">
                  <c:v>43336</c:v>
                </c:pt>
                <c:pt idx="608">
                  <c:v>43343</c:v>
                </c:pt>
                <c:pt idx="609">
                  <c:v>43350</c:v>
                </c:pt>
                <c:pt idx="610">
                  <c:v>43357</c:v>
                </c:pt>
                <c:pt idx="611">
                  <c:v>43364</c:v>
                </c:pt>
                <c:pt idx="612">
                  <c:v>43371</c:v>
                </c:pt>
                <c:pt idx="613">
                  <c:v>43378</c:v>
                </c:pt>
                <c:pt idx="614">
                  <c:v>43385</c:v>
                </c:pt>
                <c:pt idx="615">
                  <c:v>43392</c:v>
                </c:pt>
                <c:pt idx="616">
                  <c:v>43399</c:v>
                </c:pt>
                <c:pt idx="617">
                  <c:v>43406</c:v>
                </c:pt>
                <c:pt idx="618">
                  <c:v>43413</c:v>
                </c:pt>
                <c:pt idx="619">
                  <c:v>43420</c:v>
                </c:pt>
                <c:pt idx="620">
                  <c:v>43427</c:v>
                </c:pt>
                <c:pt idx="621">
                  <c:v>43434</c:v>
                </c:pt>
                <c:pt idx="622">
                  <c:v>43441</c:v>
                </c:pt>
                <c:pt idx="623">
                  <c:v>43448</c:v>
                </c:pt>
                <c:pt idx="624">
                  <c:v>43455</c:v>
                </c:pt>
                <c:pt idx="625">
                  <c:v>43462</c:v>
                </c:pt>
                <c:pt idx="626">
                  <c:v>43469</c:v>
                </c:pt>
                <c:pt idx="627">
                  <c:v>43476</c:v>
                </c:pt>
                <c:pt idx="628">
                  <c:v>43483</c:v>
                </c:pt>
                <c:pt idx="629">
                  <c:v>43490</c:v>
                </c:pt>
                <c:pt idx="630">
                  <c:v>43497</c:v>
                </c:pt>
                <c:pt idx="631">
                  <c:v>43504</c:v>
                </c:pt>
                <c:pt idx="632">
                  <c:v>43511</c:v>
                </c:pt>
                <c:pt idx="633">
                  <c:v>43518</c:v>
                </c:pt>
                <c:pt idx="634">
                  <c:v>43525</c:v>
                </c:pt>
                <c:pt idx="635">
                  <c:v>43532</c:v>
                </c:pt>
                <c:pt idx="636">
                  <c:v>43539</c:v>
                </c:pt>
                <c:pt idx="637">
                  <c:v>43546</c:v>
                </c:pt>
                <c:pt idx="638">
                  <c:v>43553</c:v>
                </c:pt>
                <c:pt idx="639">
                  <c:v>43560</c:v>
                </c:pt>
                <c:pt idx="640">
                  <c:v>43567</c:v>
                </c:pt>
                <c:pt idx="641">
                  <c:v>43574</c:v>
                </c:pt>
                <c:pt idx="642">
                  <c:v>43581</c:v>
                </c:pt>
                <c:pt idx="643">
                  <c:v>43588</c:v>
                </c:pt>
                <c:pt idx="644">
                  <c:v>43595</c:v>
                </c:pt>
                <c:pt idx="645">
                  <c:v>43602</c:v>
                </c:pt>
                <c:pt idx="646">
                  <c:v>43609</c:v>
                </c:pt>
                <c:pt idx="647">
                  <c:v>43616</c:v>
                </c:pt>
                <c:pt idx="648">
                  <c:v>43623</c:v>
                </c:pt>
                <c:pt idx="649">
                  <c:v>43630</c:v>
                </c:pt>
                <c:pt idx="650">
                  <c:v>43637</c:v>
                </c:pt>
                <c:pt idx="651">
                  <c:v>43644</c:v>
                </c:pt>
                <c:pt idx="652">
                  <c:v>43651</c:v>
                </c:pt>
                <c:pt idx="653">
                  <c:v>43658</c:v>
                </c:pt>
                <c:pt idx="654">
                  <c:v>43665</c:v>
                </c:pt>
                <c:pt idx="655">
                  <c:v>43672</c:v>
                </c:pt>
                <c:pt idx="656">
                  <c:v>43679</c:v>
                </c:pt>
                <c:pt idx="657">
                  <c:v>43686</c:v>
                </c:pt>
                <c:pt idx="658">
                  <c:v>43693</c:v>
                </c:pt>
                <c:pt idx="659">
                  <c:v>43700</c:v>
                </c:pt>
                <c:pt idx="660">
                  <c:v>43707</c:v>
                </c:pt>
                <c:pt idx="661">
                  <c:v>43714</c:v>
                </c:pt>
                <c:pt idx="662">
                  <c:v>43721</c:v>
                </c:pt>
                <c:pt idx="663">
                  <c:v>43728</c:v>
                </c:pt>
                <c:pt idx="664">
                  <c:v>43735</c:v>
                </c:pt>
                <c:pt idx="665">
                  <c:v>43742</c:v>
                </c:pt>
                <c:pt idx="666">
                  <c:v>43749</c:v>
                </c:pt>
                <c:pt idx="667">
                  <c:v>43756</c:v>
                </c:pt>
                <c:pt idx="668">
                  <c:v>43763</c:v>
                </c:pt>
                <c:pt idx="669">
                  <c:v>43770</c:v>
                </c:pt>
                <c:pt idx="670">
                  <c:v>43777</c:v>
                </c:pt>
                <c:pt idx="671">
                  <c:v>43784</c:v>
                </c:pt>
                <c:pt idx="672">
                  <c:v>43791</c:v>
                </c:pt>
                <c:pt idx="673">
                  <c:v>43798</c:v>
                </c:pt>
                <c:pt idx="674">
                  <c:v>43805</c:v>
                </c:pt>
                <c:pt idx="675">
                  <c:v>43812</c:v>
                </c:pt>
                <c:pt idx="676">
                  <c:v>43819</c:v>
                </c:pt>
                <c:pt idx="677">
                  <c:v>43826</c:v>
                </c:pt>
                <c:pt idx="678">
                  <c:v>43833</c:v>
                </c:pt>
                <c:pt idx="679">
                  <c:v>43840</c:v>
                </c:pt>
                <c:pt idx="680">
                  <c:v>43847</c:v>
                </c:pt>
                <c:pt idx="681">
                  <c:v>43854</c:v>
                </c:pt>
                <c:pt idx="682">
                  <c:v>43861</c:v>
                </c:pt>
                <c:pt idx="683">
                  <c:v>43868</c:v>
                </c:pt>
                <c:pt idx="684">
                  <c:v>43875</c:v>
                </c:pt>
                <c:pt idx="685">
                  <c:v>43882</c:v>
                </c:pt>
                <c:pt idx="686">
                  <c:v>43889</c:v>
                </c:pt>
                <c:pt idx="687">
                  <c:v>43896</c:v>
                </c:pt>
                <c:pt idx="688">
                  <c:v>43903</c:v>
                </c:pt>
                <c:pt idx="689">
                  <c:v>43910</c:v>
                </c:pt>
                <c:pt idx="690">
                  <c:v>43917</c:v>
                </c:pt>
                <c:pt idx="691">
                  <c:v>43924</c:v>
                </c:pt>
                <c:pt idx="692">
                  <c:v>43931</c:v>
                </c:pt>
                <c:pt idx="693">
                  <c:v>43938</c:v>
                </c:pt>
                <c:pt idx="694">
                  <c:v>43945</c:v>
                </c:pt>
                <c:pt idx="695">
                  <c:v>43952</c:v>
                </c:pt>
                <c:pt idx="696">
                  <c:v>43959</c:v>
                </c:pt>
                <c:pt idx="697">
                  <c:v>43966</c:v>
                </c:pt>
                <c:pt idx="698">
                  <c:v>43973</c:v>
                </c:pt>
                <c:pt idx="699">
                  <c:v>43980</c:v>
                </c:pt>
                <c:pt idx="700">
                  <c:v>43987</c:v>
                </c:pt>
                <c:pt idx="701">
                  <c:v>43994</c:v>
                </c:pt>
                <c:pt idx="702">
                  <c:v>44001</c:v>
                </c:pt>
                <c:pt idx="703">
                  <c:v>44008</c:v>
                </c:pt>
                <c:pt idx="704">
                  <c:v>44015</c:v>
                </c:pt>
                <c:pt idx="705">
                  <c:v>44022</c:v>
                </c:pt>
                <c:pt idx="706">
                  <c:v>44029</c:v>
                </c:pt>
                <c:pt idx="707">
                  <c:v>44036</c:v>
                </c:pt>
                <c:pt idx="708">
                  <c:v>44043</c:v>
                </c:pt>
                <c:pt idx="709">
                  <c:v>44050</c:v>
                </c:pt>
                <c:pt idx="710">
                  <c:v>44057</c:v>
                </c:pt>
                <c:pt idx="711">
                  <c:v>44064</c:v>
                </c:pt>
                <c:pt idx="712">
                  <c:v>44071</c:v>
                </c:pt>
                <c:pt idx="713">
                  <c:v>44078</c:v>
                </c:pt>
                <c:pt idx="714">
                  <c:v>44085</c:v>
                </c:pt>
                <c:pt idx="715">
                  <c:v>44092</c:v>
                </c:pt>
                <c:pt idx="716">
                  <c:v>44099</c:v>
                </c:pt>
                <c:pt idx="717">
                  <c:v>44106</c:v>
                </c:pt>
                <c:pt idx="718">
                  <c:v>44113</c:v>
                </c:pt>
                <c:pt idx="719">
                  <c:v>44120</c:v>
                </c:pt>
                <c:pt idx="720">
                  <c:v>44127</c:v>
                </c:pt>
                <c:pt idx="721">
                  <c:v>44134</c:v>
                </c:pt>
                <c:pt idx="722">
                  <c:v>44141</c:v>
                </c:pt>
                <c:pt idx="723">
                  <c:v>44148</c:v>
                </c:pt>
                <c:pt idx="724">
                  <c:v>44155</c:v>
                </c:pt>
                <c:pt idx="725">
                  <c:v>44162</c:v>
                </c:pt>
                <c:pt idx="726">
                  <c:v>44169</c:v>
                </c:pt>
                <c:pt idx="727">
                  <c:v>44176</c:v>
                </c:pt>
                <c:pt idx="728">
                  <c:v>44183</c:v>
                </c:pt>
                <c:pt idx="729">
                  <c:v>44190</c:v>
                </c:pt>
                <c:pt idx="730">
                  <c:v>44197</c:v>
                </c:pt>
                <c:pt idx="731">
                  <c:v>44204</c:v>
                </c:pt>
                <c:pt idx="732">
                  <c:v>44211</c:v>
                </c:pt>
                <c:pt idx="733">
                  <c:v>44218</c:v>
                </c:pt>
                <c:pt idx="734">
                  <c:v>44225</c:v>
                </c:pt>
                <c:pt idx="735">
                  <c:v>44232</c:v>
                </c:pt>
                <c:pt idx="736">
                  <c:v>44239</c:v>
                </c:pt>
                <c:pt idx="737">
                  <c:v>44246</c:v>
                </c:pt>
                <c:pt idx="738">
                  <c:v>44253</c:v>
                </c:pt>
                <c:pt idx="739">
                  <c:v>44260</c:v>
                </c:pt>
                <c:pt idx="740">
                  <c:v>44267</c:v>
                </c:pt>
                <c:pt idx="741">
                  <c:v>44274</c:v>
                </c:pt>
                <c:pt idx="742">
                  <c:v>44281</c:v>
                </c:pt>
                <c:pt idx="743">
                  <c:v>44288</c:v>
                </c:pt>
                <c:pt idx="744">
                  <c:v>44295</c:v>
                </c:pt>
                <c:pt idx="745">
                  <c:v>44302</c:v>
                </c:pt>
                <c:pt idx="746">
                  <c:v>44309</c:v>
                </c:pt>
                <c:pt idx="747">
                  <c:v>44316</c:v>
                </c:pt>
                <c:pt idx="748">
                  <c:v>44323</c:v>
                </c:pt>
                <c:pt idx="749">
                  <c:v>44330</c:v>
                </c:pt>
                <c:pt idx="750">
                  <c:v>44337</c:v>
                </c:pt>
                <c:pt idx="751">
                  <c:v>44344</c:v>
                </c:pt>
                <c:pt idx="752">
                  <c:v>44351</c:v>
                </c:pt>
                <c:pt idx="753">
                  <c:v>44358</c:v>
                </c:pt>
                <c:pt idx="754">
                  <c:v>44365</c:v>
                </c:pt>
                <c:pt idx="755">
                  <c:v>44372</c:v>
                </c:pt>
                <c:pt idx="756">
                  <c:v>44379</c:v>
                </c:pt>
                <c:pt idx="757">
                  <c:v>44386</c:v>
                </c:pt>
                <c:pt idx="758">
                  <c:v>44393</c:v>
                </c:pt>
                <c:pt idx="759">
                  <c:v>44400</c:v>
                </c:pt>
                <c:pt idx="760">
                  <c:v>44407</c:v>
                </c:pt>
                <c:pt idx="761">
                  <c:v>44414</c:v>
                </c:pt>
                <c:pt idx="762">
                  <c:v>44421</c:v>
                </c:pt>
                <c:pt idx="763">
                  <c:v>44428</c:v>
                </c:pt>
                <c:pt idx="764">
                  <c:v>44435</c:v>
                </c:pt>
                <c:pt idx="765">
                  <c:v>44442</c:v>
                </c:pt>
                <c:pt idx="766">
                  <c:v>44449</c:v>
                </c:pt>
                <c:pt idx="767">
                  <c:v>44456</c:v>
                </c:pt>
                <c:pt idx="768">
                  <c:v>44463</c:v>
                </c:pt>
                <c:pt idx="769">
                  <c:v>44470</c:v>
                </c:pt>
                <c:pt idx="770">
                  <c:v>44477</c:v>
                </c:pt>
                <c:pt idx="771">
                  <c:v>44484</c:v>
                </c:pt>
                <c:pt idx="772">
                  <c:v>44491</c:v>
                </c:pt>
                <c:pt idx="773">
                  <c:v>44498</c:v>
                </c:pt>
                <c:pt idx="774">
                  <c:v>44505</c:v>
                </c:pt>
                <c:pt idx="775">
                  <c:v>44512</c:v>
                </c:pt>
                <c:pt idx="776">
                  <c:v>44519</c:v>
                </c:pt>
                <c:pt idx="777">
                  <c:v>44526</c:v>
                </c:pt>
                <c:pt idx="778">
                  <c:v>44533</c:v>
                </c:pt>
                <c:pt idx="779">
                  <c:v>44540</c:v>
                </c:pt>
                <c:pt idx="780">
                  <c:v>44547</c:v>
                </c:pt>
                <c:pt idx="781">
                  <c:v>44554</c:v>
                </c:pt>
                <c:pt idx="782">
                  <c:v>44561</c:v>
                </c:pt>
                <c:pt idx="783">
                  <c:v>44568</c:v>
                </c:pt>
                <c:pt idx="784">
                  <c:v>44575</c:v>
                </c:pt>
                <c:pt idx="785">
                  <c:v>44582</c:v>
                </c:pt>
                <c:pt idx="786">
                  <c:v>44589</c:v>
                </c:pt>
                <c:pt idx="787">
                  <c:v>44596</c:v>
                </c:pt>
                <c:pt idx="788">
                  <c:v>44603</c:v>
                </c:pt>
                <c:pt idx="789">
                  <c:v>44610</c:v>
                </c:pt>
                <c:pt idx="790">
                  <c:v>44617</c:v>
                </c:pt>
                <c:pt idx="791">
                  <c:v>44624</c:v>
                </c:pt>
                <c:pt idx="792">
                  <c:v>44631</c:v>
                </c:pt>
                <c:pt idx="793">
                  <c:v>44638</c:v>
                </c:pt>
                <c:pt idx="794">
                  <c:v>44645</c:v>
                </c:pt>
                <c:pt idx="795">
                  <c:v>44652</c:v>
                </c:pt>
                <c:pt idx="796">
                  <c:v>44659</c:v>
                </c:pt>
                <c:pt idx="797">
                  <c:v>44666</c:v>
                </c:pt>
                <c:pt idx="798">
                  <c:v>44673</c:v>
                </c:pt>
                <c:pt idx="799">
                  <c:v>44680</c:v>
                </c:pt>
                <c:pt idx="800">
                  <c:v>44687</c:v>
                </c:pt>
                <c:pt idx="801">
                  <c:v>44694</c:v>
                </c:pt>
                <c:pt idx="802">
                  <c:v>44701</c:v>
                </c:pt>
                <c:pt idx="803">
                  <c:v>44708</c:v>
                </c:pt>
                <c:pt idx="804">
                  <c:v>44715</c:v>
                </c:pt>
                <c:pt idx="805">
                  <c:v>44722</c:v>
                </c:pt>
                <c:pt idx="806">
                  <c:v>44729</c:v>
                </c:pt>
                <c:pt idx="807">
                  <c:v>44736</c:v>
                </c:pt>
                <c:pt idx="808">
                  <c:v>44743</c:v>
                </c:pt>
                <c:pt idx="809">
                  <c:v>44750</c:v>
                </c:pt>
                <c:pt idx="810">
                  <c:v>44757</c:v>
                </c:pt>
                <c:pt idx="811">
                  <c:v>44764</c:v>
                </c:pt>
                <c:pt idx="812">
                  <c:v>44771</c:v>
                </c:pt>
                <c:pt idx="813">
                  <c:v>44778</c:v>
                </c:pt>
                <c:pt idx="814">
                  <c:v>44785</c:v>
                </c:pt>
                <c:pt idx="815">
                  <c:v>44792</c:v>
                </c:pt>
                <c:pt idx="816">
                  <c:v>44799</c:v>
                </c:pt>
                <c:pt idx="817">
                  <c:v>44806</c:v>
                </c:pt>
                <c:pt idx="818">
                  <c:v>44813</c:v>
                </c:pt>
                <c:pt idx="819">
                  <c:v>44820</c:v>
                </c:pt>
                <c:pt idx="820">
                  <c:v>44827</c:v>
                </c:pt>
                <c:pt idx="821">
                  <c:v>44834</c:v>
                </c:pt>
                <c:pt idx="822">
                  <c:v>44841</c:v>
                </c:pt>
                <c:pt idx="823">
                  <c:v>44848</c:v>
                </c:pt>
                <c:pt idx="824">
                  <c:v>44855</c:v>
                </c:pt>
                <c:pt idx="825">
                  <c:v>44862</c:v>
                </c:pt>
                <c:pt idx="826">
                  <c:v>44869</c:v>
                </c:pt>
                <c:pt idx="827">
                  <c:v>44876</c:v>
                </c:pt>
                <c:pt idx="828">
                  <c:v>44883</c:v>
                </c:pt>
                <c:pt idx="829">
                  <c:v>44890</c:v>
                </c:pt>
                <c:pt idx="830">
                  <c:v>44897</c:v>
                </c:pt>
                <c:pt idx="831">
                  <c:v>44904</c:v>
                </c:pt>
                <c:pt idx="832">
                  <c:v>44911</c:v>
                </c:pt>
                <c:pt idx="833">
                  <c:v>44918</c:v>
                </c:pt>
                <c:pt idx="834">
                  <c:v>44925</c:v>
                </c:pt>
                <c:pt idx="835">
                  <c:v>44932</c:v>
                </c:pt>
                <c:pt idx="836">
                  <c:v>44939</c:v>
                </c:pt>
                <c:pt idx="837">
                  <c:v>44946</c:v>
                </c:pt>
                <c:pt idx="838">
                  <c:v>44953</c:v>
                </c:pt>
                <c:pt idx="839">
                  <c:v>44960</c:v>
                </c:pt>
                <c:pt idx="840">
                  <c:v>44967</c:v>
                </c:pt>
                <c:pt idx="841">
                  <c:v>44974</c:v>
                </c:pt>
                <c:pt idx="842">
                  <c:v>44981</c:v>
                </c:pt>
                <c:pt idx="843">
                  <c:v>44988</c:v>
                </c:pt>
                <c:pt idx="844">
                  <c:v>44995</c:v>
                </c:pt>
                <c:pt idx="845">
                  <c:v>45002</c:v>
                </c:pt>
                <c:pt idx="846">
                  <c:v>45009</c:v>
                </c:pt>
                <c:pt idx="847">
                  <c:v>45016</c:v>
                </c:pt>
                <c:pt idx="848">
                  <c:v>45023</c:v>
                </c:pt>
                <c:pt idx="849">
                  <c:v>45030</c:v>
                </c:pt>
                <c:pt idx="850">
                  <c:v>45037</c:v>
                </c:pt>
                <c:pt idx="851">
                  <c:v>45044</c:v>
                </c:pt>
                <c:pt idx="852">
                  <c:v>45051</c:v>
                </c:pt>
                <c:pt idx="853">
                  <c:v>45058</c:v>
                </c:pt>
                <c:pt idx="854">
                  <c:v>45065</c:v>
                </c:pt>
                <c:pt idx="855">
                  <c:v>45072</c:v>
                </c:pt>
                <c:pt idx="856">
                  <c:v>45079</c:v>
                </c:pt>
                <c:pt idx="857">
                  <c:v>45086</c:v>
                </c:pt>
                <c:pt idx="858">
                  <c:v>45093</c:v>
                </c:pt>
                <c:pt idx="859">
                  <c:v>45100</c:v>
                </c:pt>
                <c:pt idx="860">
                  <c:v>45107</c:v>
                </c:pt>
                <c:pt idx="861">
                  <c:v>45114</c:v>
                </c:pt>
                <c:pt idx="862">
                  <c:v>45121</c:v>
                </c:pt>
                <c:pt idx="863">
                  <c:v>45128</c:v>
                </c:pt>
                <c:pt idx="864">
                  <c:v>45135</c:v>
                </c:pt>
                <c:pt idx="865">
                  <c:v>45142</c:v>
                </c:pt>
                <c:pt idx="866">
                  <c:v>45149</c:v>
                </c:pt>
                <c:pt idx="867">
                  <c:v>45156</c:v>
                </c:pt>
                <c:pt idx="868">
                  <c:v>45163</c:v>
                </c:pt>
                <c:pt idx="869">
                  <c:v>45170</c:v>
                </c:pt>
                <c:pt idx="870">
                  <c:v>45177</c:v>
                </c:pt>
                <c:pt idx="871">
                  <c:v>45184</c:v>
                </c:pt>
                <c:pt idx="872">
                  <c:v>45191</c:v>
                </c:pt>
                <c:pt idx="873">
                  <c:v>45198</c:v>
                </c:pt>
                <c:pt idx="874">
                  <c:v>45205</c:v>
                </c:pt>
                <c:pt idx="875">
                  <c:v>45212</c:v>
                </c:pt>
                <c:pt idx="876">
                  <c:v>45219</c:v>
                </c:pt>
                <c:pt idx="877">
                  <c:v>45226</c:v>
                </c:pt>
                <c:pt idx="878">
                  <c:v>45233</c:v>
                </c:pt>
                <c:pt idx="879">
                  <c:v>45240</c:v>
                </c:pt>
                <c:pt idx="880">
                  <c:v>45247</c:v>
                </c:pt>
                <c:pt idx="881">
                  <c:v>45254</c:v>
                </c:pt>
                <c:pt idx="882">
                  <c:v>45261</c:v>
                </c:pt>
                <c:pt idx="883">
                  <c:v>45268</c:v>
                </c:pt>
                <c:pt idx="884">
                  <c:v>45275</c:v>
                </c:pt>
                <c:pt idx="885">
                  <c:v>45282</c:v>
                </c:pt>
                <c:pt idx="886">
                  <c:v>45289</c:v>
                </c:pt>
                <c:pt idx="887">
                  <c:v>45296</c:v>
                </c:pt>
                <c:pt idx="888">
                  <c:v>45303</c:v>
                </c:pt>
                <c:pt idx="889">
                  <c:v>45310</c:v>
                </c:pt>
                <c:pt idx="890">
                  <c:v>45317</c:v>
                </c:pt>
                <c:pt idx="891">
                  <c:v>45324</c:v>
                </c:pt>
                <c:pt idx="892">
                  <c:v>45331</c:v>
                </c:pt>
                <c:pt idx="893">
                  <c:v>45338</c:v>
                </c:pt>
                <c:pt idx="894">
                  <c:v>45345</c:v>
                </c:pt>
                <c:pt idx="895">
                  <c:v>45352</c:v>
                </c:pt>
                <c:pt idx="896">
                  <c:v>45359</c:v>
                </c:pt>
                <c:pt idx="897">
                  <c:v>45366</c:v>
                </c:pt>
                <c:pt idx="898">
                  <c:v>45373</c:v>
                </c:pt>
                <c:pt idx="899">
                  <c:v>45380</c:v>
                </c:pt>
                <c:pt idx="900">
                  <c:v>45387</c:v>
                </c:pt>
                <c:pt idx="901">
                  <c:v>45394</c:v>
                </c:pt>
                <c:pt idx="902">
                  <c:v>45401</c:v>
                </c:pt>
                <c:pt idx="903">
                  <c:v>45408</c:v>
                </c:pt>
                <c:pt idx="904">
                  <c:v>45415</c:v>
                </c:pt>
                <c:pt idx="905">
                  <c:v>45422</c:v>
                </c:pt>
                <c:pt idx="906">
                  <c:v>45429</c:v>
                </c:pt>
                <c:pt idx="907">
                  <c:v>45436</c:v>
                </c:pt>
                <c:pt idx="908">
                  <c:v>45443</c:v>
                </c:pt>
                <c:pt idx="909">
                  <c:v>45450</c:v>
                </c:pt>
                <c:pt idx="910">
                  <c:v>45457</c:v>
                </c:pt>
                <c:pt idx="911">
                  <c:v>45464</c:v>
                </c:pt>
                <c:pt idx="912">
                  <c:v>45471</c:v>
                </c:pt>
                <c:pt idx="913">
                  <c:v>45478</c:v>
                </c:pt>
                <c:pt idx="914">
                  <c:v>45485</c:v>
                </c:pt>
                <c:pt idx="915">
                  <c:v>45492</c:v>
                </c:pt>
                <c:pt idx="916">
                  <c:v>45499</c:v>
                </c:pt>
                <c:pt idx="917">
                  <c:v>45506</c:v>
                </c:pt>
                <c:pt idx="918">
                  <c:v>45513</c:v>
                </c:pt>
                <c:pt idx="919">
                  <c:v>45520</c:v>
                </c:pt>
                <c:pt idx="920">
                  <c:v>45527</c:v>
                </c:pt>
                <c:pt idx="921">
                  <c:v>45534</c:v>
                </c:pt>
                <c:pt idx="922">
                  <c:v>45541</c:v>
                </c:pt>
                <c:pt idx="923">
                  <c:v>45548</c:v>
                </c:pt>
                <c:pt idx="924">
                  <c:v>45555</c:v>
                </c:pt>
                <c:pt idx="925">
                  <c:v>45562</c:v>
                </c:pt>
                <c:pt idx="926">
                  <c:v>45569</c:v>
                </c:pt>
                <c:pt idx="927">
                  <c:v>45576</c:v>
                </c:pt>
                <c:pt idx="928">
                  <c:v>45583</c:v>
                </c:pt>
                <c:pt idx="929">
                  <c:v>45590</c:v>
                </c:pt>
                <c:pt idx="930">
                  <c:v>45597</c:v>
                </c:pt>
                <c:pt idx="931">
                  <c:v>45604</c:v>
                </c:pt>
                <c:pt idx="932">
                  <c:v>45611</c:v>
                </c:pt>
                <c:pt idx="933">
                  <c:v>45618</c:v>
                </c:pt>
                <c:pt idx="934">
                  <c:v>45625</c:v>
                </c:pt>
                <c:pt idx="935">
                  <c:v>45632</c:v>
                </c:pt>
                <c:pt idx="936">
                  <c:v>45639</c:v>
                </c:pt>
                <c:pt idx="937">
                  <c:v>45646</c:v>
                </c:pt>
                <c:pt idx="938">
                  <c:v>45653</c:v>
                </c:pt>
                <c:pt idx="939">
                  <c:v>45660</c:v>
                </c:pt>
                <c:pt idx="940">
                  <c:v>45667</c:v>
                </c:pt>
                <c:pt idx="941">
                  <c:v>45674</c:v>
                </c:pt>
                <c:pt idx="942">
                  <c:v>45681</c:v>
                </c:pt>
                <c:pt idx="943">
                  <c:v>45688</c:v>
                </c:pt>
                <c:pt idx="944">
                  <c:v>45695</c:v>
                </c:pt>
                <c:pt idx="945">
                  <c:v>45702</c:v>
                </c:pt>
                <c:pt idx="946">
                  <c:v>45709</c:v>
                </c:pt>
                <c:pt idx="947">
                  <c:v>45716</c:v>
                </c:pt>
                <c:pt idx="948">
                  <c:v>45723</c:v>
                </c:pt>
                <c:pt idx="949">
                  <c:v>45730</c:v>
                </c:pt>
                <c:pt idx="950">
                  <c:v>45737</c:v>
                </c:pt>
                <c:pt idx="951">
                  <c:v>45744</c:v>
                </c:pt>
                <c:pt idx="952">
                  <c:v>45751</c:v>
                </c:pt>
                <c:pt idx="953">
                  <c:v>45758</c:v>
                </c:pt>
                <c:pt idx="954">
                  <c:v>45765</c:v>
                </c:pt>
                <c:pt idx="955">
                  <c:v>45772</c:v>
                </c:pt>
                <c:pt idx="956">
                  <c:v>45779</c:v>
                </c:pt>
                <c:pt idx="957">
                  <c:v>45786</c:v>
                </c:pt>
                <c:pt idx="958">
                  <c:v>45793</c:v>
                </c:pt>
                <c:pt idx="959">
                  <c:v>45800</c:v>
                </c:pt>
                <c:pt idx="960">
                  <c:v>45807</c:v>
                </c:pt>
                <c:pt idx="961">
                  <c:v>45814</c:v>
                </c:pt>
                <c:pt idx="962">
                  <c:v>45821</c:v>
                </c:pt>
                <c:pt idx="963">
                  <c:v>45828</c:v>
                </c:pt>
                <c:pt idx="964">
                  <c:v>45835</c:v>
                </c:pt>
                <c:pt idx="965">
                  <c:v>45842</c:v>
                </c:pt>
                <c:pt idx="966">
                  <c:v>45849</c:v>
                </c:pt>
                <c:pt idx="967">
                  <c:v>45856</c:v>
                </c:pt>
                <c:pt idx="968">
                  <c:v>45863</c:v>
                </c:pt>
                <c:pt idx="969">
                  <c:v>45870</c:v>
                </c:pt>
                <c:pt idx="970">
                  <c:v>45877</c:v>
                </c:pt>
                <c:pt idx="971">
                  <c:v>45884</c:v>
                </c:pt>
                <c:pt idx="972">
                  <c:v>45891</c:v>
                </c:pt>
                <c:pt idx="973">
                  <c:v>45898</c:v>
                </c:pt>
                <c:pt idx="974">
                  <c:v>45905</c:v>
                </c:pt>
                <c:pt idx="975">
                  <c:v>45912</c:v>
                </c:pt>
                <c:pt idx="976">
                  <c:v>45919</c:v>
                </c:pt>
                <c:pt idx="977">
                  <c:v>45926</c:v>
                </c:pt>
                <c:pt idx="978">
                  <c:v>45933</c:v>
                </c:pt>
                <c:pt idx="979">
                  <c:v>45940</c:v>
                </c:pt>
                <c:pt idx="980">
                  <c:v>45947</c:v>
                </c:pt>
                <c:pt idx="981">
                  <c:v>45954</c:v>
                </c:pt>
                <c:pt idx="982">
                  <c:v>45961</c:v>
                </c:pt>
                <c:pt idx="983">
                  <c:v>45968</c:v>
                </c:pt>
                <c:pt idx="984">
                  <c:v>45975</c:v>
                </c:pt>
                <c:pt idx="985">
                  <c:v>45982</c:v>
                </c:pt>
                <c:pt idx="986">
                  <c:v>45989</c:v>
                </c:pt>
                <c:pt idx="987">
                  <c:v>45996</c:v>
                </c:pt>
                <c:pt idx="988">
                  <c:v>46003</c:v>
                </c:pt>
                <c:pt idx="989">
                  <c:v>46010</c:v>
                </c:pt>
                <c:pt idx="990">
                  <c:v>46017</c:v>
                </c:pt>
                <c:pt idx="991">
                  <c:v>46024</c:v>
                </c:pt>
                <c:pt idx="992">
                  <c:v>46031</c:v>
                </c:pt>
                <c:pt idx="993">
                  <c:v>46038</c:v>
                </c:pt>
                <c:pt idx="994">
                  <c:v>46045</c:v>
                </c:pt>
                <c:pt idx="995">
                  <c:v>46052</c:v>
                </c:pt>
                <c:pt idx="996">
                  <c:v>46059</c:v>
                </c:pt>
                <c:pt idx="997">
                  <c:v>46066</c:v>
                </c:pt>
                <c:pt idx="998">
                  <c:v>46073</c:v>
                </c:pt>
                <c:pt idx="999">
                  <c:v>46080</c:v>
                </c:pt>
                <c:pt idx="1000">
                  <c:v>46087</c:v>
                </c:pt>
                <c:pt idx="1001">
                  <c:v>46094</c:v>
                </c:pt>
                <c:pt idx="1002">
                  <c:v>46101</c:v>
                </c:pt>
                <c:pt idx="1003">
                  <c:v>46108</c:v>
                </c:pt>
                <c:pt idx="1004">
                  <c:v>46115</c:v>
                </c:pt>
                <c:pt idx="1005">
                  <c:v>46122</c:v>
                </c:pt>
                <c:pt idx="1006">
                  <c:v>46129</c:v>
                </c:pt>
                <c:pt idx="1007">
                  <c:v>46136</c:v>
                </c:pt>
                <c:pt idx="1008">
                  <c:v>46143</c:v>
                </c:pt>
                <c:pt idx="1009">
                  <c:v>46150</c:v>
                </c:pt>
                <c:pt idx="1010">
                  <c:v>46157</c:v>
                </c:pt>
                <c:pt idx="1011">
                  <c:v>46164</c:v>
                </c:pt>
                <c:pt idx="1012">
                  <c:v>46171</c:v>
                </c:pt>
                <c:pt idx="1013">
                  <c:v>46178</c:v>
                </c:pt>
                <c:pt idx="1014">
                  <c:v>46185</c:v>
                </c:pt>
                <c:pt idx="1015">
                  <c:v>46192</c:v>
                </c:pt>
                <c:pt idx="1016">
                  <c:v>46199</c:v>
                </c:pt>
                <c:pt idx="1017">
                  <c:v>46206</c:v>
                </c:pt>
                <c:pt idx="1018">
                  <c:v>46213</c:v>
                </c:pt>
                <c:pt idx="1019">
                  <c:v>46220</c:v>
                </c:pt>
                <c:pt idx="1020">
                  <c:v>46227</c:v>
                </c:pt>
                <c:pt idx="1021">
                  <c:v>46234</c:v>
                </c:pt>
                <c:pt idx="1022">
                  <c:v>46241</c:v>
                </c:pt>
                <c:pt idx="1023">
                  <c:v>46248</c:v>
                </c:pt>
                <c:pt idx="1024">
                  <c:v>46255</c:v>
                </c:pt>
                <c:pt idx="1025">
                  <c:v>46262</c:v>
                </c:pt>
                <c:pt idx="1026">
                  <c:v>46269</c:v>
                </c:pt>
                <c:pt idx="1027">
                  <c:v>46276</c:v>
                </c:pt>
                <c:pt idx="1028">
                  <c:v>46283</c:v>
                </c:pt>
                <c:pt idx="1029">
                  <c:v>46290</c:v>
                </c:pt>
                <c:pt idx="1030">
                  <c:v>46297</c:v>
                </c:pt>
              </c:numCache>
            </c:numRef>
          </c:cat>
          <c:val>
            <c:numRef>
              <c:f>Indice!$AN$58:$AN$1500</c:f>
              <c:numCache>
                <c:formatCode>General</c:formatCode>
                <c:ptCount val="1443"/>
                <c:pt idx="0">
                  <c:v>0.95524683955358192</c:v>
                </c:pt>
                <c:pt idx="1">
                  <c:v>0.94601846498130338</c:v>
                </c:pt>
                <c:pt idx="2">
                  <c:v>0.94043965369467475</c:v>
                </c:pt>
                <c:pt idx="3">
                  <c:v>0.92744679570334632</c:v>
                </c:pt>
                <c:pt idx="4">
                  <c:v>0.92658176588958285</c:v>
                </c:pt>
                <c:pt idx="5">
                  <c:v>0.92123216040457501</c:v>
                </c:pt>
                <c:pt idx="6">
                  <c:v>0.91517079296066872</c:v>
                </c:pt>
                <c:pt idx="7">
                  <c:v>0.91418489421333926</c:v>
                </c:pt>
                <c:pt idx="8">
                  <c:v>0.90893023729975531</c:v>
                </c:pt>
                <c:pt idx="9">
                  <c:v>0.90893023729975531</c:v>
                </c:pt>
                <c:pt idx="10">
                  <c:v>0.90893023729975531</c:v>
                </c:pt>
                <c:pt idx="11">
                  <c:v>0.90893023729975531</c:v>
                </c:pt>
                <c:pt idx="12">
                  <c:v>0.90893023729975531</c:v>
                </c:pt>
                <c:pt idx="13">
                  <c:v>0.90893023729975531</c:v>
                </c:pt>
                <c:pt idx="14">
                  <c:v>0.90893023729975531</c:v>
                </c:pt>
                <c:pt idx="15">
                  <c:v>0.90889480712777171</c:v>
                </c:pt>
                <c:pt idx="16">
                  <c:v>0.90889480712777171</c:v>
                </c:pt>
                <c:pt idx="17">
                  <c:v>0.90889480712777171</c:v>
                </c:pt>
                <c:pt idx="18">
                  <c:v>0.90889480712777171</c:v>
                </c:pt>
                <c:pt idx="19">
                  <c:v>0.90858935798301632</c:v>
                </c:pt>
                <c:pt idx="20">
                  <c:v>0.89947487338697685</c:v>
                </c:pt>
                <c:pt idx="21">
                  <c:v>0.89947487338697685</c:v>
                </c:pt>
                <c:pt idx="22">
                  <c:v>0.89947487338697685</c:v>
                </c:pt>
                <c:pt idx="23">
                  <c:v>0.89947487338697685</c:v>
                </c:pt>
                <c:pt idx="24">
                  <c:v>0.89947487338697685</c:v>
                </c:pt>
                <c:pt idx="25">
                  <c:v>0.89275559387629122</c:v>
                </c:pt>
                <c:pt idx="26">
                  <c:v>0.88937384204166814</c:v>
                </c:pt>
                <c:pt idx="27">
                  <c:v>0.88594025968908041</c:v>
                </c:pt>
                <c:pt idx="28">
                  <c:v>0.88454650775149413</c:v>
                </c:pt>
                <c:pt idx="29">
                  <c:v>0.88252437369467596</c:v>
                </c:pt>
                <c:pt idx="30">
                  <c:v>0.87867701814311394</c:v>
                </c:pt>
                <c:pt idx="31">
                  <c:v>0.87727518312184005</c:v>
                </c:pt>
                <c:pt idx="32">
                  <c:v>0.87585207491990447</c:v>
                </c:pt>
                <c:pt idx="33">
                  <c:v>0.87585207491990447</c:v>
                </c:pt>
                <c:pt idx="34">
                  <c:v>0.87727518312184005</c:v>
                </c:pt>
                <c:pt idx="35">
                  <c:v>0.87727518312184005</c:v>
                </c:pt>
                <c:pt idx="36">
                  <c:v>0.87727518312184005</c:v>
                </c:pt>
                <c:pt idx="37">
                  <c:v>0.88399502515172257</c:v>
                </c:pt>
                <c:pt idx="38">
                  <c:v>0.88472722007414473</c:v>
                </c:pt>
                <c:pt idx="39">
                  <c:v>0.88475608088830382</c:v>
                </c:pt>
                <c:pt idx="40">
                  <c:v>0.88957056819671576</c:v>
                </c:pt>
                <c:pt idx="41">
                  <c:v>0.90022420826983762</c:v>
                </c:pt>
                <c:pt idx="42">
                  <c:v>0.90715198257817264</c:v>
                </c:pt>
                <c:pt idx="43">
                  <c:v>0.91595257425394638</c:v>
                </c:pt>
                <c:pt idx="44">
                  <c:v>0.91713756993545037</c:v>
                </c:pt>
                <c:pt idx="45">
                  <c:v>0.92040588937050727</c:v>
                </c:pt>
                <c:pt idx="46">
                  <c:v>0.92072750543334803</c:v>
                </c:pt>
                <c:pt idx="47">
                  <c:v>0.92072750543334803</c:v>
                </c:pt>
                <c:pt idx="48">
                  <c:v>0.92257751794320531</c:v>
                </c:pt>
                <c:pt idx="49">
                  <c:v>0.92458739036663273</c:v>
                </c:pt>
                <c:pt idx="50">
                  <c:v>0.92486950108316968</c:v>
                </c:pt>
                <c:pt idx="51">
                  <c:v>0.92486950108316968</c:v>
                </c:pt>
                <c:pt idx="52">
                  <c:v>0.92486950108316968</c:v>
                </c:pt>
                <c:pt idx="53">
                  <c:v>0.9325230450470352</c:v>
                </c:pt>
                <c:pt idx="54">
                  <c:v>0.93505788368219833</c:v>
                </c:pt>
                <c:pt idx="55">
                  <c:v>0.93524996197114885</c:v>
                </c:pt>
                <c:pt idx="56">
                  <c:v>0.94035718753071484</c:v>
                </c:pt>
                <c:pt idx="57">
                  <c:v>0.94311788314777834</c:v>
                </c:pt>
                <c:pt idx="58">
                  <c:v>0.94339560396329647</c:v>
                </c:pt>
                <c:pt idx="59">
                  <c:v>0.97108193333042125</c:v>
                </c:pt>
                <c:pt idx="60">
                  <c:v>0.97331157719762007</c:v>
                </c:pt>
                <c:pt idx="61">
                  <c:v>0.97331157719762007</c:v>
                </c:pt>
                <c:pt idx="62">
                  <c:v>0.97331157719762007</c:v>
                </c:pt>
                <c:pt idx="63">
                  <c:v>0.97331157719762007</c:v>
                </c:pt>
                <c:pt idx="64">
                  <c:v>0.97377406206649331</c:v>
                </c:pt>
                <c:pt idx="65">
                  <c:v>0.97378588690583112</c:v>
                </c:pt>
                <c:pt idx="66">
                  <c:v>0.97378588690583112</c:v>
                </c:pt>
                <c:pt idx="67">
                  <c:v>0.97378588690583112</c:v>
                </c:pt>
                <c:pt idx="68">
                  <c:v>0.97378588690583112</c:v>
                </c:pt>
                <c:pt idx="69">
                  <c:v>0.97378588690583112</c:v>
                </c:pt>
                <c:pt idx="70">
                  <c:v>0.97378588690583112</c:v>
                </c:pt>
                <c:pt idx="71">
                  <c:v>0.97401734218070124</c:v>
                </c:pt>
                <c:pt idx="72">
                  <c:v>0.97401734218070124</c:v>
                </c:pt>
                <c:pt idx="73">
                  <c:v>0.97848318922601596</c:v>
                </c:pt>
                <c:pt idx="74">
                  <c:v>0.98990756230467369</c:v>
                </c:pt>
                <c:pt idx="75">
                  <c:v>0.99172662974171633</c:v>
                </c:pt>
                <c:pt idx="76">
                  <c:v>0.99195498016644212</c:v>
                </c:pt>
                <c:pt idx="77">
                  <c:v>0.99200973026434025</c:v>
                </c:pt>
                <c:pt idx="78">
                  <c:v>1.0034796892651716</c:v>
                </c:pt>
                <c:pt idx="79">
                  <c:v>1.0034796892651716</c:v>
                </c:pt>
                <c:pt idx="80">
                  <c:v>1.003634282791894</c:v>
                </c:pt>
                <c:pt idx="81">
                  <c:v>1.003634282791894</c:v>
                </c:pt>
                <c:pt idx="82">
                  <c:v>1.003634282791894</c:v>
                </c:pt>
                <c:pt idx="83">
                  <c:v>1.003762029515245</c:v>
                </c:pt>
                <c:pt idx="84">
                  <c:v>1.00435386558996</c:v>
                </c:pt>
                <c:pt idx="85">
                  <c:v>1.0086508041118607</c:v>
                </c:pt>
                <c:pt idx="86">
                  <c:v>1.0109424615949691</c:v>
                </c:pt>
                <c:pt idx="87">
                  <c:v>1.0109424615949691</c:v>
                </c:pt>
                <c:pt idx="88">
                  <c:v>1.0122281485179547</c:v>
                </c:pt>
                <c:pt idx="89">
                  <c:v>1.0152880859332956</c:v>
                </c:pt>
                <c:pt idx="90">
                  <c:v>1.0170494357115119</c:v>
                </c:pt>
                <c:pt idx="91">
                  <c:v>1.0351922714380422</c:v>
                </c:pt>
                <c:pt idx="92">
                  <c:v>1.0381841130131806</c:v>
                </c:pt>
                <c:pt idx="93">
                  <c:v>1.0396795589881314</c:v>
                </c:pt>
                <c:pt idx="94">
                  <c:v>1.0421391103017141</c:v>
                </c:pt>
                <c:pt idx="95">
                  <c:v>1.0449830607544388</c:v>
                </c:pt>
                <c:pt idx="96">
                  <c:v>1.0491614331768115</c:v>
                </c:pt>
                <c:pt idx="97">
                  <c:v>1.071061969716276</c:v>
                </c:pt>
                <c:pt idx="98">
                  <c:v>1.0793405081990877</c:v>
                </c:pt>
                <c:pt idx="99">
                  <c:v>1.0844347304713167</c:v>
                </c:pt>
                <c:pt idx="100">
                  <c:v>1.0844347304713167</c:v>
                </c:pt>
                <c:pt idx="101">
                  <c:v>1.0844347304713167</c:v>
                </c:pt>
                <c:pt idx="102">
                  <c:v>1.0844347304713167</c:v>
                </c:pt>
                <c:pt idx="103">
                  <c:v>1.0844347304713167</c:v>
                </c:pt>
                <c:pt idx="104">
                  <c:v>1.0844347304713167</c:v>
                </c:pt>
                <c:pt idx="105">
                  <c:v>1.0844347304713167</c:v>
                </c:pt>
                <c:pt idx="106">
                  <c:v>1.0844347304713167</c:v>
                </c:pt>
                <c:pt idx="107">
                  <c:v>1.0844347304713167</c:v>
                </c:pt>
                <c:pt idx="108">
                  <c:v>1.0844347304713167</c:v>
                </c:pt>
                <c:pt idx="109">
                  <c:v>1.0844347304713167</c:v>
                </c:pt>
                <c:pt idx="110">
                  <c:v>1.0844347304713167</c:v>
                </c:pt>
                <c:pt idx="111">
                  <c:v>1.0844347304713167</c:v>
                </c:pt>
                <c:pt idx="112">
                  <c:v>1.0844347304713167</c:v>
                </c:pt>
                <c:pt idx="113">
                  <c:v>1.0844347304713167</c:v>
                </c:pt>
                <c:pt idx="114">
                  <c:v>1.0844347304713167</c:v>
                </c:pt>
                <c:pt idx="115">
                  <c:v>1.0844347304713167</c:v>
                </c:pt>
                <c:pt idx="116">
                  <c:v>1.0844347304713167</c:v>
                </c:pt>
                <c:pt idx="117">
                  <c:v>1.0844347304713167</c:v>
                </c:pt>
                <c:pt idx="118">
                  <c:v>1.0844347304713167</c:v>
                </c:pt>
                <c:pt idx="119">
                  <c:v>1.0844347304713167</c:v>
                </c:pt>
                <c:pt idx="120">
                  <c:v>1.0844347304713167</c:v>
                </c:pt>
                <c:pt idx="121">
                  <c:v>1.0844347304713167</c:v>
                </c:pt>
                <c:pt idx="122">
                  <c:v>1.0844347304713167</c:v>
                </c:pt>
                <c:pt idx="123">
                  <c:v>1.0844347304713167</c:v>
                </c:pt>
                <c:pt idx="124">
                  <c:v>1.0844347304713167</c:v>
                </c:pt>
                <c:pt idx="125">
                  <c:v>1.0844347304713167</c:v>
                </c:pt>
                <c:pt idx="126">
                  <c:v>1.0844347304713167</c:v>
                </c:pt>
                <c:pt idx="127">
                  <c:v>1.0844347304713167</c:v>
                </c:pt>
                <c:pt idx="128">
                  <c:v>1.0844347304713167</c:v>
                </c:pt>
                <c:pt idx="129">
                  <c:v>1.0844347304713167</c:v>
                </c:pt>
                <c:pt idx="130">
                  <c:v>1.0844347304713167</c:v>
                </c:pt>
                <c:pt idx="131">
                  <c:v>1.0844347304713167</c:v>
                </c:pt>
                <c:pt idx="132">
                  <c:v>1.0844347304713167</c:v>
                </c:pt>
                <c:pt idx="133">
                  <c:v>1.0844347304713167</c:v>
                </c:pt>
                <c:pt idx="134">
                  <c:v>1.0844347304713167</c:v>
                </c:pt>
                <c:pt idx="135">
                  <c:v>1.0844347304713167</c:v>
                </c:pt>
                <c:pt idx="136">
                  <c:v>1.0844347304713167</c:v>
                </c:pt>
                <c:pt idx="137">
                  <c:v>1.0844347304713167</c:v>
                </c:pt>
                <c:pt idx="138">
                  <c:v>1.0844347304713167</c:v>
                </c:pt>
                <c:pt idx="139">
                  <c:v>1.0844347304713167</c:v>
                </c:pt>
                <c:pt idx="140">
                  <c:v>1.0844347304713167</c:v>
                </c:pt>
                <c:pt idx="141">
                  <c:v>1.0844347304713167</c:v>
                </c:pt>
                <c:pt idx="142">
                  <c:v>1.0844347304713167</c:v>
                </c:pt>
                <c:pt idx="143">
                  <c:v>1.0844347304713167</c:v>
                </c:pt>
                <c:pt idx="144">
                  <c:v>1.0844347304713167</c:v>
                </c:pt>
                <c:pt idx="145">
                  <c:v>1.0799616243442034</c:v>
                </c:pt>
                <c:pt idx="146">
                  <c:v>1.0767415975887544</c:v>
                </c:pt>
                <c:pt idx="147">
                  <c:v>1.0480468850991653</c:v>
                </c:pt>
                <c:pt idx="148">
                  <c:v>1.0246017701161085</c:v>
                </c:pt>
                <c:pt idx="149">
                  <c:v>1.009633363112417</c:v>
                </c:pt>
                <c:pt idx="150">
                  <c:v>0.98767139442090746</c:v>
                </c:pt>
                <c:pt idx="151">
                  <c:v>0.93075663802455366</c:v>
                </c:pt>
                <c:pt idx="152">
                  <c:v>0.86983469122181745</c:v>
                </c:pt>
                <c:pt idx="153">
                  <c:v>0.86387874513355511</c:v>
                </c:pt>
                <c:pt idx="154">
                  <c:v>0.8635714177713929</c:v>
                </c:pt>
                <c:pt idx="155">
                  <c:v>0.85341294295350101</c:v>
                </c:pt>
                <c:pt idx="156">
                  <c:v>0.77639143715902348</c:v>
                </c:pt>
                <c:pt idx="157">
                  <c:v>0.77639143715902348</c:v>
                </c:pt>
                <c:pt idx="158">
                  <c:v>0.77639143715902348</c:v>
                </c:pt>
                <c:pt idx="159">
                  <c:v>0.77639143715902348</c:v>
                </c:pt>
                <c:pt idx="160">
                  <c:v>0.77639143715902348</c:v>
                </c:pt>
                <c:pt idx="161">
                  <c:v>0.77639143715902348</c:v>
                </c:pt>
                <c:pt idx="162">
                  <c:v>0.78384161631040383</c:v>
                </c:pt>
                <c:pt idx="163">
                  <c:v>0.78717611256825193</c:v>
                </c:pt>
                <c:pt idx="164">
                  <c:v>0.78717611256825193</c:v>
                </c:pt>
                <c:pt idx="165">
                  <c:v>0.79309933311371661</c:v>
                </c:pt>
                <c:pt idx="166">
                  <c:v>0.79675617151965705</c:v>
                </c:pt>
                <c:pt idx="167">
                  <c:v>0.79729691471465336</c:v>
                </c:pt>
                <c:pt idx="168">
                  <c:v>0.79729691471465336</c:v>
                </c:pt>
                <c:pt idx="169">
                  <c:v>0.79775451502399297</c:v>
                </c:pt>
                <c:pt idx="170">
                  <c:v>0.79926401043473305</c:v>
                </c:pt>
                <c:pt idx="171">
                  <c:v>0.8002408421456525</c:v>
                </c:pt>
                <c:pt idx="172">
                  <c:v>0.8012288811284527</c:v>
                </c:pt>
                <c:pt idx="173">
                  <c:v>0.8084533381136022</c:v>
                </c:pt>
                <c:pt idx="174">
                  <c:v>0.81328462317778105</c:v>
                </c:pt>
                <c:pt idx="175">
                  <c:v>0.83602638887945124</c:v>
                </c:pt>
                <c:pt idx="176">
                  <c:v>0.85534251710943954</c:v>
                </c:pt>
                <c:pt idx="177">
                  <c:v>0.86603930528736828</c:v>
                </c:pt>
                <c:pt idx="178">
                  <c:v>0.87049289892519155</c:v>
                </c:pt>
                <c:pt idx="179">
                  <c:v>0.8777356429717964</c:v>
                </c:pt>
                <c:pt idx="180">
                  <c:v>0.87786534311604647</c:v>
                </c:pt>
                <c:pt idx="181">
                  <c:v>0.88233666406666622</c:v>
                </c:pt>
                <c:pt idx="182">
                  <c:v>0.88549831859057659</c:v>
                </c:pt>
                <c:pt idx="183">
                  <c:v>0.88861896934753226</c:v>
                </c:pt>
                <c:pt idx="184">
                  <c:v>0.88867633792576439</c:v>
                </c:pt>
                <c:pt idx="185">
                  <c:v>0.88867633792576439</c:v>
                </c:pt>
                <c:pt idx="186">
                  <c:v>0.88867633792576439</c:v>
                </c:pt>
                <c:pt idx="187">
                  <c:v>0.88867633792576439</c:v>
                </c:pt>
                <c:pt idx="188">
                  <c:v>0.88867633792576439</c:v>
                </c:pt>
                <c:pt idx="189">
                  <c:v>0.88867633792576439</c:v>
                </c:pt>
                <c:pt idx="190">
                  <c:v>0.88867633792576439</c:v>
                </c:pt>
                <c:pt idx="191">
                  <c:v>0.88867633792576439</c:v>
                </c:pt>
                <c:pt idx="192">
                  <c:v>0.88867633792576439</c:v>
                </c:pt>
                <c:pt idx="193">
                  <c:v>0.88867633792576439</c:v>
                </c:pt>
                <c:pt idx="194">
                  <c:v>0.88867633792576439</c:v>
                </c:pt>
                <c:pt idx="195">
                  <c:v>0.88867633792576439</c:v>
                </c:pt>
                <c:pt idx="196">
                  <c:v>0.88867633792576439</c:v>
                </c:pt>
                <c:pt idx="197">
                  <c:v>0.88867633792576439</c:v>
                </c:pt>
                <c:pt idx="198">
                  <c:v>0.88867633792576439</c:v>
                </c:pt>
                <c:pt idx="199">
                  <c:v>0.88867633792576439</c:v>
                </c:pt>
                <c:pt idx="200">
                  <c:v>0.88867633792576439</c:v>
                </c:pt>
                <c:pt idx="201">
                  <c:v>0.88867633792576439</c:v>
                </c:pt>
                <c:pt idx="202">
                  <c:v>0.88867633792576439</c:v>
                </c:pt>
                <c:pt idx="203">
                  <c:v>0.88867633792576439</c:v>
                </c:pt>
                <c:pt idx="204">
                  <c:v>0.88867633792576439</c:v>
                </c:pt>
                <c:pt idx="205">
                  <c:v>0.88867633792576439</c:v>
                </c:pt>
                <c:pt idx="206">
                  <c:v>0.88867633792576439</c:v>
                </c:pt>
                <c:pt idx="207">
                  <c:v>0.88867633792576439</c:v>
                </c:pt>
                <c:pt idx="208">
                  <c:v>0.88867633792576439</c:v>
                </c:pt>
                <c:pt idx="209">
                  <c:v>0.88867633792576439</c:v>
                </c:pt>
                <c:pt idx="210">
                  <c:v>0.88867633792576439</c:v>
                </c:pt>
                <c:pt idx="211">
                  <c:v>0.88867633792576439</c:v>
                </c:pt>
                <c:pt idx="212">
                  <c:v>0.88867633792576439</c:v>
                </c:pt>
                <c:pt idx="213">
                  <c:v>0.88867633792576439</c:v>
                </c:pt>
                <c:pt idx="214">
                  <c:v>0.88867633792576439</c:v>
                </c:pt>
                <c:pt idx="215">
                  <c:v>0.88867633792576439</c:v>
                </c:pt>
                <c:pt idx="216">
                  <c:v>0.88867633792576439</c:v>
                </c:pt>
                <c:pt idx="217">
                  <c:v>0.88867633792576439</c:v>
                </c:pt>
                <c:pt idx="218">
                  <c:v>0.88867633792576439</c:v>
                </c:pt>
                <c:pt idx="219">
                  <c:v>0.88867633792576439</c:v>
                </c:pt>
                <c:pt idx="220">
                  <c:v>0.88867633792576439</c:v>
                </c:pt>
                <c:pt idx="221">
                  <c:v>0.88867633792576439</c:v>
                </c:pt>
                <c:pt idx="222">
                  <c:v>0.88867633792576439</c:v>
                </c:pt>
                <c:pt idx="223">
                  <c:v>0.88867633792576439</c:v>
                </c:pt>
                <c:pt idx="224">
                  <c:v>0.88867633792576439</c:v>
                </c:pt>
                <c:pt idx="225">
                  <c:v>0.88631853385646453</c:v>
                </c:pt>
                <c:pt idx="226">
                  <c:v>0.88549831859057659</c:v>
                </c:pt>
                <c:pt idx="227">
                  <c:v>0.88271771218877559</c:v>
                </c:pt>
                <c:pt idx="228">
                  <c:v>0.88220299068673957</c:v>
                </c:pt>
                <c:pt idx="229">
                  <c:v>0.88220299068673957</c:v>
                </c:pt>
                <c:pt idx="230">
                  <c:v>0.88220299068673957</c:v>
                </c:pt>
                <c:pt idx="231">
                  <c:v>0.88039197545061276</c:v>
                </c:pt>
                <c:pt idx="232">
                  <c:v>0.88039197545061276</c:v>
                </c:pt>
                <c:pt idx="233">
                  <c:v>0.87246224321537602</c:v>
                </c:pt>
                <c:pt idx="234">
                  <c:v>0.87118867159799374</c:v>
                </c:pt>
                <c:pt idx="235">
                  <c:v>0.87050847473566784</c:v>
                </c:pt>
                <c:pt idx="236">
                  <c:v>0.86811040104440107</c:v>
                </c:pt>
                <c:pt idx="237">
                  <c:v>0.86459653773121004</c:v>
                </c:pt>
                <c:pt idx="238">
                  <c:v>0.84666557230363515</c:v>
                </c:pt>
                <c:pt idx="239">
                  <c:v>0.83731510749833593</c:v>
                </c:pt>
                <c:pt idx="240">
                  <c:v>0.82331851055954774</c:v>
                </c:pt>
                <c:pt idx="241">
                  <c:v>0.81829311972489172</c:v>
                </c:pt>
                <c:pt idx="242">
                  <c:v>0.81475185541635564</c:v>
                </c:pt>
                <c:pt idx="243">
                  <c:v>0.81475185541635564</c:v>
                </c:pt>
                <c:pt idx="244">
                  <c:v>0.8140381020122569</c:v>
                </c:pt>
                <c:pt idx="245">
                  <c:v>0.81340041358698123</c:v>
                </c:pt>
                <c:pt idx="246">
                  <c:v>0.81232681140681717</c:v>
                </c:pt>
                <c:pt idx="247">
                  <c:v>0.81176669804684398</c:v>
                </c:pt>
                <c:pt idx="248">
                  <c:v>0.81166787302706755</c:v>
                </c:pt>
                <c:pt idx="249">
                  <c:v>0.79712458315452395</c:v>
                </c:pt>
                <c:pt idx="250">
                  <c:v>0.79632504316011232</c:v>
                </c:pt>
                <c:pt idx="251">
                  <c:v>0.79590791687804763</c:v>
                </c:pt>
                <c:pt idx="252">
                  <c:v>0.79590791687804763</c:v>
                </c:pt>
                <c:pt idx="253">
                  <c:v>0.79590791687804763</c:v>
                </c:pt>
                <c:pt idx="254">
                  <c:v>0.79590791687804763</c:v>
                </c:pt>
                <c:pt idx="255">
                  <c:v>0.79590791687804763</c:v>
                </c:pt>
                <c:pt idx="256">
                  <c:v>0.79590791687804763</c:v>
                </c:pt>
                <c:pt idx="257">
                  <c:v>0.79590791687804763</c:v>
                </c:pt>
                <c:pt idx="258">
                  <c:v>0.79590791687804763</c:v>
                </c:pt>
                <c:pt idx="259">
                  <c:v>0.79590791687804763</c:v>
                </c:pt>
                <c:pt idx="260">
                  <c:v>0.79590791687804763</c:v>
                </c:pt>
                <c:pt idx="261">
                  <c:v>0.79590791687804763</c:v>
                </c:pt>
                <c:pt idx="262">
                  <c:v>0.79273306743133487</c:v>
                </c:pt>
                <c:pt idx="263">
                  <c:v>0.78924212094961754</c:v>
                </c:pt>
                <c:pt idx="264">
                  <c:v>0.78924212094961754</c:v>
                </c:pt>
                <c:pt idx="265">
                  <c:v>0.78924212094961754</c:v>
                </c:pt>
                <c:pt idx="266">
                  <c:v>0.78616846625657033</c:v>
                </c:pt>
                <c:pt idx="267">
                  <c:v>0.79239764614342822</c:v>
                </c:pt>
                <c:pt idx="268">
                  <c:v>0.79239764614342822</c:v>
                </c:pt>
                <c:pt idx="269">
                  <c:v>0.79239764614342822</c:v>
                </c:pt>
                <c:pt idx="270">
                  <c:v>0.79234278304154115</c:v>
                </c:pt>
                <c:pt idx="271">
                  <c:v>0.79234278304154115</c:v>
                </c:pt>
                <c:pt idx="272">
                  <c:v>0.79234278304154115</c:v>
                </c:pt>
                <c:pt idx="273">
                  <c:v>0.79234278304154115</c:v>
                </c:pt>
                <c:pt idx="274">
                  <c:v>0.79234278304154115</c:v>
                </c:pt>
                <c:pt idx="275">
                  <c:v>0.79234278304154115</c:v>
                </c:pt>
                <c:pt idx="276">
                  <c:v>0.79234278304154115</c:v>
                </c:pt>
                <c:pt idx="277">
                  <c:v>0.79234278304154115</c:v>
                </c:pt>
                <c:pt idx="278">
                  <c:v>0.79234278304154115</c:v>
                </c:pt>
                <c:pt idx="279">
                  <c:v>0.79234278304154115</c:v>
                </c:pt>
                <c:pt idx="280">
                  <c:v>0.79234278304154115</c:v>
                </c:pt>
                <c:pt idx="281">
                  <c:v>0.79234278304154115</c:v>
                </c:pt>
                <c:pt idx="282">
                  <c:v>0.79425843545104369</c:v>
                </c:pt>
                <c:pt idx="283">
                  <c:v>0.79638905902283608</c:v>
                </c:pt>
                <c:pt idx="284">
                  <c:v>0.79712458315452395</c:v>
                </c:pt>
                <c:pt idx="285">
                  <c:v>0.8124148560237181</c:v>
                </c:pt>
                <c:pt idx="286">
                  <c:v>0.8214262213110689</c:v>
                </c:pt>
                <c:pt idx="287">
                  <c:v>0.82935978776246888</c:v>
                </c:pt>
                <c:pt idx="288">
                  <c:v>0.82935978776246888</c:v>
                </c:pt>
                <c:pt idx="289">
                  <c:v>0.82935978776246888</c:v>
                </c:pt>
                <c:pt idx="290">
                  <c:v>0.82935978776246888</c:v>
                </c:pt>
                <c:pt idx="291">
                  <c:v>0.82935978776246888</c:v>
                </c:pt>
                <c:pt idx="292">
                  <c:v>0.82935978776246888</c:v>
                </c:pt>
                <c:pt idx="293">
                  <c:v>0.82935978776246888</c:v>
                </c:pt>
                <c:pt idx="294">
                  <c:v>0.82935978776246888</c:v>
                </c:pt>
                <c:pt idx="295">
                  <c:v>0.82930518026885902</c:v>
                </c:pt>
                <c:pt idx="296">
                  <c:v>0.82930518026885902</c:v>
                </c:pt>
                <c:pt idx="297">
                  <c:v>0.82930518026885902</c:v>
                </c:pt>
                <c:pt idx="298">
                  <c:v>0.82930518026885902</c:v>
                </c:pt>
                <c:pt idx="299">
                  <c:v>0.82930518026885902</c:v>
                </c:pt>
                <c:pt idx="300">
                  <c:v>0.82930518026885902</c:v>
                </c:pt>
                <c:pt idx="301">
                  <c:v>0.82930518026885902</c:v>
                </c:pt>
                <c:pt idx="302">
                  <c:v>0.82930518026885902</c:v>
                </c:pt>
                <c:pt idx="303">
                  <c:v>0.82930518026885902</c:v>
                </c:pt>
                <c:pt idx="304">
                  <c:v>0.82930518026885902</c:v>
                </c:pt>
                <c:pt idx="305">
                  <c:v>0.82930518026885902</c:v>
                </c:pt>
                <c:pt idx="306">
                  <c:v>0.82930518026885902</c:v>
                </c:pt>
                <c:pt idx="307">
                  <c:v>0.82930518026885902</c:v>
                </c:pt>
                <c:pt idx="308">
                  <c:v>0.82930518026885902</c:v>
                </c:pt>
                <c:pt idx="309">
                  <c:v>0.82930518026885902</c:v>
                </c:pt>
                <c:pt idx="310">
                  <c:v>0.82930518026885902</c:v>
                </c:pt>
                <c:pt idx="311">
                  <c:v>0.82930518026885902</c:v>
                </c:pt>
                <c:pt idx="312">
                  <c:v>0.82930518026885902</c:v>
                </c:pt>
                <c:pt idx="313">
                  <c:v>0.82930518026885902</c:v>
                </c:pt>
                <c:pt idx="314">
                  <c:v>0.82930518026885902</c:v>
                </c:pt>
                <c:pt idx="315">
                  <c:v>0.82930518026885902</c:v>
                </c:pt>
                <c:pt idx="316">
                  <c:v>0.82930518026885902</c:v>
                </c:pt>
                <c:pt idx="317">
                  <c:v>0.82930518026885902</c:v>
                </c:pt>
                <c:pt idx="318">
                  <c:v>0.82930518026885902</c:v>
                </c:pt>
                <c:pt idx="319">
                  <c:v>0.82930518026885902</c:v>
                </c:pt>
                <c:pt idx="320">
                  <c:v>0.82930518026885902</c:v>
                </c:pt>
                <c:pt idx="321">
                  <c:v>0.82930518026885902</c:v>
                </c:pt>
                <c:pt idx="322">
                  <c:v>0.82930518026885902</c:v>
                </c:pt>
                <c:pt idx="323">
                  <c:v>0.82930518026885902</c:v>
                </c:pt>
                <c:pt idx="324">
                  <c:v>0.82930518026885902</c:v>
                </c:pt>
                <c:pt idx="325">
                  <c:v>0.82930518026885902</c:v>
                </c:pt>
                <c:pt idx="326">
                  <c:v>0.82930518026885902</c:v>
                </c:pt>
                <c:pt idx="327">
                  <c:v>0.82930518026885902</c:v>
                </c:pt>
                <c:pt idx="328">
                  <c:v>0.82930518026885902</c:v>
                </c:pt>
                <c:pt idx="329">
                  <c:v>0.82930518026885902</c:v>
                </c:pt>
                <c:pt idx="330">
                  <c:v>0.82930518026885902</c:v>
                </c:pt>
                <c:pt idx="331">
                  <c:v>0.82930518026885902</c:v>
                </c:pt>
                <c:pt idx="332">
                  <c:v>0.82930518026885902</c:v>
                </c:pt>
                <c:pt idx="333">
                  <c:v>0.82930518026885902</c:v>
                </c:pt>
                <c:pt idx="334">
                  <c:v>0.81932477153208627</c:v>
                </c:pt>
                <c:pt idx="335">
                  <c:v>0.79737104354923416</c:v>
                </c:pt>
                <c:pt idx="336">
                  <c:v>0.79154520053450717</c:v>
                </c:pt>
                <c:pt idx="337">
                  <c:v>0.78901681250188704</c:v>
                </c:pt>
                <c:pt idx="338">
                  <c:v>0.77157219929116627</c:v>
                </c:pt>
                <c:pt idx="339">
                  <c:v>0.74859180793761149</c:v>
                </c:pt>
                <c:pt idx="340">
                  <c:v>0.74519810392650199</c:v>
                </c:pt>
                <c:pt idx="341">
                  <c:v>0.74223621340338242</c:v>
                </c:pt>
                <c:pt idx="342">
                  <c:v>0.73751146494071507</c:v>
                </c:pt>
                <c:pt idx="343">
                  <c:v>0.73617866905752871</c:v>
                </c:pt>
                <c:pt idx="344">
                  <c:v>0.73246882596325802</c:v>
                </c:pt>
                <c:pt idx="345">
                  <c:v>0.72206674906732105</c:v>
                </c:pt>
                <c:pt idx="346">
                  <c:v>0.72206674906732105</c:v>
                </c:pt>
                <c:pt idx="347">
                  <c:v>0.72200053372116546</c:v>
                </c:pt>
                <c:pt idx="348">
                  <c:v>0.72200053372116546</c:v>
                </c:pt>
                <c:pt idx="349">
                  <c:v>0.72200053372116546</c:v>
                </c:pt>
                <c:pt idx="350">
                  <c:v>0.72200053372116546</c:v>
                </c:pt>
                <c:pt idx="351">
                  <c:v>0.72200053372116546</c:v>
                </c:pt>
                <c:pt idx="352">
                  <c:v>0.72200053372116546</c:v>
                </c:pt>
                <c:pt idx="353">
                  <c:v>0.72200053372116546</c:v>
                </c:pt>
                <c:pt idx="354">
                  <c:v>0.72200053372116546</c:v>
                </c:pt>
                <c:pt idx="355">
                  <c:v>0.72200053372116546</c:v>
                </c:pt>
                <c:pt idx="356">
                  <c:v>0.72200053372116546</c:v>
                </c:pt>
                <c:pt idx="357">
                  <c:v>0.72200053372116546</c:v>
                </c:pt>
                <c:pt idx="358">
                  <c:v>0.72200053372116546</c:v>
                </c:pt>
                <c:pt idx="359">
                  <c:v>0.72200053372116546</c:v>
                </c:pt>
                <c:pt idx="360">
                  <c:v>0.72200053372116546</c:v>
                </c:pt>
                <c:pt idx="361">
                  <c:v>0.72200053372116546</c:v>
                </c:pt>
                <c:pt idx="362">
                  <c:v>0.72200053372116546</c:v>
                </c:pt>
                <c:pt idx="363">
                  <c:v>0.72200053372116546</c:v>
                </c:pt>
                <c:pt idx="364">
                  <c:v>0.72200053372116546</c:v>
                </c:pt>
                <c:pt idx="365">
                  <c:v>0.72200053372116546</c:v>
                </c:pt>
                <c:pt idx="366">
                  <c:v>0.72200053372116546</c:v>
                </c:pt>
                <c:pt idx="367">
                  <c:v>0.72200053372116546</c:v>
                </c:pt>
                <c:pt idx="368">
                  <c:v>0.72200053372116546</c:v>
                </c:pt>
                <c:pt idx="369">
                  <c:v>0.72200053372116546</c:v>
                </c:pt>
                <c:pt idx="370">
                  <c:v>0.72200053372116546</c:v>
                </c:pt>
                <c:pt idx="371">
                  <c:v>0.72200053372116546</c:v>
                </c:pt>
                <c:pt idx="372">
                  <c:v>0.72200053372116546</c:v>
                </c:pt>
                <c:pt idx="373">
                  <c:v>0.72200053372116546</c:v>
                </c:pt>
                <c:pt idx="374">
                  <c:v>0.72200053372116546</c:v>
                </c:pt>
                <c:pt idx="375">
                  <c:v>0.72200053372116546</c:v>
                </c:pt>
                <c:pt idx="376">
                  <c:v>0.72200053372116546</c:v>
                </c:pt>
                <c:pt idx="377">
                  <c:v>0.72200053372116546</c:v>
                </c:pt>
                <c:pt idx="378">
                  <c:v>0.72200053372116546</c:v>
                </c:pt>
                <c:pt idx="379">
                  <c:v>0.72200053372116546</c:v>
                </c:pt>
                <c:pt idx="380">
                  <c:v>0.72200053372116546</c:v>
                </c:pt>
                <c:pt idx="381">
                  <c:v>0.72200053372116546</c:v>
                </c:pt>
                <c:pt idx="382">
                  <c:v>0.72200053372116546</c:v>
                </c:pt>
                <c:pt idx="383">
                  <c:v>0.72015866025886677</c:v>
                </c:pt>
                <c:pt idx="384">
                  <c:v>0.71971164605765647</c:v>
                </c:pt>
                <c:pt idx="385">
                  <c:v>0.71957149344874483</c:v>
                </c:pt>
                <c:pt idx="386">
                  <c:v>0.71949676254449446</c:v>
                </c:pt>
                <c:pt idx="387">
                  <c:v>0.71480765783315936</c:v>
                </c:pt>
                <c:pt idx="388">
                  <c:v>0.7132046615110581</c:v>
                </c:pt>
                <c:pt idx="389">
                  <c:v>0.71227755771238277</c:v>
                </c:pt>
                <c:pt idx="390">
                  <c:v>0.71206483214573246</c:v>
                </c:pt>
                <c:pt idx="391">
                  <c:v>0.69997751098087746</c:v>
                </c:pt>
                <c:pt idx="392">
                  <c:v>0.69929568467841086</c:v>
                </c:pt>
                <c:pt idx="393">
                  <c:v>0.69815665424176598</c:v>
                </c:pt>
                <c:pt idx="394">
                  <c:v>0.69352964019257202</c:v>
                </c:pt>
                <c:pt idx="395">
                  <c:v>0.69010812743789807</c:v>
                </c:pt>
                <c:pt idx="396">
                  <c:v>0.67786092330943626</c:v>
                </c:pt>
                <c:pt idx="397">
                  <c:v>0.67414983345424484</c:v>
                </c:pt>
                <c:pt idx="398">
                  <c:v>0.67208019482475745</c:v>
                </c:pt>
                <c:pt idx="399">
                  <c:v>0.65249766439394896</c:v>
                </c:pt>
                <c:pt idx="400">
                  <c:v>0.65038405571460278</c:v>
                </c:pt>
                <c:pt idx="401">
                  <c:v>0.64120451297745129</c:v>
                </c:pt>
                <c:pt idx="402">
                  <c:v>0.63567484573592148</c:v>
                </c:pt>
                <c:pt idx="403">
                  <c:v>0.63567484573592148</c:v>
                </c:pt>
                <c:pt idx="404">
                  <c:v>0.6497747080553028</c:v>
                </c:pt>
                <c:pt idx="405">
                  <c:v>0.65249766439394896</c:v>
                </c:pt>
                <c:pt idx="406">
                  <c:v>0.65826231620248554</c:v>
                </c:pt>
                <c:pt idx="407">
                  <c:v>0.65961439451288117</c:v>
                </c:pt>
                <c:pt idx="408">
                  <c:v>0.67278702933107049</c:v>
                </c:pt>
                <c:pt idx="409">
                  <c:v>0.6897059908149028</c:v>
                </c:pt>
                <c:pt idx="410">
                  <c:v>0.69792272155921542</c:v>
                </c:pt>
                <c:pt idx="411">
                  <c:v>0.70546969763135281</c:v>
                </c:pt>
                <c:pt idx="412">
                  <c:v>0.70546969763135281</c:v>
                </c:pt>
                <c:pt idx="413">
                  <c:v>0.71165332526792868</c:v>
                </c:pt>
                <c:pt idx="414">
                  <c:v>0.7122988247778379</c:v>
                </c:pt>
                <c:pt idx="415">
                  <c:v>0.7206016871413069</c:v>
                </c:pt>
                <c:pt idx="416">
                  <c:v>0.73122581730777558</c:v>
                </c:pt>
                <c:pt idx="417">
                  <c:v>0.73820296209672043</c:v>
                </c:pt>
                <c:pt idx="418">
                  <c:v>0.74427834674331061</c:v>
                </c:pt>
                <c:pt idx="419">
                  <c:v>0.77685776580293742</c:v>
                </c:pt>
                <c:pt idx="420">
                  <c:v>0.79747266741564449</c:v>
                </c:pt>
                <c:pt idx="421">
                  <c:v>0.80241563589070686</c:v>
                </c:pt>
                <c:pt idx="422">
                  <c:v>0.81164382446202632</c:v>
                </c:pt>
                <c:pt idx="423">
                  <c:v>0.81713327053251361</c:v>
                </c:pt>
                <c:pt idx="424">
                  <c:v>0.84200895474693738</c:v>
                </c:pt>
                <c:pt idx="425">
                  <c:v>0.843076693492534</c:v>
                </c:pt>
                <c:pt idx="426">
                  <c:v>0.8460280824683083</c:v>
                </c:pt>
                <c:pt idx="427">
                  <c:v>0.8460280824683083</c:v>
                </c:pt>
                <c:pt idx="428">
                  <c:v>0.84655964336584244</c:v>
                </c:pt>
                <c:pt idx="429">
                  <c:v>0.85266046427288433</c:v>
                </c:pt>
                <c:pt idx="430">
                  <c:v>0.85440491620787973</c:v>
                </c:pt>
                <c:pt idx="431">
                  <c:v>0.86363019514693318</c:v>
                </c:pt>
                <c:pt idx="432">
                  <c:v>0.86363019514693318</c:v>
                </c:pt>
                <c:pt idx="433">
                  <c:v>0.86363019514693318</c:v>
                </c:pt>
                <c:pt idx="434">
                  <c:v>0.86363019514693318</c:v>
                </c:pt>
                <c:pt idx="435">
                  <c:v>0.86363019514693318</c:v>
                </c:pt>
                <c:pt idx="436">
                  <c:v>0.86363019514693318</c:v>
                </c:pt>
                <c:pt idx="437">
                  <c:v>0.86363019514693318</c:v>
                </c:pt>
                <c:pt idx="438">
                  <c:v>0.86363019514693318</c:v>
                </c:pt>
                <c:pt idx="439">
                  <c:v>0.86363019514693318</c:v>
                </c:pt>
                <c:pt idx="440">
                  <c:v>0.86363019514693318</c:v>
                </c:pt>
                <c:pt idx="441">
                  <c:v>0.86363019514693318</c:v>
                </c:pt>
                <c:pt idx="442">
                  <c:v>0.86363019514693318</c:v>
                </c:pt>
                <c:pt idx="443">
                  <c:v>0.86363019514693318</c:v>
                </c:pt>
                <c:pt idx="444">
                  <c:v>0.86363019514693318</c:v>
                </c:pt>
                <c:pt idx="445">
                  <c:v>0.86363019514693318</c:v>
                </c:pt>
                <c:pt idx="446">
                  <c:v>0.86363019514693318</c:v>
                </c:pt>
                <c:pt idx="447">
                  <c:v>0.86363019514693318</c:v>
                </c:pt>
                <c:pt idx="448">
                  <c:v>0.86363019514693318</c:v>
                </c:pt>
                <c:pt idx="449">
                  <c:v>0.86363019514693318</c:v>
                </c:pt>
                <c:pt idx="450">
                  <c:v>0.86363019514693318</c:v>
                </c:pt>
                <c:pt idx="451">
                  <c:v>0.86363019514693318</c:v>
                </c:pt>
                <c:pt idx="452">
                  <c:v>0.86363019514693318</c:v>
                </c:pt>
                <c:pt idx="453">
                  <c:v>0.86363019514693318</c:v>
                </c:pt>
                <c:pt idx="454">
                  <c:v>0.86363019514693318</c:v>
                </c:pt>
                <c:pt idx="455">
                  <c:v>0.86363019514693318</c:v>
                </c:pt>
                <c:pt idx="456">
                  <c:v>0.86363019514693318</c:v>
                </c:pt>
                <c:pt idx="457">
                  <c:v>0.86363019514693318</c:v>
                </c:pt>
                <c:pt idx="458">
                  <c:v>0.86363019514693318</c:v>
                </c:pt>
                <c:pt idx="459">
                  <c:v>0.86363019514693318</c:v>
                </c:pt>
                <c:pt idx="460">
                  <c:v>0.86363019514693318</c:v>
                </c:pt>
                <c:pt idx="461">
                  <c:v>0.86363019514693318</c:v>
                </c:pt>
                <c:pt idx="462">
                  <c:v>0.86363019514693318</c:v>
                </c:pt>
                <c:pt idx="463">
                  <c:v>0.86363019514693318</c:v>
                </c:pt>
                <c:pt idx="464">
                  <c:v>0.86363019514693318</c:v>
                </c:pt>
                <c:pt idx="465">
                  <c:v>0.86539517297502089</c:v>
                </c:pt>
                <c:pt idx="466">
                  <c:v>0.86556077622367056</c:v>
                </c:pt>
                <c:pt idx="467">
                  <c:v>0.87217124443950678</c:v>
                </c:pt>
                <c:pt idx="468">
                  <c:v>0.87528189017990088</c:v>
                </c:pt>
                <c:pt idx="469">
                  <c:v>0.87723697734365413</c:v>
                </c:pt>
                <c:pt idx="470">
                  <c:v>0.90313173430998817</c:v>
                </c:pt>
                <c:pt idx="471">
                  <c:v>0.90313173430998817</c:v>
                </c:pt>
                <c:pt idx="472">
                  <c:v>0.90313173430998817</c:v>
                </c:pt>
                <c:pt idx="473">
                  <c:v>0.90313173430998817</c:v>
                </c:pt>
                <c:pt idx="474">
                  <c:v>0.90313173430998817</c:v>
                </c:pt>
                <c:pt idx="475">
                  <c:v>0.90313173430998817</c:v>
                </c:pt>
                <c:pt idx="476">
                  <c:v>0.90313173430998817</c:v>
                </c:pt>
                <c:pt idx="477">
                  <c:v>0.90313173430998817</c:v>
                </c:pt>
                <c:pt idx="478">
                  <c:v>0.90313173430998817</c:v>
                </c:pt>
                <c:pt idx="479">
                  <c:v>0.90313173430998817</c:v>
                </c:pt>
                <c:pt idx="480">
                  <c:v>0.87723697734365413</c:v>
                </c:pt>
                <c:pt idx="481">
                  <c:v>0.87723697734365413</c:v>
                </c:pt>
                <c:pt idx="482">
                  <c:v>0.87723697734365413</c:v>
                </c:pt>
                <c:pt idx="483">
                  <c:v>0.87529443816292374</c:v>
                </c:pt>
                <c:pt idx="484">
                  <c:v>0.87529443816292374</c:v>
                </c:pt>
                <c:pt idx="485">
                  <c:v>0.87529443816292374</c:v>
                </c:pt>
                <c:pt idx="486">
                  <c:v>0.87529443816292374</c:v>
                </c:pt>
                <c:pt idx="487">
                  <c:v>0.87529443816292374</c:v>
                </c:pt>
                <c:pt idx="488">
                  <c:v>0.87529443816292374</c:v>
                </c:pt>
                <c:pt idx="489">
                  <c:v>0.87529443816292374</c:v>
                </c:pt>
                <c:pt idx="490">
                  <c:v>0.87529443816292374</c:v>
                </c:pt>
                <c:pt idx="491">
                  <c:v>0.87529443816292374</c:v>
                </c:pt>
                <c:pt idx="492">
                  <c:v>0.87529443816292374</c:v>
                </c:pt>
                <c:pt idx="493">
                  <c:v>0.87529443816292374</c:v>
                </c:pt>
                <c:pt idx="494">
                  <c:v>0.87529443816292374</c:v>
                </c:pt>
                <c:pt idx="495">
                  <c:v>0.87529443816292374</c:v>
                </c:pt>
                <c:pt idx="496">
                  <c:v>0.87529443816292374</c:v>
                </c:pt>
                <c:pt idx="497">
                  <c:v>0.87529443816292374</c:v>
                </c:pt>
                <c:pt idx="498">
                  <c:v>0.87529443816292374</c:v>
                </c:pt>
                <c:pt idx="499">
                  <c:v>0.87529443816292374</c:v>
                </c:pt>
                <c:pt idx="500">
                  <c:v>0.87529443816292374</c:v>
                </c:pt>
                <c:pt idx="501">
                  <c:v>0.87529443816292374</c:v>
                </c:pt>
                <c:pt idx="502">
                  <c:v>0.87529443816292374</c:v>
                </c:pt>
                <c:pt idx="503">
                  <c:v>0.87529443816292374</c:v>
                </c:pt>
                <c:pt idx="504">
                  <c:v>0.87529443816292374</c:v>
                </c:pt>
                <c:pt idx="505">
                  <c:v>0.87529443816292374</c:v>
                </c:pt>
                <c:pt idx="506">
                  <c:v>0.87529443816292374</c:v>
                </c:pt>
                <c:pt idx="507">
                  <c:v>0.87529443816292374</c:v>
                </c:pt>
                <c:pt idx="508">
                  <c:v>0.87529443816292374</c:v>
                </c:pt>
                <c:pt idx="509">
                  <c:v>0.87529443816292374</c:v>
                </c:pt>
                <c:pt idx="510">
                  <c:v>0.87529443816292374</c:v>
                </c:pt>
                <c:pt idx="511">
                  <c:v>0.87529443816292374</c:v>
                </c:pt>
                <c:pt idx="512">
                  <c:v>0.87529443816292374</c:v>
                </c:pt>
                <c:pt idx="513">
                  <c:v>0.87529443816292374</c:v>
                </c:pt>
                <c:pt idx="514">
                  <c:v>0.87529443816292374</c:v>
                </c:pt>
                <c:pt idx="515">
                  <c:v>0.87529443816292374</c:v>
                </c:pt>
                <c:pt idx="516">
                  <c:v>0.87529443816292374</c:v>
                </c:pt>
                <c:pt idx="517">
                  <c:v>0.85300306962237082</c:v>
                </c:pt>
                <c:pt idx="518">
                  <c:v>0.8239136931984018</c:v>
                </c:pt>
                <c:pt idx="519">
                  <c:v>0.81393536869939975</c:v>
                </c:pt>
                <c:pt idx="520">
                  <c:v>0.80719838747031858</c:v>
                </c:pt>
                <c:pt idx="521">
                  <c:v>0.80141023729697591</c:v>
                </c:pt>
                <c:pt idx="522">
                  <c:v>0.78521007078007443</c:v>
                </c:pt>
                <c:pt idx="523">
                  <c:v>0.7640667609996693</c:v>
                </c:pt>
                <c:pt idx="524">
                  <c:v>0.76114497416847016</c:v>
                </c:pt>
                <c:pt idx="525">
                  <c:v>0.74319948248114032</c:v>
                </c:pt>
                <c:pt idx="526">
                  <c:v>0.74089508288469408</c:v>
                </c:pt>
                <c:pt idx="527">
                  <c:v>0.73770930762363651</c:v>
                </c:pt>
                <c:pt idx="528">
                  <c:v>0.73560882499321878</c:v>
                </c:pt>
                <c:pt idx="529">
                  <c:v>0.71827864301251809</c:v>
                </c:pt>
                <c:pt idx="530">
                  <c:v>0.70338907897008995</c:v>
                </c:pt>
                <c:pt idx="531">
                  <c:v>0.6897969254394154</c:v>
                </c:pt>
                <c:pt idx="532">
                  <c:v>0.68914078131588941</c:v>
                </c:pt>
                <c:pt idx="533">
                  <c:v>0.68573589215931929</c:v>
                </c:pt>
                <c:pt idx="534">
                  <c:v>0.68288030255151788</c:v>
                </c:pt>
                <c:pt idx="535">
                  <c:v>0.67496483204688817</c:v>
                </c:pt>
                <c:pt idx="536">
                  <c:v>0.66790371195633957</c:v>
                </c:pt>
                <c:pt idx="537">
                  <c:v>0.66746940445951319</c:v>
                </c:pt>
                <c:pt idx="538">
                  <c:v>0.6670625727442786</c:v>
                </c:pt>
                <c:pt idx="539">
                  <c:v>0.66645264724331599</c:v>
                </c:pt>
                <c:pt idx="540">
                  <c:v>0.66138985951377827</c:v>
                </c:pt>
                <c:pt idx="541">
                  <c:v>0.66138985951377827</c:v>
                </c:pt>
                <c:pt idx="542">
                  <c:v>0.66138985951377827</c:v>
                </c:pt>
                <c:pt idx="543">
                  <c:v>0.65997803941591537</c:v>
                </c:pt>
                <c:pt idx="544">
                  <c:v>0.65791892401993546</c:v>
                </c:pt>
                <c:pt idx="545">
                  <c:v>0.65565102482067072</c:v>
                </c:pt>
                <c:pt idx="546">
                  <c:v>0.6545144277850381</c:v>
                </c:pt>
                <c:pt idx="547">
                  <c:v>0.65239133029946839</c:v>
                </c:pt>
                <c:pt idx="548">
                  <c:v>0.65239133029946839</c:v>
                </c:pt>
                <c:pt idx="549">
                  <c:v>0.65074423024294425</c:v>
                </c:pt>
                <c:pt idx="550">
                  <c:v>0.65074423024294425</c:v>
                </c:pt>
                <c:pt idx="551">
                  <c:v>0.64965720073831201</c:v>
                </c:pt>
                <c:pt idx="552">
                  <c:v>0.64965720073831201</c:v>
                </c:pt>
                <c:pt idx="553">
                  <c:v>0.64965720073831201</c:v>
                </c:pt>
                <c:pt idx="554">
                  <c:v>0.64965720073831201</c:v>
                </c:pt>
                <c:pt idx="555">
                  <c:v>0.64965720073831201</c:v>
                </c:pt>
                <c:pt idx="556">
                  <c:v>0.64965720073831201</c:v>
                </c:pt>
                <c:pt idx="557">
                  <c:v>0.64965720073831201</c:v>
                </c:pt>
                <c:pt idx="558">
                  <c:v>0.64965720073831201</c:v>
                </c:pt>
                <c:pt idx="559">
                  <c:v>0.64965720073831201</c:v>
                </c:pt>
                <c:pt idx="560">
                  <c:v>0.64965720073831201</c:v>
                </c:pt>
                <c:pt idx="561">
                  <c:v>0.64179770034811112</c:v>
                </c:pt>
                <c:pt idx="562">
                  <c:v>0.64092049011089991</c:v>
                </c:pt>
                <c:pt idx="563">
                  <c:v>0.6407116871305798</c:v>
                </c:pt>
                <c:pt idx="564">
                  <c:v>0.6407116871305798</c:v>
                </c:pt>
                <c:pt idx="565">
                  <c:v>0.6407116871305798</c:v>
                </c:pt>
                <c:pt idx="566">
                  <c:v>0.6407116871305798</c:v>
                </c:pt>
                <c:pt idx="567">
                  <c:v>0.6407116871305798</c:v>
                </c:pt>
                <c:pt idx="568">
                  <c:v>0.6407116871305798</c:v>
                </c:pt>
                <c:pt idx="569">
                  <c:v>0.63831906454828535</c:v>
                </c:pt>
                <c:pt idx="570">
                  <c:v>0.63644433684637747</c:v>
                </c:pt>
                <c:pt idx="571">
                  <c:v>0.63644433684637747</c:v>
                </c:pt>
                <c:pt idx="572">
                  <c:v>0.63492397623452479</c:v>
                </c:pt>
                <c:pt idx="573">
                  <c:v>0.62983017768040606</c:v>
                </c:pt>
                <c:pt idx="574">
                  <c:v>0.62863334689931305</c:v>
                </c:pt>
                <c:pt idx="575">
                  <c:v>0.62863334689931305</c:v>
                </c:pt>
                <c:pt idx="576">
                  <c:v>0.62863334689931305</c:v>
                </c:pt>
                <c:pt idx="577">
                  <c:v>0.62743492935176071</c:v>
                </c:pt>
                <c:pt idx="578">
                  <c:v>0.62456865616267865</c:v>
                </c:pt>
                <c:pt idx="579">
                  <c:v>0.62456865616267865</c:v>
                </c:pt>
                <c:pt idx="580">
                  <c:v>0.62743492935176071</c:v>
                </c:pt>
                <c:pt idx="581">
                  <c:v>0.62743492935176071</c:v>
                </c:pt>
                <c:pt idx="582">
                  <c:v>0.62709373135633417</c:v>
                </c:pt>
                <c:pt idx="583">
                  <c:v>0.62124100517368497</c:v>
                </c:pt>
                <c:pt idx="584">
                  <c:v>0.62124100517368497</c:v>
                </c:pt>
                <c:pt idx="585">
                  <c:v>0.62071843870730625</c:v>
                </c:pt>
                <c:pt idx="586">
                  <c:v>0.61929001045653653</c:v>
                </c:pt>
                <c:pt idx="587">
                  <c:v>0.61929001045653653</c:v>
                </c:pt>
                <c:pt idx="588">
                  <c:v>0.61929001045653653</c:v>
                </c:pt>
                <c:pt idx="589">
                  <c:v>0.61635229936877467</c:v>
                </c:pt>
                <c:pt idx="590">
                  <c:v>0.61635229936877467</c:v>
                </c:pt>
                <c:pt idx="591">
                  <c:v>0.61584613354969309</c:v>
                </c:pt>
                <c:pt idx="592">
                  <c:v>0.61584613354969309</c:v>
                </c:pt>
                <c:pt idx="593">
                  <c:v>0.61639585793070917</c:v>
                </c:pt>
                <c:pt idx="594">
                  <c:v>0.61639585793070917</c:v>
                </c:pt>
                <c:pt idx="595">
                  <c:v>0.61639585793070917</c:v>
                </c:pt>
                <c:pt idx="596">
                  <c:v>0.61639585793070917</c:v>
                </c:pt>
                <c:pt idx="597">
                  <c:v>0.61639585793070917</c:v>
                </c:pt>
                <c:pt idx="598">
                  <c:v>0.61929001045653653</c:v>
                </c:pt>
                <c:pt idx="599">
                  <c:v>0.62071843870730625</c:v>
                </c:pt>
                <c:pt idx="600">
                  <c:v>0.62500407989398921</c:v>
                </c:pt>
                <c:pt idx="601">
                  <c:v>0.63259750312559793</c:v>
                </c:pt>
                <c:pt idx="602">
                  <c:v>0.63664085944511428</c:v>
                </c:pt>
                <c:pt idx="603">
                  <c:v>0.64572835910823567</c:v>
                </c:pt>
                <c:pt idx="604">
                  <c:v>0.65065627093584433</c:v>
                </c:pt>
                <c:pt idx="605">
                  <c:v>0.66114481557237803</c:v>
                </c:pt>
                <c:pt idx="606">
                  <c:v>0.66114481557237803</c:v>
                </c:pt>
                <c:pt idx="607">
                  <c:v>0.66114481557237803</c:v>
                </c:pt>
                <c:pt idx="608">
                  <c:v>0.66114481557237803</c:v>
                </c:pt>
                <c:pt idx="609">
                  <c:v>0.66114481557237803</c:v>
                </c:pt>
                <c:pt idx="610">
                  <c:v>0.66114481557237803</c:v>
                </c:pt>
                <c:pt idx="611">
                  <c:v>0.66114481557237803</c:v>
                </c:pt>
                <c:pt idx="612">
                  <c:v>0.66114481557237803</c:v>
                </c:pt>
                <c:pt idx="613">
                  <c:v>0.66114481557237803</c:v>
                </c:pt>
                <c:pt idx="614">
                  <c:v>0.66114481557237803</c:v>
                </c:pt>
                <c:pt idx="615">
                  <c:v>0.66114481557237803</c:v>
                </c:pt>
                <c:pt idx="616">
                  <c:v>0.66114481557237803</c:v>
                </c:pt>
                <c:pt idx="617">
                  <c:v>0.66114481557237803</c:v>
                </c:pt>
                <c:pt idx="618">
                  <c:v>0.66114481557237803</c:v>
                </c:pt>
                <c:pt idx="619">
                  <c:v>0.6615052234073816</c:v>
                </c:pt>
                <c:pt idx="620">
                  <c:v>0.66161565562275859</c:v>
                </c:pt>
                <c:pt idx="621">
                  <c:v>0.66161565562275859</c:v>
                </c:pt>
                <c:pt idx="622">
                  <c:v>0.66161565562275859</c:v>
                </c:pt>
                <c:pt idx="623">
                  <c:v>0.66161565562275859</c:v>
                </c:pt>
                <c:pt idx="624">
                  <c:v>0.66161565562275859</c:v>
                </c:pt>
                <c:pt idx="625">
                  <c:v>0.66161565562275859</c:v>
                </c:pt>
                <c:pt idx="626">
                  <c:v>0.66161565562275859</c:v>
                </c:pt>
                <c:pt idx="627">
                  <c:v>0.66161565562275859</c:v>
                </c:pt>
                <c:pt idx="628">
                  <c:v>0.66161565562275859</c:v>
                </c:pt>
                <c:pt idx="629">
                  <c:v>0.66161565562275859</c:v>
                </c:pt>
                <c:pt idx="630">
                  <c:v>0.66161565562275859</c:v>
                </c:pt>
                <c:pt idx="631">
                  <c:v>0.66161565562275859</c:v>
                </c:pt>
                <c:pt idx="632">
                  <c:v>0.66161565562275859</c:v>
                </c:pt>
                <c:pt idx="633">
                  <c:v>0.66161565562275859</c:v>
                </c:pt>
                <c:pt idx="634">
                  <c:v>0.66161565562275859</c:v>
                </c:pt>
                <c:pt idx="635">
                  <c:v>0.66161565562275859</c:v>
                </c:pt>
                <c:pt idx="636">
                  <c:v>0.66161565562275859</c:v>
                </c:pt>
                <c:pt idx="637">
                  <c:v>0.66161565562275859</c:v>
                </c:pt>
                <c:pt idx="638">
                  <c:v>0.66161565562275859</c:v>
                </c:pt>
                <c:pt idx="639">
                  <c:v>0.66161565562275859</c:v>
                </c:pt>
                <c:pt idx="640">
                  <c:v>0.66161565562275859</c:v>
                </c:pt>
                <c:pt idx="641">
                  <c:v>0.66161565562275859</c:v>
                </c:pt>
                <c:pt idx="642">
                  <c:v>0.66161565562275859</c:v>
                </c:pt>
                <c:pt idx="643">
                  <c:v>0.66161565562275859</c:v>
                </c:pt>
                <c:pt idx="644">
                  <c:v>0.66161565562275859</c:v>
                </c:pt>
                <c:pt idx="645">
                  <c:v>0.66161565562275859</c:v>
                </c:pt>
                <c:pt idx="646">
                  <c:v>0.66161565562275859</c:v>
                </c:pt>
                <c:pt idx="647">
                  <c:v>0.66161565562275859</c:v>
                </c:pt>
                <c:pt idx="648">
                  <c:v>0.66161565562275859</c:v>
                </c:pt>
                <c:pt idx="649">
                  <c:v>0.66161565562275859</c:v>
                </c:pt>
                <c:pt idx="650">
                  <c:v>0.66161565562275859</c:v>
                </c:pt>
                <c:pt idx="651">
                  <c:v>0.65569405319677387</c:v>
                </c:pt>
                <c:pt idx="652">
                  <c:v>0.65433975542337774</c:v>
                </c:pt>
                <c:pt idx="653">
                  <c:v>0.65099159883397939</c:v>
                </c:pt>
                <c:pt idx="654">
                  <c:v>0.64946171513265349</c:v>
                </c:pt>
                <c:pt idx="655">
                  <c:v>0.64407345256182214</c:v>
                </c:pt>
                <c:pt idx="656">
                  <c:v>0.64326157081084678</c:v>
                </c:pt>
                <c:pt idx="657">
                  <c:v>0.64258053884163846</c:v>
                </c:pt>
                <c:pt idx="658">
                  <c:v>0.64258053884163846</c:v>
                </c:pt>
                <c:pt idx="659">
                  <c:v>0.64174331282966324</c:v>
                </c:pt>
                <c:pt idx="660">
                  <c:v>0.64174331282966324</c:v>
                </c:pt>
                <c:pt idx="661">
                  <c:v>0.64174331282966324</c:v>
                </c:pt>
                <c:pt idx="662">
                  <c:v>0.64258053884163846</c:v>
                </c:pt>
                <c:pt idx="663">
                  <c:v>0.65349532882629147</c:v>
                </c:pt>
                <c:pt idx="664">
                  <c:v>0.65569405319677387</c:v>
                </c:pt>
                <c:pt idx="665">
                  <c:v>0.69441071356597006</c:v>
                </c:pt>
                <c:pt idx="666">
                  <c:v>0.70173392413576763</c:v>
                </c:pt>
                <c:pt idx="667">
                  <c:v>0.7242256309387195</c:v>
                </c:pt>
                <c:pt idx="668">
                  <c:v>0.72884093546403739</c:v>
                </c:pt>
                <c:pt idx="669">
                  <c:v>0.7331987769304904</c:v>
                </c:pt>
                <c:pt idx="670">
                  <c:v>0.73488619895016694</c:v>
                </c:pt>
                <c:pt idx="671">
                  <c:v>0.73894754924030603</c:v>
                </c:pt>
                <c:pt idx="672">
                  <c:v>0.75679696016375986</c:v>
                </c:pt>
                <c:pt idx="673">
                  <c:v>0.75985746127545462</c:v>
                </c:pt>
                <c:pt idx="674">
                  <c:v>0.79534095035672969</c:v>
                </c:pt>
                <c:pt idx="675">
                  <c:v>0.8440879257142575</c:v>
                </c:pt>
                <c:pt idx="676">
                  <c:v>0.86526269497010844</c:v>
                </c:pt>
                <c:pt idx="677">
                  <c:v>0.86558382530091393</c:v>
                </c:pt>
                <c:pt idx="678">
                  <c:v>0.86558382530091393</c:v>
                </c:pt>
                <c:pt idx="679">
                  <c:v>0.86558382530091393</c:v>
                </c:pt>
                <c:pt idx="680">
                  <c:v>0.86558382530091393</c:v>
                </c:pt>
                <c:pt idx="681">
                  <c:v>0.86558382530091393</c:v>
                </c:pt>
                <c:pt idx="682">
                  <c:v>0.86558382530091393</c:v>
                </c:pt>
                <c:pt idx="683">
                  <c:v>0.86558382530091393</c:v>
                </c:pt>
                <c:pt idx="684">
                  <c:v>0.86558382530091393</c:v>
                </c:pt>
                <c:pt idx="685">
                  <c:v>0.86558382530091393</c:v>
                </c:pt>
                <c:pt idx="686">
                  <c:v>0.86558382530091393</c:v>
                </c:pt>
                <c:pt idx="687">
                  <c:v>0.86558382530091393</c:v>
                </c:pt>
                <c:pt idx="688">
                  <c:v>0.86558382530091393</c:v>
                </c:pt>
                <c:pt idx="689">
                  <c:v>0.86558382530091393</c:v>
                </c:pt>
                <c:pt idx="690">
                  <c:v>0.86558382530091393</c:v>
                </c:pt>
                <c:pt idx="691">
                  <c:v>0.86608526111376372</c:v>
                </c:pt>
                <c:pt idx="692">
                  <c:v>0.86656960595916543</c:v>
                </c:pt>
                <c:pt idx="693">
                  <c:v>0.88763712362486502</c:v>
                </c:pt>
                <c:pt idx="694">
                  <c:v>0.91737376789541392</c:v>
                </c:pt>
                <c:pt idx="695">
                  <c:v>0.93299437117990547</c:v>
                </c:pt>
                <c:pt idx="696">
                  <c:v>0.94735184036387221</c:v>
                </c:pt>
                <c:pt idx="697">
                  <c:v>0.94735184036387221</c:v>
                </c:pt>
                <c:pt idx="698">
                  <c:v>0.94735184036387221</c:v>
                </c:pt>
                <c:pt idx="699">
                  <c:v>0.94735184036387221</c:v>
                </c:pt>
                <c:pt idx="700">
                  <c:v>0.94973064628469728</c:v>
                </c:pt>
                <c:pt idx="701">
                  <c:v>0.95351647550961549</c:v>
                </c:pt>
                <c:pt idx="702">
                  <c:v>0.96547467061992809</c:v>
                </c:pt>
                <c:pt idx="703">
                  <c:v>0.96916349732643425</c:v>
                </c:pt>
                <c:pt idx="704">
                  <c:v>0.98971628262513711</c:v>
                </c:pt>
                <c:pt idx="705">
                  <c:v>0.98971628262513711</c:v>
                </c:pt>
                <c:pt idx="706">
                  <c:v>0.98971628262513711</c:v>
                </c:pt>
                <c:pt idx="707">
                  <c:v>0.98971628262513711</c:v>
                </c:pt>
                <c:pt idx="708">
                  <c:v>0.98971628262513711</c:v>
                </c:pt>
                <c:pt idx="709">
                  <c:v>0.98971628262513711</c:v>
                </c:pt>
                <c:pt idx="710">
                  <c:v>0.98971628262513711</c:v>
                </c:pt>
                <c:pt idx="711">
                  <c:v>0.9938958093308613</c:v>
                </c:pt>
                <c:pt idx="712">
                  <c:v>0.99431494869296766</c:v>
                </c:pt>
                <c:pt idx="713">
                  <c:v>1.002373149373319</c:v>
                </c:pt>
                <c:pt idx="714">
                  <c:v>1.0055340517115556</c:v>
                </c:pt>
                <c:pt idx="715">
                  <c:v>1.0098463271304965</c:v>
                </c:pt>
                <c:pt idx="716">
                  <c:v>1.0122295441223914</c:v>
                </c:pt>
                <c:pt idx="717">
                  <c:v>1.0214334598201564</c:v>
                </c:pt>
                <c:pt idx="718">
                  <c:v>1.0355343122942888</c:v>
                </c:pt>
                <c:pt idx="719">
                  <c:v>1.0499961988798232</c:v>
                </c:pt>
                <c:pt idx="720">
                  <c:v>1.0660648595241173</c:v>
                </c:pt>
                <c:pt idx="721">
                  <c:v>1.0771781915634959</c:v>
                </c:pt>
                <c:pt idx="722">
                  <c:v>1.1220553225189616</c:v>
                </c:pt>
                <c:pt idx="723">
                  <c:v>1.1517020020532505</c:v>
                </c:pt>
                <c:pt idx="724">
                  <c:v>1.1517020020532505</c:v>
                </c:pt>
                <c:pt idx="725">
                  <c:v>1.1517020020532505</c:v>
                </c:pt>
                <c:pt idx="726">
                  <c:v>1.1517020020532505</c:v>
                </c:pt>
                <c:pt idx="727">
                  <c:v>1.1517020020532505</c:v>
                </c:pt>
                <c:pt idx="728">
                  <c:v>1.1517470381561075</c:v>
                </c:pt>
                <c:pt idx="729">
                  <c:v>1.1531943961522046</c:v>
                </c:pt>
                <c:pt idx="730">
                  <c:v>1.1531943961522046</c:v>
                </c:pt>
                <c:pt idx="731">
                  <c:v>1.1531943961522046</c:v>
                </c:pt>
                <c:pt idx="732">
                  <c:v>1.193584234180852</c:v>
                </c:pt>
                <c:pt idx="733">
                  <c:v>1.1992938401944944</c:v>
                </c:pt>
                <c:pt idx="734">
                  <c:v>1.2024357344302645</c:v>
                </c:pt>
                <c:pt idx="735">
                  <c:v>1.2024357344302645</c:v>
                </c:pt>
                <c:pt idx="736">
                  <c:v>1.2024357344302645</c:v>
                </c:pt>
                <c:pt idx="737">
                  <c:v>1.2024357344302645</c:v>
                </c:pt>
                <c:pt idx="738">
                  <c:v>1.2024357344302645</c:v>
                </c:pt>
                <c:pt idx="739">
                  <c:v>1.2024357344302645</c:v>
                </c:pt>
                <c:pt idx="740">
                  <c:v>1.2024357344302645</c:v>
                </c:pt>
                <c:pt idx="741">
                  <c:v>1.2024357344302645</c:v>
                </c:pt>
                <c:pt idx="742">
                  <c:v>1.2024357344302645</c:v>
                </c:pt>
                <c:pt idx="743">
                  <c:v>1.2024357344302645</c:v>
                </c:pt>
                <c:pt idx="744">
                  <c:v>1.2031906788005895</c:v>
                </c:pt>
                <c:pt idx="745">
                  <c:v>1.2061714024208017</c:v>
                </c:pt>
                <c:pt idx="746">
                  <c:v>1.2087093981443162</c:v>
                </c:pt>
                <c:pt idx="747">
                  <c:v>1.2094084436565633</c:v>
                </c:pt>
                <c:pt idx="748">
                  <c:v>1.2190503066561733</c:v>
                </c:pt>
                <c:pt idx="749">
                  <c:v>1.2192888515215592</c:v>
                </c:pt>
                <c:pt idx="750">
                  <c:v>1.2192888515215592</c:v>
                </c:pt>
                <c:pt idx="751">
                  <c:v>1.2192888515215592</c:v>
                </c:pt>
                <c:pt idx="752">
                  <c:v>1.2192888515215592</c:v>
                </c:pt>
                <c:pt idx="753">
                  <c:v>1.2192888515215592</c:v>
                </c:pt>
                <c:pt idx="754">
                  <c:v>1.2192888515215592</c:v>
                </c:pt>
                <c:pt idx="755">
                  <c:v>1.2192888515215592</c:v>
                </c:pt>
                <c:pt idx="756">
                  <c:v>1.2211742136991564</c:v>
                </c:pt>
                <c:pt idx="757">
                  <c:v>1.2329993166884632</c:v>
                </c:pt>
                <c:pt idx="758">
                  <c:v>1.2403405331814119</c:v>
                </c:pt>
                <c:pt idx="759">
                  <c:v>1.2454338264072831</c:v>
                </c:pt>
                <c:pt idx="760">
                  <c:v>1.2567653588035592</c:v>
                </c:pt>
                <c:pt idx="761">
                  <c:v>1.2605902651732208</c:v>
                </c:pt>
                <c:pt idx="762">
                  <c:v>1.2809740893869888</c:v>
                </c:pt>
                <c:pt idx="763">
                  <c:v>1.2921008422752276</c:v>
                </c:pt>
                <c:pt idx="764">
                  <c:v>1.325142663258589</c:v>
                </c:pt>
                <c:pt idx="765">
                  <c:v>1.325142663258589</c:v>
                </c:pt>
                <c:pt idx="766">
                  <c:v>1.3260638936921449</c:v>
                </c:pt>
                <c:pt idx="767">
                  <c:v>1.3260638936921449</c:v>
                </c:pt>
                <c:pt idx="768">
                  <c:v>1.3260638936921449</c:v>
                </c:pt>
                <c:pt idx="769">
                  <c:v>1.3260638936921449</c:v>
                </c:pt>
                <c:pt idx="770">
                  <c:v>1.3260638936921449</c:v>
                </c:pt>
                <c:pt idx="771">
                  <c:v>1.3260638936921449</c:v>
                </c:pt>
                <c:pt idx="772">
                  <c:v>1.3260638936921449</c:v>
                </c:pt>
                <c:pt idx="773">
                  <c:v>1.3260638936921449</c:v>
                </c:pt>
                <c:pt idx="774">
                  <c:v>1.3013801644729213</c:v>
                </c:pt>
                <c:pt idx="775">
                  <c:v>1.3260638936921449</c:v>
                </c:pt>
                <c:pt idx="776">
                  <c:v>1.3351933468253174</c:v>
                </c:pt>
                <c:pt idx="777">
                  <c:v>1.3518336530497892</c:v>
                </c:pt>
                <c:pt idx="778">
                  <c:v>1.3545351879869243</c:v>
                </c:pt>
                <c:pt idx="779">
                  <c:v>1.3641000016968625</c:v>
                </c:pt>
                <c:pt idx="780">
                  <c:v>1.426106129371032</c:v>
                </c:pt>
                <c:pt idx="781">
                  <c:v>1.436240504790681</c:v>
                </c:pt>
                <c:pt idx="782">
                  <c:v>1.4441607018751312</c:v>
                </c:pt>
                <c:pt idx="783">
                  <c:v>1.460804913484151</c:v>
                </c:pt>
                <c:pt idx="784">
                  <c:v>1.4723509237688217</c:v>
                </c:pt>
                <c:pt idx="785">
                  <c:v>1.4723509237688217</c:v>
                </c:pt>
                <c:pt idx="786">
                  <c:v>1.4723509237688217</c:v>
                </c:pt>
                <c:pt idx="787">
                  <c:v>1.4723509237688217</c:v>
                </c:pt>
                <c:pt idx="788">
                  <c:v>1.4723509237688217</c:v>
                </c:pt>
                <c:pt idx="789">
                  <c:v>1.4723509237688217</c:v>
                </c:pt>
                <c:pt idx="790">
                  <c:v>1.4723509237688217</c:v>
                </c:pt>
                <c:pt idx="791">
                  <c:v>1.4723509237688217</c:v>
                </c:pt>
                <c:pt idx="792">
                  <c:v>1.4723509237688217</c:v>
                </c:pt>
                <c:pt idx="793">
                  <c:v>1.4723509237688217</c:v>
                </c:pt>
                <c:pt idx="794">
                  <c:v>1.4723509237688217</c:v>
                </c:pt>
                <c:pt idx="795">
                  <c:v>1.4723509237688217</c:v>
                </c:pt>
                <c:pt idx="796">
                  <c:v>1.4723509237688217</c:v>
                </c:pt>
                <c:pt idx="797">
                  <c:v>1.4723509237688217</c:v>
                </c:pt>
                <c:pt idx="798">
                  <c:v>1.4723509237688217</c:v>
                </c:pt>
                <c:pt idx="799">
                  <c:v>1.4723509237688217</c:v>
                </c:pt>
                <c:pt idx="800">
                  <c:v>1.4723509237688217</c:v>
                </c:pt>
                <c:pt idx="801">
                  <c:v>1.4723509237688217</c:v>
                </c:pt>
                <c:pt idx="802">
                  <c:v>1.4723509237688217</c:v>
                </c:pt>
                <c:pt idx="803">
                  <c:v>1.4723509237688217</c:v>
                </c:pt>
                <c:pt idx="804">
                  <c:v>1.4723509237688217</c:v>
                </c:pt>
                <c:pt idx="805">
                  <c:v>1.4723509237688217</c:v>
                </c:pt>
                <c:pt idx="806">
                  <c:v>1.4723509237688217</c:v>
                </c:pt>
                <c:pt idx="807">
                  <c:v>1.4723509237688217</c:v>
                </c:pt>
                <c:pt idx="808">
                  <c:v>1.4723509237688217</c:v>
                </c:pt>
                <c:pt idx="809">
                  <c:v>1.4723509237688217</c:v>
                </c:pt>
                <c:pt idx="810">
                  <c:v>1.4723509237688217</c:v>
                </c:pt>
                <c:pt idx="811">
                  <c:v>1.4723509237688217</c:v>
                </c:pt>
                <c:pt idx="812">
                  <c:v>1.4792637016885954</c:v>
                </c:pt>
                <c:pt idx="813">
                  <c:v>1.4792637016885954</c:v>
                </c:pt>
                <c:pt idx="814">
                  <c:v>1.4792637016885954</c:v>
                </c:pt>
                <c:pt idx="815">
                  <c:v>1.4792637016885954</c:v>
                </c:pt>
                <c:pt idx="816">
                  <c:v>1.4792637016885954</c:v>
                </c:pt>
                <c:pt idx="817">
                  <c:v>1.4792637016885954</c:v>
                </c:pt>
                <c:pt idx="818">
                  <c:v>1.4792637016885954</c:v>
                </c:pt>
                <c:pt idx="819">
                  <c:v>1.4792637016885954</c:v>
                </c:pt>
                <c:pt idx="820">
                  <c:v>1.4792637016885954</c:v>
                </c:pt>
                <c:pt idx="821">
                  <c:v>1.4792637016885954</c:v>
                </c:pt>
                <c:pt idx="822">
                  <c:v>1.4792637016885954</c:v>
                </c:pt>
                <c:pt idx="823">
                  <c:v>1.4792637016885954</c:v>
                </c:pt>
                <c:pt idx="824">
                  <c:v>1.4792637016885954</c:v>
                </c:pt>
                <c:pt idx="825">
                  <c:v>1.4792637016885954</c:v>
                </c:pt>
                <c:pt idx="826">
                  <c:v>1.4792637016885954</c:v>
                </c:pt>
                <c:pt idx="827">
                  <c:v>1.4792637016885954</c:v>
                </c:pt>
                <c:pt idx="828">
                  <c:v>1.4792637016885954</c:v>
                </c:pt>
                <c:pt idx="829">
                  <c:v>1.4792637016885954</c:v>
                </c:pt>
                <c:pt idx="830">
                  <c:v>1.4710639677205364</c:v>
                </c:pt>
                <c:pt idx="831">
                  <c:v>1.4710639677205364</c:v>
                </c:pt>
                <c:pt idx="832">
                  <c:v>1.4489209525584066</c:v>
                </c:pt>
                <c:pt idx="833">
                  <c:v>1.4402014364372302</c:v>
                </c:pt>
                <c:pt idx="834">
                  <c:v>1.4240324272168148</c:v>
                </c:pt>
                <c:pt idx="835">
                  <c:v>1.4217921485313241</c:v>
                </c:pt>
                <c:pt idx="836">
                  <c:v>1.4103964444648409</c:v>
                </c:pt>
                <c:pt idx="837">
                  <c:v>1.408278223387327</c:v>
                </c:pt>
                <c:pt idx="838">
                  <c:v>1.4055625935132028</c:v>
                </c:pt>
                <c:pt idx="839">
                  <c:v>1.4055625935132028</c:v>
                </c:pt>
                <c:pt idx="840">
                  <c:v>1.3880343337784882</c:v>
                </c:pt>
                <c:pt idx="841">
                  <c:v>1.3871268199705824</c:v>
                </c:pt>
                <c:pt idx="842">
                  <c:v>1.3836718205840153</c:v>
                </c:pt>
                <c:pt idx="843">
                  <c:v>1.3836718205840153</c:v>
                </c:pt>
                <c:pt idx="844">
                  <c:v>1.3783047140609224</c:v>
                </c:pt>
                <c:pt idx="845">
                  <c:v>1.3783047140609224</c:v>
                </c:pt>
                <c:pt idx="846">
                  <c:v>1.3652627533083617</c:v>
                </c:pt>
                <c:pt idx="847">
                  <c:v>1.3652627533083617</c:v>
                </c:pt>
                <c:pt idx="848">
                  <c:v>1.3652627533083617</c:v>
                </c:pt>
                <c:pt idx="849">
                  <c:v>1.3652627533083617</c:v>
                </c:pt>
                <c:pt idx="850">
                  <c:v>1.3652627533083617</c:v>
                </c:pt>
                <c:pt idx="851">
                  <c:v>1.3652627533083617</c:v>
                </c:pt>
                <c:pt idx="852">
                  <c:v>1.3652627533083617</c:v>
                </c:pt>
                <c:pt idx="853">
                  <c:v>1.3652627533083617</c:v>
                </c:pt>
                <c:pt idx="854">
                  <c:v>1.3652627533083617</c:v>
                </c:pt>
                <c:pt idx="855">
                  <c:v>1.3783047140609224</c:v>
                </c:pt>
                <c:pt idx="856">
                  <c:v>1.3866761250396755</c:v>
                </c:pt>
                <c:pt idx="857">
                  <c:v>1.3866761250396755</c:v>
                </c:pt>
                <c:pt idx="858">
                  <c:v>1.3866761250396755</c:v>
                </c:pt>
                <c:pt idx="859">
                  <c:v>1.3866761250396755</c:v>
                </c:pt>
                <c:pt idx="860">
                  <c:v>1.3866761250396755</c:v>
                </c:pt>
                <c:pt idx="861">
                  <c:v>1.3866761250396755</c:v>
                </c:pt>
                <c:pt idx="862">
                  <c:v>1.3866761250396755</c:v>
                </c:pt>
                <c:pt idx="863">
                  <c:v>1.3790198258320154</c:v>
                </c:pt>
                <c:pt idx="864">
                  <c:v>1.3729430506963709</c:v>
                </c:pt>
                <c:pt idx="865">
                  <c:v>1.3652627533083617</c:v>
                </c:pt>
                <c:pt idx="866">
                  <c:v>1.3537630089103734</c:v>
                </c:pt>
                <c:pt idx="867">
                  <c:v>1.3494279620270009</c:v>
                </c:pt>
                <c:pt idx="868">
                  <c:v>1.3325663455627577</c:v>
                </c:pt>
                <c:pt idx="869">
                  <c:v>1.3118666209339942</c:v>
                </c:pt>
                <c:pt idx="870">
                  <c:v>1.3065700038016046</c:v>
                </c:pt>
                <c:pt idx="871">
                  <c:v>1.3065700038016046</c:v>
                </c:pt>
                <c:pt idx="872">
                  <c:v>1.3118666209339942</c:v>
                </c:pt>
                <c:pt idx="873">
                  <c:v>1.3264744537894448</c:v>
                </c:pt>
                <c:pt idx="874">
                  <c:v>1.3341264937328956</c:v>
                </c:pt>
                <c:pt idx="875">
                  <c:v>1.3361587541323146</c:v>
                </c:pt>
                <c:pt idx="876">
                  <c:v>1.3699232814510125</c:v>
                </c:pt>
                <c:pt idx="877">
                  <c:v>1.3995698529847351</c:v>
                </c:pt>
                <c:pt idx="878">
                  <c:v>1.4024934676881486</c:v>
                </c:pt>
                <c:pt idx="879">
                  <c:v>1.4386433902220763</c:v>
                </c:pt>
                <c:pt idx="880">
                  <c:v>1.5741679656088825</c:v>
                </c:pt>
                <c:pt idx="881">
                  <c:v>1.5882878061329611</c:v>
                </c:pt>
                <c:pt idx="882">
                  <c:v>1.5882878061329611</c:v>
                </c:pt>
                <c:pt idx="883">
                  <c:v>1.5882878061329611</c:v>
                </c:pt>
                <c:pt idx="884">
                  <c:v>1.5882878061329611</c:v>
                </c:pt>
                <c:pt idx="885">
                  <c:v>1.5882878061329611</c:v>
                </c:pt>
                <c:pt idx="886">
                  <c:v>1.5882878061329611</c:v>
                </c:pt>
                <c:pt idx="887">
                  <c:v>1.5882878061329611</c:v>
                </c:pt>
                <c:pt idx="888">
                  <c:v>1.5882878061329611</c:v>
                </c:pt>
                <c:pt idx="889">
                  <c:v>1.5882878061329611</c:v>
                </c:pt>
                <c:pt idx="890">
                  <c:v>1.5882878061329611</c:v>
                </c:pt>
                <c:pt idx="891">
                  <c:v>1.5882878061329611</c:v>
                </c:pt>
                <c:pt idx="892">
                  <c:v>1.5882878061329611</c:v>
                </c:pt>
                <c:pt idx="893">
                  <c:v>1.5882878061329611</c:v>
                </c:pt>
                <c:pt idx="894">
                  <c:v>1.5882878061329611</c:v>
                </c:pt>
                <c:pt idx="895">
                  <c:v>1.5882878061329611</c:v>
                </c:pt>
                <c:pt idx="896">
                  <c:v>1.5882878061329611</c:v>
                </c:pt>
                <c:pt idx="897">
                  <c:v>1.5882878061329611</c:v>
                </c:pt>
                <c:pt idx="898">
                  <c:v>1.5882878061329611</c:v>
                </c:pt>
                <c:pt idx="899">
                  <c:v>1.5882878061329611</c:v>
                </c:pt>
                <c:pt idx="900">
                  <c:v>1.5882878061329611</c:v>
                </c:pt>
                <c:pt idx="901">
                  <c:v>1.5882878061329611</c:v>
                </c:pt>
                <c:pt idx="902">
                  <c:v>1.5882878061329611</c:v>
                </c:pt>
                <c:pt idx="903">
                  <c:v>1.5882878061329611</c:v>
                </c:pt>
                <c:pt idx="904">
                  <c:v>1.5882878061329611</c:v>
                </c:pt>
                <c:pt idx="905">
                  <c:v>1.5882878061329611</c:v>
                </c:pt>
                <c:pt idx="906">
                  <c:v>1.5882878061329611</c:v>
                </c:pt>
                <c:pt idx="907">
                  <c:v>1.5882878061329611</c:v>
                </c:pt>
                <c:pt idx="908">
                  <c:v>1.5882878061329611</c:v>
                </c:pt>
                <c:pt idx="909">
                  <c:v>1.5882878061329611</c:v>
                </c:pt>
                <c:pt idx="910">
                  <c:v>1.5882878061329611</c:v>
                </c:pt>
                <c:pt idx="911">
                  <c:v>1.5882878061329611</c:v>
                </c:pt>
                <c:pt idx="912">
                  <c:v>1.5882878061329611</c:v>
                </c:pt>
                <c:pt idx="913">
                  <c:v>1.5882878061329611</c:v>
                </c:pt>
                <c:pt idx="914">
                  <c:v>1.5882878061329611</c:v>
                </c:pt>
                <c:pt idx="915">
                  <c:v>1.5882878061329611</c:v>
                </c:pt>
                <c:pt idx="916">
                  <c:v>1.5882878061329611</c:v>
                </c:pt>
                <c:pt idx="917">
                  <c:v>1.5882878061329611</c:v>
                </c:pt>
                <c:pt idx="918">
                  <c:v>1.5882878061329611</c:v>
                </c:pt>
                <c:pt idx="919">
                  <c:v>1.5882878061329611</c:v>
                </c:pt>
                <c:pt idx="920">
                  <c:v>1.5882878061329611</c:v>
                </c:pt>
                <c:pt idx="921">
                  <c:v>1.5882878061329611</c:v>
                </c:pt>
                <c:pt idx="922">
                  <c:v>1.5882878061329611</c:v>
                </c:pt>
                <c:pt idx="923">
                  <c:v>1.5882878061329611</c:v>
                </c:pt>
                <c:pt idx="924">
                  <c:v>1.5882878061329611</c:v>
                </c:pt>
                <c:pt idx="925">
                  <c:v>1.5882878061329611</c:v>
                </c:pt>
                <c:pt idx="926">
                  <c:v>1.5882878061329611</c:v>
                </c:pt>
                <c:pt idx="927">
                  <c:v>1.5620395571603369</c:v>
                </c:pt>
                <c:pt idx="928">
                  <c:v>1.3640733899584478</c:v>
                </c:pt>
                <c:pt idx="929">
                  <c:v>1.3459053604617675</c:v>
                </c:pt>
                <c:pt idx="930">
                  <c:v>1.3031629775574463</c:v>
                </c:pt>
                <c:pt idx="931">
                  <c:v>1.218650891579022</c:v>
                </c:pt>
                <c:pt idx="932">
                  <c:v>1.1778225326813074</c:v>
                </c:pt>
                <c:pt idx="933">
                  <c:v>1.1560974807450013</c:v>
                </c:pt>
                <c:pt idx="934">
                  <c:v>1.1463432722271909</c:v>
                </c:pt>
                <c:pt idx="935">
                  <c:v>1.1075400549940309</c:v>
                </c:pt>
                <c:pt idx="936">
                  <c:v>1.0569291002086254</c:v>
                </c:pt>
                <c:pt idx="937">
                  <c:v>1.053510512640724</c:v>
                </c:pt>
                <c:pt idx="938">
                  <c:v>1.0431195941047411</c:v>
                </c:pt>
                <c:pt idx="939">
                  <c:v>1.0409813194767534</c:v>
                </c:pt>
                <c:pt idx="940">
                  <c:v>1.0239971681738458</c:v>
                </c:pt>
                <c:pt idx="941">
                  <c:v>0.99977747194986311</c:v>
                </c:pt>
                <c:pt idx="942">
                  <c:v>0.98859923583056997</c:v>
                </c:pt>
                <c:pt idx="943">
                  <c:v>0.94204661640733822</c:v>
                </c:pt>
                <c:pt idx="944">
                  <c:v>0.92437704277192068</c:v>
                </c:pt>
                <c:pt idx="945">
                  <c:v>0.91433977989652604</c:v>
                </c:pt>
                <c:pt idx="946">
                  <c:v>0.90730848601284519</c:v>
                </c:pt>
                <c:pt idx="947">
                  <c:v>0.88129745208031507</c:v>
                </c:pt>
                <c:pt idx="948">
                  <c:v>0.87794267273455706</c:v>
                </c:pt>
                <c:pt idx="949">
                  <c:v>0.85787186016604688</c:v>
                </c:pt>
                <c:pt idx="950">
                  <c:v>0.84401167511214314</c:v>
                </c:pt>
                <c:pt idx="951">
                  <c:v>0.83666211594455386</c:v>
                </c:pt>
                <c:pt idx="952">
                  <c:v>0.82740914329514303</c:v>
                </c:pt>
                <c:pt idx="953">
                  <c:v>0.82740914329514303</c:v>
                </c:pt>
                <c:pt idx="954">
                  <c:v>0.81918987080246086</c:v>
                </c:pt>
                <c:pt idx="955">
                  <c:v>0.8143952955428605</c:v>
                </c:pt>
                <c:pt idx="956">
                  <c:v>0.81343778012082257</c:v>
                </c:pt>
                <c:pt idx="957">
                  <c:v>0.80803751198209484</c:v>
                </c:pt>
                <c:pt idx="958">
                  <c:v>0.80225754715736874</c:v>
                </c:pt>
                <c:pt idx="959">
                  <c:v>0.80028310942894065</c:v>
                </c:pt>
                <c:pt idx="960">
                  <c:v>0.79820617066410327</c:v>
                </c:pt>
                <c:pt idx="961">
                  <c:v>0.7974603229055568</c:v>
                </c:pt>
                <c:pt idx="962">
                  <c:v>0.7741185046308855</c:v>
                </c:pt>
                <c:pt idx="963">
                  <c:v>0.7741185046308855</c:v>
                </c:pt>
                <c:pt idx="964">
                  <c:v>0.7741185046308855</c:v>
                </c:pt>
                <c:pt idx="965">
                  <c:v>0.74523399713234562</c:v>
                </c:pt>
                <c:pt idx="966">
                  <c:v>0.71557770291447353</c:v>
                </c:pt>
                <c:pt idx="967">
                  <c:v>0.70592378129439104</c:v>
                </c:pt>
                <c:pt idx="968">
                  <c:v>0.65904270611190452</c:v>
                </c:pt>
                <c:pt idx="969">
                  <c:v>0.65133778667625919</c:v>
                </c:pt>
                <c:pt idx="970">
                  <c:v>0.64297991460296389</c:v>
                </c:pt>
                <c:pt idx="971">
                  <c:v>0.62963977540267513</c:v>
                </c:pt>
                <c:pt idx="972">
                  <c:v>0.62900942754190703</c:v>
                </c:pt>
                <c:pt idx="973">
                  <c:v>0.62298188968035084</c:v>
                </c:pt>
                <c:pt idx="974">
                  <c:v>0.60901274855251131</c:v>
                </c:pt>
                <c:pt idx="975">
                  <c:v>0.59420890420312689</c:v>
                </c:pt>
                <c:pt idx="976">
                  <c:v>0.58723944755067248</c:v>
                </c:pt>
                <c:pt idx="977">
                  <c:v>0.57593930897281242</c:v>
                </c:pt>
                <c:pt idx="978">
                  <c:v>0.57435128956524528</c:v>
                </c:pt>
                <c:pt idx="979">
                  <c:v>0.5663578821410663</c:v>
                </c:pt>
                <c:pt idx="980">
                  <c:v>0.56215516705585955</c:v>
                </c:pt>
                <c:pt idx="981">
                  <c:v>0.55675504042942048</c:v>
                </c:pt>
                <c:pt idx="982">
                  <c:v>0.54727021081428084</c:v>
                </c:pt>
                <c:pt idx="983">
                  <c:v>0.54007804117899039</c:v>
                </c:pt>
                <c:pt idx="984">
                  <c:v>0.53621377850869056</c:v>
                </c:pt>
                <c:pt idx="985">
                  <c:v>0.51149917825176638</c:v>
                </c:pt>
                <c:pt idx="986">
                  <c:v>0.50909672685533858</c:v>
                </c:pt>
                <c:pt idx="987">
                  <c:v>0.50570782593760921</c:v>
                </c:pt>
                <c:pt idx="988">
                  <c:v>0.4974424338217765</c:v>
                </c:pt>
                <c:pt idx="989">
                  <c:v>0.49388178025818619</c:v>
                </c:pt>
                <c:pt idx="990">
                  <c:v>0.49292637558080621</c:v>
                </c:pt>
                <c:pt idx="991">
                  <c:v>0.49292637558080621</c:v>
                </c:pt>
                <c:pt idx="992">
                  <c:v>0.49292637558080621</c:v>
                </c:pt>
                <c:pt idx="993">
                  <c:v>0.49292637558080621</c:v>
                </c:pt>
                <c:pt idx="994">
                  <c:v>0.49292637558080621</c:v>
                </c:pt>
                <c:pt idx="995">
                  <c:v>0.49292637558080621</c:v>
                </c:pt>
                <c:pt idx="996">
                  <c:v>0.49292637558080621</c:v>
                </c:pt>
                <c:pt idx="997">
                  <c:v>0.49292637558080621</c:v>
                </c:pt>
                <c:pt idx="998">
                  <c:v>0.49292637558080621</c:v>
                </c:pt>
                <c:pt idx="999">
                  <c:v>0.49292637558080621</c:v>
                </c:pt>
                <c:pt idx="1000">
                  <c:v>0.49292637558080621</c:v>
                </c:pt>
                <c:pt idx="1001">
                  <c:v>0.49292637558080621</c:v>
                </c:pt>
                <c:pt idx="1002">
                  <c:v>0.49292637558080621</c:v>
                </c:pt>
                <c:pt idx="1003">
                  <c:v>0.49292637558080621</c:v>
                </c:pt>
                <c:pt idx="1004">
                  <c:v>0.49219104543529746</c:v>
                </c:pt>
                <c:pt idx="1005">
                  <c:v>0.48524754007459603</c:v>
                </c:pt>
                <c:pt idx="1006">
                  <c:v>0.48392902630903323</c:v>
                </c:pt>
                <c:pt idx="1007">
                  <c:v>0.48392902630903323</c:v>
                </c:pt>
                <c:pt idx="1008">
                  <c:v>0.48392902630903323</c:v>
                </c:pt>
                <c:pt idx="1009">
                  <c:v>0.48392902630903323</c:v>
                </c:pt>
                <c:pt idx="1010">
                  <c:v>0.48392902630903323</c:v>
                </c:pt>
                <c:pt idx="1011">
                  <c:v>0.48392902630903323</c:v>
                </c:pt>
                <c:pt idx="1012">
                  <c:v>0.48392902630903323</c:v>
                </c:pt>
                <c:pt idx="1013">
                  <c:v>0.48392902630903323</c:v>
                </c:pt>
                <c:pt idx="1014">
                  <c:v>0.48392902630903323</c:v>
                </c:pt>
                <c:pt idx="1015">
                  <c:v>0.48392902630903323</c:v>
                </c:pt>
                <c:pt idx="1016">
                  <c:v>0.48392902630903323</c:v>
                </c:pt>
                <c:pt idx="1017">
                  <c:v>0.48392902630903323</c:v>
                </c:pt>
                <c:pt idx="1018">
                  <c:v>0.48392902630903323</c:v>
                </c:pt>
                <c:pt idx="1019">
                  <c:v>0.48392902630903323</c:v>
                </c:pt>
                <c:pt idx="1020">
                  <c:v>0.48286601535889451</c:v>
                </c:pt>
                <c:pt idx="1021">
                  <c:v>0.48286601535889451</c:v>
                </c:pt>
                <c:pt idx="1022">
                  <c:v>0.48230958535649604</c:v>
                </c:pt>
                <c:pt idx="1023">
                  <c:v>0.48230958535649604</c:v>
                </c:pt>
                <c:pt idx="1024">
                  <c:v>0.48230958535649604</c:v>
                </c:pt>
                <c:pt idx="1025">
                  <c:v>0.48230958535649604</c:v>
                </c:pt>
                <c:pt idx="1026">
                  <c:v>0.48230958535649604</c:v>
                </c:pt>
                <c:pt idx="1027">
                  <c:v>0.48230958535649604</c:v>
                </c:pt>
                <c:pt idx="1028">
                  <c:v>0.46522024930717337</c:v>
                </c:pt>
                <c:pt idx="1029">
                  <c:v>0.45903802134866289</c:v>
                </c:pt>
                <c:pt idx="1030">
                  <c:v>0.45249677967007834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5-AC22-41F4-A914-B9BE69AE633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029996367"/>
        <c:axId val="537195407"/>
      </c:lineChart>
      <c:dateAx>
        <c:axId val="2029996367"/>
        <c:scaling>
          <c:orientation val="minMax"/>
          <c:min val="42740"/>
        </c:scaling>
        <c:delete val="0"/>
        <c:axPos val="b"/>
        <c:numFmt formatCode="mmm\-yy" sourceLinked="0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537195407"/>
        <c:crosses val="autoZero"/>
        <c:auto val="1"/>
        <c:lblOffset val="100"/>
        <c:baseTimeUnit val="days"/>
      </c:dateAx>
      <c:valAx>
        <c:axId val="53719540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4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029996367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2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chartsheets/sheet1.xml><?xml version="1.0" encoding="utf-8"?>
<chartsheet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xmlns:xr3="http://schemas.microsoft.com/office/spreadsheetml/2016/revision3" mc:Ignorable="xr xr3" xr:uid="{D0BBF587-0521-44EF-9287-C5DC22B67E8C}">
  <sheetPr/>
  <sheetViews>
    <sheetView tabSelected="1" workbookViewId="0"/>
  </sheetViews>
  <pageMargins left="0.7" right="0.7" top="0.75" bottom="0.75" header="0.3" footer="0.3"/>
  <drawing r:id="rId1"/>
</chartsheet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absoluteAnchor>
    <xdr:pos x="0" y="0"/>
    <xdr:ext cx="9301370" cy="6071152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3D66CDDA-E501-D58E-322E-86E8CF383D86}"/>
            </a:ext>
          </a:extLst>
        </xdr:cNvPr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C2C8328-1342-4B6B-9F75-ED0EED12E5C0}">
  <dimension ref="A1:BB384"/>
  <sheetViews>
    <sheetView workbookViewId="0">
      <selection activeCell="A4" sqref="A4"/>
    </sheetView>
  </sheetViews>
  <sheetFormatPr defaultRowHeight="15" x14ac:dyDescent="0.25"/>
  <cols>
    <col min="1" max="1" width="10.5703125" bestFit="1" customWidth="1"/>
    <col min="2" max="2" width="29.42578125" style="5" bestFit="1" customWidth="1"/>
    <col min="3" max="3" width="24.85546875" bestFit="1" customWidth="1"/>
    <col min="4" max="4" width="17.85546875" bestFit="1" customWidth="1"/>
    <col min="5" max="5" width="22.5703125" bestFit="1" customWidth="1"/>
    <col min="6" max="6" width="20.85546875" bestFit="1" customWidth="1"/>
    <col min="7" max="7" width="21.5703125" bestFit="1" customWidth="1"/>
    <col min="8" max="8" width="15.85546875" bestFit="1" customWidth="1"/>
    <col min="9" max="9" width="25.140625" bestFit="1" customWidth="1"/>
    <col min="10" max="10" width="9.5703125" bestFit="1" customWidth="1"/>
    <col min="11" max="11" width="14.140625" bestFit="1" customWidth="1"/>
    <col min="13" max="13" width="10.5703125" bestFit="1" customWidth="1"/>
    <col min="14" max="14" width="29.42578125" style="5" bestFit="1" customWidth="1"/>
    <col min="15" max="15" width="24.85546875" bestFit="1" customWidth="1"/>
    <col min="16" max="16" width="17.85546875" bestFit="1" customWidth="1"/>
    <col min="17" max="17" width="22.5703125" bestFit="1" customWidth="1"/>
    <col min="18" max="18" width="20.85546875" bestFit="1" customWidth="1"/>
    <col min="19" max="19" width="21.5703125" bestFit="1" customWidth="1"/>
    <col min="20" max="20" width="15.85546875" bestFit="1" customWidth="1"/>
    <col min="21" max="21" width="25.140625" bestFit="1" customWidth="1"/>
    <col min="22" max="22" width="9.5703125" bestFit="1" customWidth="1"/>
    <col min="23" max="23" width="24.85546875" bestFit="1" customWidth="1"/>
    <col min="24" max="24" width="17.85546875" bestFit="1" customWidth="1"/>
    <col min="25" max="25" width="29.42578125" style="5" bestFit="1" customWidth="1"/>
    <col min="26" max="26" width="24.85546875" bestFit="1" customWidth="1"/>
    <col min="27" max="27" width="17.85546875" bestFit="1" customWidth="1"/>
    <col min="28" max="28" width="22.5703125" bestFit="1" customWidth="1"/>
    <col min="29" max="29" width="20.85546875" bestFit="1" customWidth="1"/>
    <col min="30" max="30" width="21.5703125" bestFit="1" customWidth="1"/>
    <col min="31" max="31" width="15.85546875" bestFit="1" customWidth="1"/>
    <col min="32" max="32" width="25.140625" bestFit="1" customWidth="1"/>
    <col min="33" max="33" width="9.5703125" bestFit="1" customWidth="1"/>
    <col min="34" max="44" width="9.5703125" customWidth="1"/>
    <col min="47" max="47" width="10.7109375" bestFit="1" customWidth="1"/>
  </cols>
  <sheetData>
    <row r="1" spans="1:54" x14ac:dyDescent="0.25">
      <c r="A1" t="s">
        <v>5</v>
      </c>
      <c r="B1" s="26">
        <v>43646</v>
      </c>
      <c r="C1" s="27"/>
      <c r="D1" s="27"/>
      <c r="E1" s="27"/>
      <c r="F1" s="27"/>
      <c r="G1" s="27"/>
      <c r="H1" s="27"/>
      <c r="J1" s="27"/>
      <c r="K1" s="27"/>
      <c r="L1" s="27"/>
      <c r="M1" t="s">
        <v>5</v>
      </c>
      <c r="N1" s="26">
        <v>43646</v>
      </c>
      <c r="O1" s="27"/>
      <c r="P1" s="27"/>
      <c r="Q1" s="27"/>
      <c r="R1" s="27"/>
      <c r="S1" s="27"/>
      <c r="T1" s="27"/>
      <c r="V1" s="27"/>
      <c r="Y1" s="28"/>
      <c r="Z1" s="27"/>
      <c r="AA1" s="27"/>
      <c r="AB1" s="27"/>
      <c r="AC1" s="27"/>
      <c r="AD1" s="27"/>
      <c r="AE1" s="27"/>
      <c r="AW1" s="29">
        <f>+AVERAGE(AV7:AV2000)</f>
        <v>7.5283986449348452</v>
      </c>
      <c r="AX1">
        <f>+_xlfn.STDEV.S(AV7:AV2000)</f>
        <v>3.2248130784087197</v>
      </c>
    </row>
    <row r="2" spans="1:54" x14ac:dyDescent="0.25">
      <c r="A2" t="s">
        <v>4</v>
      </c>
      <c r="M2" t="s">
        <v>4</v>
      </c>
    </row>
    <row r="4" spans="1:54" x14ac:dyDescent="0.25">
      <c r="B4" s="5" t="s">
        <v>19</v>
      </c>
      <c r="N4" s="5" t="s">
        <v>20</v>
      </c>
      <c r="Y4" s="5" t="s">
        <v>21</v>
      </c>
      <c r="AJ4" s="5" t="s">
        <v>36</v>
      </c>
    </row>
    <row r="5" spans="1:54" x14ac:dyDescent="0.25">
      <c r="A5" t="s">
        <v>3</v>
      </c>
      <c r="B5" s="5" t="s">
        <v>23</v>
      </c>
      <c r="C5" t="s">
        <v>24</v>
      </c>
      <c r="D5" t="s">
        <v>25</v>
      </c>
      <c r="E5" t="s">
        <v>26</v>
      </c>
      <c r="F5" t="s">
        <v>27</v>
      </c>
      <c r="G5" t="s">
        <v>28</v>
      </c>
      <c r="H5" t="s">
        <v>29</v>
      </c>
      <c r="I5" t="s">
        <v>30</v>
      </c>
      <c r="J5" t="s">
        <v>31</v>
      </c>
      <c r="K5" t="s">
        <v>32</v>
      </c>
      <c r="M5" t="s">
        <v>3</v>
      </c>
      <c r="N5" s="5" t="s">
        <v>23</v>
      </c>
      <c r="O5" t="s">
        <v>24</v>
      </c>
      <c r="P5" t="s">
        <v>25</v>
      </c>
      <c r="Q5" t="s">
        <v>26</v>
      </c>
      <c r="R5" t="s">
        <v>27</v>
      </c>
      <c r="S5" t="s">
        <v>28</v>
      </c>
      <c r="T5" t="s">
        <v>29</v>
      </c>
      <c r="U5" t="s">
        <v>30</v>
      </c>
      <c r="V5" t="s">
        <v>31</v>
      </c>
      <c r="W5" t="s">
        <v>32</v>
      </c>
      <c r="Y5" s="5" t="s">
        <v>23</v>
      </c>
      <c r="Z5" t="s">
        <v>24</v>
      </c>
      <c r="AA5" t="s">
        <v>25</v>
      </c>
      <c r="AB5" t="s">
        <v>26</v>
      </c>
      <c r="AC5" t="s">
        <v>27</v>
      </c>
      <c r="AD5" t="s">
        <v>28</v>
      </c>
      <c r="AE5" t="s">
        <v>29</v>
      </c>
      <c r="AF5" t="s">
        <v>30</v>
      </c>
      <c r="AG5" t="s">
        <v>31</v>
      </c>
      <c r="AH5" t="s">
        <v>32</v>
      </c>
      <c r="AJ5" s="5" t="s">
        <v>23</v>
      </c>
      <c r="AK5" t="s">
        <v>24</v>
      </c>
      <c r="AL5" t="s">
        <v>25</v>
      </c>
      <c r="AM5" t="s">
        <v>26</v>
      </c>
      <c r="AN5" t="s">
        <v>27</v>
      </c>
      <c r="AO5" t="s">
        <v>28</v>
      </c>
      <c r="AP5" t="s">
        <v>29</v>
      </c>
      <c r="AQ5" t="s">
        <v>30</v>
      </c>
      <c r="AR5" t="s">
        <v>31</v>
      </c>
      <c r="AS5" t="s">
        <v>32</v>
      </c>
    </row>
    <row r="6" spans="1:54" x14ac:dyDescent="0.25">
      <c r="A6" s="37">
        <f>_xll.BDH(B$4,B$5:K$5,$B1,$B2,"Dir=V","Per=CW","Days=A","Dts=S","cols=11;rows=379")</f>
        <v>43651</v>
      </c>
      <c r="B6" s="5">
        <v>4.1950000000000003</v>
      </c>
      <c r="C6">
        <v>2.5756000000000001</v>
      </c>
      <c r="D6">
        <v>0.97660000000000002</v>
      </c>
      <c r="E6">
        <v>51.313899999999997</v>
      </c>
      <c r="F6">
        <v>2.2602000000000002</v>
      </c>
      <c r="G6" t="s">
        <v>33</v>
      </c>
      <c r="H6">
        <v>28.122</v>
      </c>
      <c r="I6">
        <v>7.61</v>
      </c>
      <c r="J6" s="6">
        <v>76.105000000000004</v>
      </c>
      <c r="K6">
        <v>299330.70110000001</v>
      </c>
      <c r="M6" s="37">
        <f>_xll.BDH(N$4,N$5:W$5,$B1,$B2,"Dir=V","Per=CW","Days=A","Dts=S","cols=11;rows=379")</f>
        <v>43651</v>
      </c>
      <c r="N6" s="5">
        <v>3.6787000000000001</v>
      </c>
      <c r="O6">
        <v>22.1402</v>
      </c>
      <c r="P6">
        <v>1.2657</v>
      </c>
      <c r="Q6">
        <v>44.119199999999999</v>
      </c>
      <c r="R6">
        <v>1.379</v>
      </c>
      <c r="S6" t="s">
        <v>33</v>
      </c>
      <c r="T6">
        <v>34.218499999999999</v>
      </c>
      <c r="U6">
        <v>24.5123</v>
      </c>
      <c r="V6" s="6">
        <v>56.95</v>
      </c>
      <c r="W6">
        <v>106749.0493</v>
      </c>
      <c r="Y6" s="5">
        <f>_xll.BDH(Y$4,Y$5:AH$5,$B1,$B2,"Dir=V","Per=CW","Days=A","Dts=H","cols=10;rows=379")</f>
        <v>1.9589000000000001</v>
      </c>
      <c r="Z6">
        <v>39.2209</v>
      </c>
      <c r="AA6">
        <v>2.4211999999999998</v>
      </c>
      <c r="AB6">
        <v>5.9088000000000003</v>
      </c>
      <c r="AC6">
        <v>8.8200000000000001E-2</v>
      </c>
      <c r="AD6" t="s">
        <v>33</v>
      </c>
      <c r="AE6">
        <v>22.893799999999999</v>
      </c>
      <c r="AF6">
        <v>17.727499999999999</v>
      </c>
      <c r="AG6">
        <v>0.56299999999999994</v>
      </c>
      <c r="AH6">
        <v>7921.5493999999999</v>
      </c>
      <c r="AJ6" s="5">
        <f>_xll.BDH(AJ$4,AJ$5:AS$5,$B1,$B2,"Dir=V","Per=CW","Days=A","Dts=H","cols=10;rows=379")</f>
        <v>3.8986999999999998</v>
      </c>
      <c r="AK6">
        <v>48.606099999999998</v>
      </c>
      <c r="AL6">
        <v>2.1113</v>
      </c>
      <c r="AM6">
        <v>38.934800000000003</v>
      </c>
      <c r="AN6">
        <v>0.48270000000000002</v>
      </c>
      <c r="AO6">
        <v>195.11080000000001</v>
      </c>
      <c r="AP6">
        <v>49.3598</v>
      </c>
      <c r="AQ6">
        <v>42.273499999999999</v>
      </c>
      <c r="AR6">
        <v>114.514</v>
      </c>
      <c r="AS6">
        <v>98795.487899999993</v>
      </c>
      <c r="AV6" t="s">
        <v>34</v>
      </c>
      <c r="AW6" t="s">
        <v>35</v>
      </c>
      <c r="AX6" t="s">
        <v>18</v>
      </c>
      <c r="AY6" t="s">
        <v>17</v>
      </c>
      <c r="AZ6" t="s">
        <v>16</v>
      </c>
      <c r="BA6" t="s">
        <v>15</v>
      </c>
      <c r="BB6" t="s">
        <v>14</v>
      </c>
    </row>
    <row r="7" spans="1:54" x14ac:dyDescent="0.25">
      <c r="A7" s="37">
        <v>43658</v>
      </c>
      <c r="B7" s="5">
        <v>4.1974</v>
      </c>
      <c r="C7">
        <v>2.5756000000000001</v>
      </c>
      <c r="D7">
        <v>0.97660000000000002</v>
      </c>
      <c r="E7">
        <v>51.313899999999997</v>
      </c>
      <c r="F7">
        <v>2.2602000000000002</v>
      </c>
      <c r="G7" t="s">
        <v>33</v>
      </c>
      <c r="H7">
        <v>28.122</v>
      </c>
      <c r="I7">
        <v>7.61</v>
      </c>
      <c r="J7">
        <v>76.2</v>
      </c>
      <c r="K7">
        <v>299704.34830000001</v>
      </c>
      <c r="M7" s="37">
        <v>43658</v>
      </c>
      <c r="N7" s="5">
        <v>3.7867999999999999</v>
      </c>
      <c r="O7">
        <v>22.1402</v>
      </c>
      <c r="P7">
        <v>1.2657</v>
      </c>
      <c r="Q7">
        <v>44.119199999999999</v>
      </c>
      <c r="R7">
        <v>1.379</v>
      </c>
      <c r="S7" t="s">
        <v>33</v>
      </c>
      <c r="T7">
        <v>34.218499999999999</v>
      </c>
      <c r="U7">
        <v>24.5123</v>
      </c>
      <c r="V7">
        <v>59.6</v>
      </c>
      <c r="W7">
        <v>111716.30100000001</v>
      </c>
      <c r="Y7" s="5">
        <v>1.9890000000000001</v>
      </c>
      <c r="Z7">
        <v>39.2209</v>
      </c>
      <c r="AA7">
        <v>2.4211999999999998</v>
      </c>
      <c r="AB7">
        <v>5.9088000000000003</v>
      </c>
      <c r="AC7">
        <v>8.8200000000000001E-2</v>
      </c>
      <c r="AD7" t="s">
        <v>33</v>
      </c>
      <c r="AE7">
        <v>22.893799999999999</v>
      </c>
      <c r="AF7">
        <v>17.727499999999999</v>
      </c>
      <c r="AG7">
        <v>0.57199999999999995</v>
      </c>
      <c r="AH7">
        <v>8048.9054999999998</v>
      </c>
      <c r="AJ7">
        <v>4.2133000000000003</v>
      </c>
      <c r="AK7">
        <v>48.606099999999998</v>
      </c>
      <c r="AL7">
        <v>2.1113</v>
      </c>
      <c r="AM7">
        <v>38.934800000000003</v>
      </c>
      <c r="AN7">
        <v>0.48270000000000002</v>
      </c>
      <c r="AO7">
        <v>195.11080000000001</v>
      </c>
      <c r="AP7">
        <v>49.3598</v>
      </c>
      <c r="AQ7">
        <v>42.273499999999999</v>
      </c>
      <c r="AR7">
        <v>125.059</v>
      </c>
      <c r="AS7">
        <v>107892.4589</v>
      </c>
      <c r="AU7" s="1">
        <f t="shared" ref="AU7:AU70" si="0">+A7</f>
        <v>43658</v>
      </c>
      <c r="AV7" s="29">
        <f t="shared" ref="AV7:AV70" si="1">+(Y7*AH7+N7*W7+B7*K7+AJ7*AS7)/(K7+W7+AH7)</f>
        <v>5.129380346399552</v>
      </c>
      <c r="AW7" s="30">
        <f t="shared" ref="AW7:AW70" si="2">+(AV7-$AW$1)/$AX$1</f>
        <v>-0.74392476097221927</v>
      </c>
    </row>
    <row r="8" spans="1:54" x14ac:dyDescent="0.25">
      <c r="A8" s="37">
        <v>43665</v>
      </c>
      <c r="B8" s="5">
        <v>4.1292</v>
      </c>
      <c r="C8">
        <v>2.5756000000000001</v>
      </c>
      <c r="D8">
        <v>0.97660000000000002</v>
      </c>
      <c r="E8">
        <v>51.313899999999997</v>
      </c>
      <c r="F8">
        <v>2.2602000000000002</v>
      </c>
      <c r="G8" t="s">
        <v>33</v>
      </c>
      <c r="H8">
        <v>28.122</v>
      </c>
      <c r="I8">
        <v>7.61</v>
      </c>
      <c r="J8">
        <v>73.48</v>
      </c>
      <c r="K8">
        <v>289006.2403</v>
      </c>
      <c r="M8" s="37">
        <v>43665</v>
      </c>
      <c r="N8" s="5">
        <v>3.6114000000000002</v>
      </c>
      <c r="O8">
        <v>22.1402</v>
      </c>
      <c r="P8">
        <v>1.2657</v>
      </c>
      <c r="Q8">
        <v>44.119199999999999</v>
      </c>
      <c r="R8">
        <v>1.379</v>
      </c>
      <c r="S8" t="s">
        <v>33</v>
      </c>
      <c r="T8">
        <v>34.218499999999999</v>
      </c>
      <c r="U8">
        <v>24.5123</v>
      </c>
      <c r="V8">
        <v>56.6</v>
      </c>
      <c r="W8">
        <v>106092.9972</v>
      </c>
      <c r="Y8" s="5">
        <v>1.8386</v>
      </c>
      <c r="Z8">
        <v>39.2209</v>
      </c>
      <c r="AA8">
        <v>2.4211999999999998</v>
      </c>
      <c r="AB8">
        <v>5.9088000000000003</v>
      </c>
      <c r="AC8">
        <v>8.8200000000000001E-2</v>
      </c>
      <c r="AD8" t="s">
        <v>33</v>
      </c>
      <c r="AE8">
        <v>22.893799999999999</v>
      </c>
      <c r="AF8">
        <v>17.727499999999999</v>
      </c>
      <c r="AG8">
        <v>0.52700000000000002</v>
      </c>
      <c r="AH8">
        <v>7412.125</v>
      </c>
      <c r="AJ8">
        <v>4.0388000000000002</v>
      </c>
      <c r="AK8">
        <v>48.606099999999998</v>
      </c>
      <c r="AL8">
        <v>2.1113</v>
      </c>
      <c r="AM8">
        <v>38.934800000000003</v>
      </c>
      <c r="AN8">
        <v>0.48270000000000002</v>
      </c>
      <c r="AO8">
        <v>195.11080000000001</v>
      </c>
      <c r="AP8">
        <v>49.3598</v>
      </c>
      <c r="AQ8">
        <v>42.273499999999999</v>
      </c>
      <c r="AR8">
        <v>119.211</v>
      </c>
      <c r="AS8">
        <v>102847.4139</v>
      </c>
      <c r="AU8" s="1">
        <f t="shared" si="0"/>
        <v>43665</v>
      </c>
      <c r="AV8" s="29">
        <f t="shared" si="1"/>
        <v>4.9825099926692378</v>
      </c>
      <c r="AW8" s="30">
        <f t="shared" si="2"/>
        <v>-0.78946859565636385</v>
      </c>
    </row>
    <row r="9" spans="1:54" x14ac:dyDescent="0.25">
      <c r="A9" s="37">
        <v>43672</v>
      </c>
      <c r="B9" s="5">
        <v>4.1242000000000001</v>
      </c>
      <c r="C9">
        <v>2.5756000000000001</v>
      </c>
      <c r="D9">
        <v>0.97660000000000002</v>
      </c>
      <c r="E9">
        <v>51.313899999999997</v>
      </c>
      <c r="F9">
        <v>2.2602000000000002</v>
      </c>
      <c r="G9" t="s">
        <v>33</v>
      </c>
      <c r="H9">
        <v>28.122</v>
      </c>
      <c r="I9">
        <v>7.61</v>
      </c>
      <c r="J9">
        <v>73.28</v>
      </c>
      <c r="K9">
        <v>288219.61469999998</v>
      </c>
      <c r="M9" s="37">
        <v>43672</v>
      </c>
      <c r="N9" s="5">
        <v>3.5859999999999999</v>
      </c>
      <c r="O9">
        <v>22.1402</v>
      </c>
      <c r="P9">
        <v>1.2657</v>
      </c>
      <c r="Q9">
        <v>44.119199999999999</v>
      </c>
      <c r="R9">
        <v>1.379</v>
      </c>
      <c r="S9" t="s">
        <v>33</v>
      </c>
      <c r="T9">
        <v>34.218499999999999</v>
      </c>
      <c r="U9">
        <v>24.5123</v>
      </c>
      <c r="V9">
        <v>58</v>
      </c>
      <c r="W9">
        <v>108717.2056</v>
      </c>
      <c r="Y9" s="5">
        <v>1.8206</v>
      </c>
      <c r="Z9">
        <v>39.2209</v>
      </c>
      <c r="AA9">
        <v>2.4211999999999998</v>
      </c>
      <c r="AB9">
        <v>5.9088000000000003</v>
      </c>
      <c r="AC9">
        <v>8.8200000000000001E-2</v>
      </c>
      <c r="AD9" t="s">
        <v>33</v>
      </c>
      <c r="AE9">
        <v>22.893799999999999</v>
      </c>
      <c r="AF9">
        <v>17.727499999999999</v>
      </c>
      <c r="AG9">
        <v>0.52100000000000002</v>
      </c>
      <c r="AH9">
        <v>7335.7114000000001</v>
      </c>
      <c r="AJ9">
        <v>4.1459999999999999</v>
      </c>
      <c r="AK9">
        <v>48.606099999999998</v>
      </c>
      <c r="AL9">
        <v>2.1113</v>
      </c>
      <c r="AM9">
        <v>38.934800000000003</v>
      </c>
      <c r="AN9">
        <v>0.48270000000000002</v>
      </c>
      <c r="AO9">
        <v>195.11080000000001</v>
      </c>
      <c r="AP9">
        <v>49.3598</v>
      </c>
      <c r="AQ9">
        <v>42.273499999999999</v>
      </c>
      <c r="AR9">
        <v>122.80200000000001</v>
      </c>
      <c r="AS9">
        <v>105945.9455</v>
      </c>
      <c r="AU9" s="1">
        <f t="shared" si="0"/>
        <v>43672</v>
      </c>
      <c r="AV9" s="29">
        <f t="shared" si="1"/>
        <v>5.024191260049391</v>
      </c>
      <c r="AW9" s="30">
        <f t="shared" si="2"/>
        <v>-0.77654342251711295</v>
      </c>
    </row>
    <row r="10" spans="1:54" x14ac:dyDescent="0.25">
      <c r="A10" s="37">
        <v>43679</v>
      </c>
      <c r="B10" s="5">
        <v>4.0744999999999996</v>
      </c>
      <c r="C10">
        <v>2.5756000000000001</v>
      </c>
      <c r="D10">
        <v>0.97660000000000002</v>
      </c>
      <c r="E10">
        <v>51.313899999999997</v>
      </c>
      <c r="F10">
        <v>2.2602000000000002</v>
      </c>
      <c r="G10" t="s">
        <v>33</v>
      </c>
      <c r="H10">
        <v>28.122</v>
      </c>
      <c r="I10">
        <v>7.61</v>
      </c>
      <c r="J10">
        <v>71.295000000000002</v>
      </c>
      <c r="K10">
        <v>280412.35580000002</v>
      </c>
      <c r="M10" s="37">
        <v>43679</v>
      </c>
      <c r="N10" s="5">
        <v>3.4672000000000001</v>
      </c>
      <c r="O10">
        <v>22.1402</v>
      </c>
      <c r="P10">
        <v>1.2657</v>
      </c>
      <c r="Q10">
        <v>44.119199999999999</v>
      </c>
      <c r="R10">
        <v>1.379</v>
      </c>
      <c r="S10" t="s">
        <v>33</v>
      </c>
      <c r="T10">
        <v>34.218499999999999</v>
      </c>
      <c r="U10">
        <v>24.5123</v>
      </c>
      <c r="V10">
        <v>57.65</v>
      </c>
      <c r="W10">
        <v>108061.1535</v>
      </c>
      <c r="Y10" s="5">
        <v>1.9830000000000001</v>
      </c>
      <c r="Z10">
        <v>39.2209</v>
      </c>
      <c r="AA10">
        <v>2.4211999999999998</v>
      </c>
      <c r="AB10">
        <v>5.9088000000000003</v>
      </c>
      <c r="AC10">
        <v>8.8200000000000001E-2</v>
      </c>
      <c r="AD10" t="s">
        <v>33</v>
      </c>
      <c r="AE10">
        <v>22.893799999999999</v>
      </c>
      <c r="AF10">
        <v>17.727499999999999</v>
      </c>
      <c r="AG10">
        <v>0.56999999999999995</v>
      </c>
      <c r="AH10">
        <v>8023.4342999999999</v>
      </c>
      <c r="AJ10">
        <v>4.1405000000000003</v>
      </c>
      <c r="AK10">
        <v>48.606099999999998</v>
      </c>
      <c r="AL10">
        <v>2.1113</v>
      </c>
      <c r="AM10">
        <v>38.934800000000003</v>
      </c>
      <c r="AN10">
        <v>0.48270000000000002</v>
      </c>
      <c r="AO10">
        <v>195.11080000000001</v>
      </c>
      <c r="AP10">
        <v>49.3598</v>
      </c>
      <c r="AQ10">
        <v>42.273499999999999</v>
      </c>
      <c r="AR10">
        <v>122.61799999999999</v>
      </c>
      <c r="AS10">
        <v>105787.04640000001</v>
      </c>
      <c r="AU10" s="1">
        <f t="shared" si="0"/>
        <v>43679</v>
      </c>
      <c r="AV10" s="29">
        <f t="shared" si="1"/>
        <v>4.9713662180128839</v>
      </c>
      <c r="AW10" s="30">
        <f t="shared" si="2"/>
        <v>-0.79292422994753109</v>
      </c>
    </row>
    <row r="11" spans="1:54" x14ac:dyDescent="0.25">
      <c r="A11" s="37">
        <v>43686</v>
      </c>
      <c r="B11" s="5">
        <v>4.1924000000000001</v>
      </c>
      <c r="C11">
        <v>2.5756000000000001</v>
      </c>
      <c r="D11">
        <v>0.97660000000000002</v>
      </c>
      <c r="E11">
        <v>51.313899999999997</v>
      </c>
      <c r="F11">
        <v>2.2602000000000002</v>
      </c>
      <c r="G11" t="s">
        <v>33</v>
      </c>
      <c r="H11">
        <v>28.122</v>
      </c>
      <c r="I11">
        <v>7.61</v>
      </c>
      <c r="J11">
        <v>76</v>
      </c>
      <c r="K11">
        <v>298917.72269999998</v>
      </c>
      <c r="M11" s="37">
        <v>43686</v>
      </c>
      <c r="N11" s="5">
        <v>3.6008</v>
      </c>
      <c r="O11">
        <v>22.1402</v>
      </c>
      <c r="P11">
        <v>1.2657</v>
      </c>
      <c r="Q11">
        <v>44.119199999999999</v>
      </c>
      <c r="R11">
        <v>1.379</v>
      </c>
      <c r="S11" t="s">
        <v>33</v>
      </c>
      <c r="T11">
        <v>34.218499999999999</v>
      </c>
      <c r="U11">
        <v>24.5123</v>
      </c>
      <c r="V11">
        <v>63.5</v>
      </c>
      <c r="W11">
        <v>119026.5958</v>
      </c>
      <c r="Y11" s="5">
        <v>1.1831</v>
      </c>
      <c r="Z11">
        <v>39.2209</v>
      </c>
      <c r="AA11">
        <v>2.4211999999999998</v>
      </c>
      <c r="AB11">
        <v>5.9088000000000003</v>
      </c>
      <c r="AC11">
        <v>8.8200000000000001E-2</v>
      </c>
      <c r="AD11" t="s">
        <v>33</v>
      </c>
      <c r="AE11">
        <v>22.893799999999999</v>
      </c>
      <c r="AF11">
        <v>17.727499999999999</v>
      </c>
      <c r="AG11">
        <v>0.56000000000000005</v>
      </c>
      <c r="AH11">
        <v>4635.7619999999997</v>
      </c>
      <c r="AJ11">
        <v>4.4151999999999996</v>
      </c>
      <c r="AK11">
        <v>48.606099999999998</v>
      </c>
      <c r="AL11">
        <v>2.1113</v>
      </c>
      <c r="AM11">
        <v>38.934800000000003</v>
      </c>
      <c r="AN11">
        <v>0.48270000000000002</v>
      </c>
      <c r="AO11">
        <v>195.11080000000001</v>
      </c>
      <c r="AP11">
        <v>49.3598</v>
      </c>
      <c r="AQ11">
        <v>42.273499999999999</v>
      </c>
      <c r="AR11">
        <v>131.827</v>
      </c>
      <c r="AS11">
        <v>113731.99920000001</v>
      </c>
      <c r="AU11" s="1">
        <f t="shared" si="0"/>
        <v>43686</v>
      </c>
      <c r="AV11" s="29">
        <f t="shared" si="1"/>
        <v>5.1810480917691057</v>
      </c>
      <c r="AW11" s="30">
        <f t="shared" si="2"/>
        <v>-0.72790282602179135</v>
      </c>
    </row>
    <row r="12" spans="1:54" x14ac:dyDescent="0.25">
      <c r="A12" s="37">
        <v>43693</v>
      </c>
      <c r="B12" s="5">
        <v>3.7919999999999998</v>
      </c>
      <c r="C12">
        <v>2.5756000000000001</v>
      </c>
      <c r="D12">
        <v>0.97660000000000002</v>
      </c>
      <c r="E12">
        <v>51.313899999999997</v>
      </c>
      <c r="F12">
        <v>2.2602000000000002</v>
      </c>
      <c r="G12" t="s">
        <v>33</v>
      </c>
      <c r="H12">
        <v>28.122</v>
      </c>
      <c r="I12">
        <v>7.61</v>
      </c>
      <c r="J12">
        <v>60.02</v>
      </c>
      <c r="K12">
        <v>236066.33840000001</v>
      </c>
      <c r="M12" s="37">
        <v>43693</v>
      </c>
      <c r="N12" s="5">
        <v>2.2810000000000001</v>
      </c>
      <c r="O12">
        <v>22.1402</v>
      </c>
      <c r="P12">
        <v>1.2657</v>
      </c>
      <c r="Q12">
        <v>44.119199999999999</v>
      </c>
      <c r="R12">
        <v>1.379</v>
      </c>
      <c r="S12" t="s">
        <v>33</v>
      </c>
      <c r="T12">
        <v>34.218499999999999</v>
      </c>
      <c r="U12">
        <v>24.5123</v>
      </c>
      <c r="V12">
        <v>39.549999999999997</v>
      </c>
      <c r="W12">
        <v>74133.887600000002</v>
      </c>
      <c r="Y12" s="5">
        <v>0.91839999999999999</v>
      </c>
      <c r="Z12">
        <v>39.2209</v>
      </c>
      <c r="AA12">
        <v>2.4211999999999998</v>
      </c>
      <c r="AB12">
        <v>5.9088000000000003</v>
      </c>
      <c r="AC12">
        <v>8.8200000000000001E-2</v>
      </c>
      <c r="AD12" t="s">
        <v>33</v>
      </c>
      <c r="AE12">
        <v>22.893799999999999</v>
      </c>
      <c r="AF12">
        <v>17.727499999999999</v>
      </c>
      <c r="AG12">
        <v>0.42499999999999999</v>
      </c>
      <c r="AH12">
        <v>3515.0284000000001</v>
      </c>
      <c r="AJ12">
        <v>3.4771000000000001</v>
      </c>
      <c r="AK12">
        <v>48.606099999999998</v>
      </c>
      <c r="AL12">
        <v>2.1113</v>
      </c>
      <c r="AM12">
        <v>38.934800000000003</v>
      </c>
      <c r="AN12">
        <v>0.48270000000000002</v>
      </c>
      <c r="AO12">
        <v>195.11080000000001</v>
      </c>
      <c r="AP12">
        <v>49.3598</v>
      </c>
      <c r="AQ12">
        <v>42.273499999999999</v>
      </c>
      <c r="AR12">
        <v>100.378</v>
      </c>
      <c r="AS12">
        <v>86599.985400000005</v>
      </c>
      <c r="AU12" s="1">
        <f t="shared" si="0"/>
        <v>43693</v>
      </c>
      <c r="AV12" s="29">
        <f t="shared" si="1"/>
        <v>4.3625802218730101</v>
      </c>
      <c r="AW12" s="30">
        <f t="shared" si="2"/>
        <v>-0.981706023291125</v>
      </c>
    </row>
    <row r="13" spans="1:54" x14ac:dyDescent="0.25">
      <c r="A13" s="37">
        <v>43700</v>
      </c>
      <c r="B13" s="5">
        <v>3.629</v>
      </c>
      <c r="C13">
        <v>2.5756000000000001</v>
      </c>
      <c r="D13">
        <v>0.97660000000000002</v>
      </c>
      <c r="E13">
        <v>51.313899999999997</v>
      </c>
      <c r="F13">
        <v>2.2602000000000002</v>
      </c>
      <c r="G13" t="s">
        <v>33</v>
      </c>
      <c r="H13">
        <v>28.122</v>
      </c>
      <c r="I13">
        <v>7.61</v>
      </c>
      <c r="J13">
        <v>53.515000000000001</v>
      </c>
      <c r="K13">
        <v>210481.3412</v>
      </c>
      <c r="M13" s="37">
        <v>43700</v>
      </c>
      <c r="N13" s="5">
        <v>2.2128000000000001</v>
      </c>
      <c r="O13">
        <v>22.1402</v>
      </c>
      <c r="P13">
        <v>1.2657</v>
      </c>
      <c r="Q13">
        <v>44.119199999999999</v>
      </c>
      <c r="R13">
        <v>1.379</v>
      </c>
      <c r="S13" t="s">
        <v>33</v>
      </c>
      <c r="T13">
        <v>34.218499999999999</v>
      </c>
      <c r="U13">
        <v>24.5123</v>
      </c>
      <c r="V13">
        <v>35.35</v>
      </c>
      <c r="W13">
        <v>66261.262400000007</v>
      </c>
      <c r="Y13" s="5">
        <v>0.84030000000000005</v>
      </c>
      <c r="Z13">
        <v>39.2209</v>
      </c>
      <c r="AA13">
        <v>2.4211999999999998</v>
      </c>
      <c r="AB13">
        <v>5.9088000000000003</v>
      </c>
      <c r="AC13">
        <v>8.8200000000000001E-2</v>
      </c>
      <c r="AD13" t="s">
        <v>33</v>
      </c>
      <c r="AE13">
        <v>22.893799999999999</v>
      </c>
      <c r="AF13">
        <v>17.727499999999999</v>
      </c>
      <c r="AG13">
        <v>0.38500000000000001</v>
      </c>
      <c r="AH13">
        <v>3183.9025000000001</v>
      </c>
      <c r="AJ13">
        <v>3.1762999999999999</v>
      </c>
      <c r="AK13">
        <v>48.606099999999998</v>
      </c>
      <c r="AL13">
        <v>2.1113</v>
      </c>
      <c r="AM13">
        <v>38.934800000000003</v>
      </c>
      <c r="AN13">
        <v>0.48270000000000002</v>
      </c>
      <c r="AO13">
        <v>195.11080000000001</v>
      </c>
      <c r="AP13">
        <v>49.3598</v>
      </c>
      <c r="AQ13">
        <v>42.273499999999999</v>
      </c>
      <c r="AR13">
        <v>90.295000000000002</v>
      </c>
      <c r="AS13">
        <v>77900.262100000007</v>
      </c>
      <c r="AU13" s="1">
        <f t="shared" si="0"/>
        <v>43700</v>
      </c>
      <c r="AV13" s="29">
        <f t="shared" si="1"/>
        <v>4.1459801738742881</v>
      </c>
      <c r="AW13" s="30">
        <f t="shared" si="2"/>
        <v>-1.0488727218662881</v>
      </c>
    </row>
    <row r="14" spans="1:54" x14ac:dyDescent="0.25">
      <c r="A14" s="37">
        <v>43707</v>
      </c>
      <c r="B14" s="5">
        <v>3.6753</v>
      </c>
      <c r="C14">
        <v>2.5756000000000001</v>
      </c>
      <c r="D14">
        <v>0.97660000000000002</v>
      </c>
      <c r="E14">
        <v>51.313899999999997</v>
      </c>
      <c r="F14">
        <v>2.2602000000000002</v>
      </c>
      <c r="G14" t="s">
        <v>33</v>
      </c>
      <c r="H14">
        <v>28.122</v>
      </c>
      <c r="I14">
        <v>7.61</v>
      </c>
      <c r="J14">
        <v>55.365000000000002</v>
      </c>
      <c r="K14">
        <v>217757.62779999999</v>
      </c>
      <c r="M14" s="37">
        <v>43707</v>
      </c>
      <c r="N14" s="5">
        <v>2.0099</v>
      </c>
      <c r="O14">
        <v>22.1402</v>
      </c>
      <c r="P14">
        <v>1.2657</v>
      </c>
      <c r="Q14">
        <v>44.119199999999999</v>
      </c>
      <c r="R14">
        <v>1.379</v>
      </c>
      <c r="S14" t="s">
        <v>33</v>
      </c>
      <c r="T14">
        <v>34.218499999999999</v>
      </c>
      <c r="U14">
        <v>24.5123</v>
      </c>
      <c r="V14">
        <v>32.6</v>
      </c>
      <c r="W14">
        <v>61106.567300000002</v>
      </c>
      <c r="Y14" s="5">
        <v>0.7681</v>
      </c>
      <c r="Z14">
        <v>39.2209</v>
      </c>
      <c r="AA14">
        <v>2.4211999999999998</v>
      </c>
      <c r="AB14">
        <v>5.9088000000000003</v>
      </c>
      <c r="AC14">
        <v>8.8200000000000001E-2</v>
      </c>
      <c r="AD14" t="s">
        <v>33</v>
      </c>
      <c r="AE14">
        <v>22.893799999999999</v>
      </c>
      <c r="AF14">
        <v>17.727499999999999</v>
      </c>
      <c r="AG14">
        <v>0.34799999999999998</v>
      </c>
      <c r="AH14">
        <v>2878.2478999999998</v>
      </c>
      <c r="AJ14">
        <v>3.0773999999999999</v>
      </c>
      <c r="AK14">
        <v>48.606099999999998</v>
      </c>
      <c r="AL14">
        <v>2.1113</v>
      </c>
      <c r="AM14">
        <v>38.934800000000003</v>
      </c>
      <c r="AN14">
        <v>0.48270000000000002</v>
      </c>
      <c r="AO14">
        <v>195.11080000000001</v>
      </c>
      <c r="AP14">
        <v>49.3598</v>
      </c>
      <c r="AQ14">
        <v>42.273499999999999</v>
      </c>
      <c r="AR14">
        <v>86.978999999999999</v>
      </c>
      <c r="AS14">
        <v>75040.079100000003</v>
      </c>
      <c r="AU14" s="1">
        <f t="shared" si="0"/>
        <v>43707</v>
      </c>
      <c r="AV14" s="29">
        <f t="shared" si="1"/>
        <v>4.1040384558031953</v>
      </c>
      <c r="AW14" s="30">
        <f t="shared" si="2"/>
        <v>-1.0618786595908363</v>
      </c>
    </row>
    <row r="15" spans="1:54" x14ac:dyDescent="0.25">
      <c r="A15" s="37">
        <v>43714</v>
      </c>
      <c r="B15" s="5">
        <v>3.8123</v>
      </c>
      <c r="C15">
        <v>2.5756000000000001</v>
      </c>
      <c r="D15">
        <v>0.97660000000000002</v>
      </c>
      <c r="E15">
        <v>51.313899999999997</v>
      </c>
      <c r="F15">
        <v>2.2602000000000002</v>
      </c>
      <c r="G15" t="s">
        <v>33</v>
      </c>
      <c r="H15">
        <v>28.122</v>
      </c>
      <c r="I15">
        <v>7.61</v>
      </c>
      <c r="J15">
        <v>60.83</v>
      </c>
      <c r="K15">
        <v>239252.17199999999</v>
      </c>
      <c r="M15" s="37">
        <v>43714</v>
      </c>
      <c r="N15" s="5">
        <v>2.2865000000000002</v>
      </c>
      <c r="O15">
        <v>22.1402</v>
      </c>
      <c r="P15">
        <v>1.2657</v>
      </c>
      <c r="Q15">
        <v>44.119199999999999</v>
      </c>
      <c r="R15">
        <v>1.379</v>
      </c>
      <c r="S15" t="s">
        <v>33</v>
      </c>
      <c r="T15">
        <v>34.218499999999999</v>
      </c>
      <c r="U15">
        <v>24.5123</v>
      </c>
      <c r="V15">
        <v>39.200000000000003</v>
      </c>
      <c r="W15">
        <v>73477.835500000001</v>
      </c>
      <c r="Y15" s="5">
        <v>0.85229999999999995</v>
      </c>
      <c r="Z15">
        <v>39.2209</v>
      </c>
      <c r="AA15">
        <v>2.4211999999999998</v>
      </c>
      <c r="AB15">
        <v>5.9088000000000003</v>
      </c>
      <c r="AC15">
        <v>8.8200000000000001E-2</v>
      </c>
      <c r="AD15" t="s">
        <v>33</v>
      </c>
      <c r="AE15">
        <v>22.893799999999999</v>
      </c>
      <c r="AF15">
        <v>17.727499999999999</v>
      </c>
      <c r="AG15">
        <v>0.39100000000000001</v>
      </c>
      <c r="AH15">
        <v>3234.8449000000001</v>
      </c>
      <c r="AJ15">
        <v>3.3273999999999999</v>
      </c>
      <c r="AK15">
        <v>48.606099999999998</v>
      </c>
      <c r="AL15">
        <v>2.1113</v>
      </c>
      <c r="AM15">
        <v>38.934800000000003</v>
      </c>
      <c r="AN15">
        <v>0.48270000000000002</v>
      </c>
      <c r="AO15">
        <v>195.11080000000001</v>
      </c>
      <c r="AP15">
        <v>49.3598</v>
      </c>
      <c r="AQ15">
        <v>42.273499999999999</v>
      </c>
      <c r="AR15">
        <v>95.36</v>
      </c>
      <c r="AS15">
        <v>82269.986099999995</v>
      </c>
      <c r="AU15" s="1">
        <f t="shared" si="0"/>
        <v>43714</v>
      </c>
      <c r="AV15" s="29">
        <f t="shared" si="1"/>
        <v>4.2935482410123909</v>
      </c>
      <c r="AW15" s="30">
        <f t="shared" si="2"/>
        <v>-1.0031125293992815</v>
      </c>
    </row>
    <row r="16" spans="1:54" x14ac:dyDescent="0.25">
      <c r="A16" s="37">
        <v>43721</v>
      </c>
      <c r="B16" s="5">
        <v>3.8624999999999998</v>
      </c>
      <c r="C16">
        <v>2.5756000000000001</v>
      </c>
      <c r="D16">
        <v>0.97660000000000002</v>
      </c>
      <c r="E16">
        <v>51.313899999999997</v>
      </c>
      <c r="F16">
        <v>2.2602000000000002</v>
      </c>
      <c r="G16" t="s">
        <v>33</v>
      </c>
      <c r="H16">
        <v>28.122</v>
      </c>
      <c r="I16">
        <v>7.61</v>
      </c>
      <c r="J16">
        <v>62.835000000000001</v>
      </c>
      <c r="K16">
        <v>247138.09349999999</v>
      </c>
      <c r="M16" s="37">
        <v>43721</v>
      </c>
      <c r="N16" s="5">
        <v>2.3811</v>
      </c>
      <c r="O16">
        <v>22.1402</v>
      </c>
      <c r="P16">
        <v>1.2657</v>
      </c>
      <c r="Q16">
        <v>44.119199999999999</v>
      </c>
      <c r="R16">
        <v>1.379</v>
      </c>
      <c r="S16" t="s">
        <v>33</v>
      </c>
      <c r="T16">
        <v>34.218499999999999</v>
      </c>
      <c r="U16">
        <v>24.5123</v>
      </c>
      <c r="V16">
        <v>43.05</v>
      </c>
      <c r="W16">
        <v>80694.4087</v>
      </c>
      <c r="Y16" s="5">
        <v>1.0266999999999999</v>
      </c>
      <c r="Z16">
        <v>39.2209</v>
      </c>
      <c r="AA16">
        <v>2.4211999999999998</v>
      </c>
      <c r="AB16">
        <v>5.9088000000000003</v>
      </c>
      <c r="AC16">
        <v>8.8200000000000001E-2</v>
      </c>
      <c r="AD16" t="s">
        <v>33</v>
      </c>
      <c r="AE16">
        <v>22.893799999999999</v>
      </c>
      <c r="AF16">
        <v>17.727499999999999</v>
      </c>
      <c r="AG16">
        <v>0.48</v>
      </c>
      <c r="AH16">
        <v>3973.5102999999999</v>
      </c>
      <c r="AJ16">
        <v>3.5636000000000001</v>
      </c>
      <c r="AK16">
        <v>48.606099999999998</v>
      </c>
      <c r="AL16">
        <v>2.1113</v>
      </c>
      <c r="AM16">
        <v>38.934800000000003</v>
      </c>
      <c r="AN16">
        <v>0.48270000000000002</v>
      </c>
      <c r="AO16">
        <v>195.11080000000001</v>
      </c>
      <c r="AP16">
        <v>49.3598</v>
      </c>
      <c r="AQ16">
        <v>42.273499999999999</v>
      </c>
      <c r="AR16">
        <v>103.279</v>
      </c>
      <c r="AS16">
        <v>89102.645499999999</v>
      </c>
      <c r="AU16" s="1">
        <f t="shared" si="0"/>
        <v>43721</v>
      </c>
      <c r="AV16" s="29">
        <f t="shared" si="1"/>
        <v>4.4252306405331634</v>
      </c>
      <c r="AW16" s="30">
        <f t="shared" si="2"/>
        <v>-0.96227841085689736</v>
      </c>
    </row>
    <row r="17" spans="1:49" x14ac:dyDescent="0.25">
      <c r="A17" s="37">
        <v>43728</v>
      </c>
      <c r="B17" s="5">
        <v>3.8795000000000002</v>
      </c>
      <c r="C17">
        <v>2.5756000000000001</v>
      </c>
      <c r="D17">
        <v>0.97660000000000002</v>
      </c>
      <c r="E17">
        <v>51.313899999999997</v>
      </c>
      <c r="F17">
        <v>2.2602000000000002</v>
      </c>
      <c r="G17" t="s">
        <v>33</v>
      </c>
      <c r="H17">
        <v>28.122</v>
      </c>
      <c r="I17">
        <v>7.61</v>
      </c>
      <c r="J17">
        <v>63.515000000000001</v>
      </c>
      <c r="K17">
        <v>249812.62049999999</v>
      </c>
      <c r="M17" s="37">
        <v>43728</v>
      </c>
      <c r="N17" s="5">
        <v>2.3847999999999998</v>
      </c>
      <c r="O17">
        <v>22.1402</v>
      </c>
      <c r="P17">
        <v>1.2657</v>
      </c>
      <c r="Q17">
        <v>44.119199999999999</v>
      </c>
      <c r="R17">
        <v>1.379</v>
      </c>
      <c r="S17" t="s">
        <v>33</v>
      </c>
      <c r="T17">
        <v>34.218499999999999</v>
      </c>
      <c r="U17">
        <v>24.5123</v>
      </c>
      <c r="V17">
        <v>44.05</v>
      </c>
      <c r="W17">
        <v>82568.843200000003</v>
      </c>
      <c r="Y17" s="5">
        <v>1.1289</v>
      </c>
      <c r="Z17">
        <v>39.2209</v>
      </c>
      <c r="AA17">
        <v>2.4211999999999998</v>
      </c>
      <c r="AB17">
        <v>5.9088000000000003</v>
      </c>
      <c r="AC17">
        <v>8.8200000000000001E-2</v>
      </c>
      <c r="AD17" t="s">
        <v>33</v>
      </c>
      <c r="AE17">
        <v>22.893799999999999</v>
      </c>
      <c r="AF17">
        <v>17.727499999999999</v>
      </c>
      <c r="AG17">
        <v>0.53200000000000003</v>
      </c>
      <c r="AH17">
        <v>4406.5210999999999</v>
      </c>
      <c r="AJ17">
        <v>3.6968000000000001</v>
      </c>
      <c r="AK17">
        <v>48.606099999999998</v>
      </c>
      <c r="AL17">
        <v>2.1113</v>
      </c>
      <c r="AM17">
        <v>38.934800000000003</v>
      </c>
      <c r="AN17">
        <v>0.48270000000000002</v>
      </c>
      <c r="AO17">
        <v>195.11080000000001</v>
      </c>
      <c r="AP17">
        <v>49.3598</v>
      </c>
      <c r="AQ17">
        <v>42.273499999999999</v>
      </c>
      <c r="AR17">
        <v>107.746</v>
      </c>
      <c r="AS17">
        <v>92955.9476</v>
      </c>
      <c r="AU17" s="1">
        <f t="shared" si="0"/>
        <v>43728</v>
      </c>
      <c r="AV17" s="29">
        <f t="shared" si="1"/>
        <v>4.4974060109361131</v>
      </c>
      <c r="AW17" s="30">
        <f t="shared" si="2"/>
        <v>-0.93989715382026795</v>
      </c>
    </row>
    <row r="18" spans="1:49" x14ac:dyDescent="0.25">
      <c r="A18" s="37">
        <v>43735</v>
      </c>
      <c r="B18" s="5">
        <v>3.7967</v>
      </c>
      <c r="C18">
        <v>2.5756000000000001</v>
      </c>
      <c r="D18">
        <v>0.97660000000000002</v>
      </c>
      <c r="E18">
        <v>51.313899999999997</v>
      </c>
      <c r="F18">
        <v>2.2602000000000002</v>
      </c>
      <c r="G18" t="s">
        <v>33</v>
      </c>
      <c r="H18">
        <v>28.122</v>
      </c>
      <c r="I18">
        <v>7.61</v>
      </c>
      <c r="J18">
        <v>60.21</v>
      </c>
      <c r="K18">
        <v>236813.63269999999</v>
      </c>
      <c r="M18" s="37">
        <v>43735</v>
      </c>
      <c r="N18" s="5">
        <v>2.3167</v>
      </c>
      <c r="O18">
        <v>22.1402</v>
      </c>
      <c r="P18">
        <v>1.2657</v>
      </c>
      <c r="Q18">
        <v>44.119199999999999</v>
      </c>
      <c r="R18">
        <v>1.379</v>
      </c>
      <c r="S18" t="s">
        <v>33</v>
      </c>
      <c r="T18">
        <v>34.218499999999999</v>
      </c>
      <c r="U18">
        <v>24.5123</v>
      </c>
      <c r="V18">
        <v>42.55</v>
      </c>
      <c r="W18">
        <v>79757.191399999996</v>
      </c>
      <c r="Y18" s="5">
        <v>1.0508</v>
      </c>
      <c r="Z18">
        <v>39.2209</v>
      </c>
      <c r="AA18">
        <v>2.4211999999999998</v>
      </c>
      <c r="AB18">
        <v>5.9088000000000003</v>
      </c>
      <c r="AC18">
        <v>8.8200000000000001E-2</v>
      </c>
      <c r="AD18" t="s">
        <v>33</v>
      </c>
      <c r="AE18">
        <v>22.893799999999999</v>
      </c>
      <c r="AF18">
        <v>17.727499999999999</v>
      </c>
      <c r="AG18">
        <v>0.49199999999999999</v>
      </c>
      <c r="AH18">
        <v>4075.3951999999999</v>
      </c>
      <c r="AJ18">
        <v>3.4729000000000001</v>
      </c>
      <c r="AK18">
        <v>48.606099999999998</v>
      </c>
      <c r="AL18">
        <v>2.1113</v>
      </c>
      <c r="AM18">
        <v>38.934800000000003</v>
      </c>
      <c r="AN18">
        <v>0.48270000000000002</v>
      </c>
      <c r="AO18">
        <v>195.11080000000001</v>
      </c>
      <c r="AP18">
        <v>49.3598</v>
      </c>
      <c r="AQ18">
        <v>42.273499999999999</v>
      </c>
      <c r="AR18">
        <v>100.24</v>
      </c>
      <c r="AS18">
        <v>86480.811100000006</v>
      </c>
      <c r="AU18" s="1">
        <f t="shared" si="0"/>
        <v>43735</v>
      </c>
      <c r="AV18" s="29">
        <f t="shared" si="1"/>
        <v>4.3303346653051271</v>
      </c>
      <c r="AW18" s="30">
        <f t="shared" si="2"/>
        <v>-0.99170522503828318</v>
      </c>
    </row>
    <row r="19" spans="1:49" x14ac:dyDescent="0.25">
      <c r="A19" s="37">
        <v>43742</v>
      </c>
      <c r="B19" s="5">
        <v>5.7634999999999996</v>
      </c>
      <c r="C19">
        <v>0.8226</v>
      </c>
      <c r="D19">
        <v>0.40260000000000001</v>
      </c>
      <c r="E19">
        <v>51.191299999999998</v>
      </c>
      <c r="F19">
        <v>3.7732000000000001</v>
      </c>
      <c r="G19" t="s">
        <v>33</v>
      </c>
      <c r="H19">
        <v>21.2012</v>
      </c>
      <c r="I19">
        <v>-0.1346</v>
      </c>
      <c r="J19">
        <v>65</v>
      </c>
      <c r="K19">
        <v>255653.31539999999</v>
      </c>
      <c r="M19" s="37">
        <v>43742</v>
      </c>
      <c r="N19" s="5">
        <v>2.6999</v>
      </c>
      <c r="O19">
        <v>19.2959</v>
      </c>
      <c r="P19">
        <v>0.86060000000000003</v>
      </c>
      <c r="Q19">
        <v>45.613399999999999</v>
      </c>
      <c r="R19">
        <v>1.4443999999999999</v>
      </c>
      <c r="S19" t="s">
        <v>33</v>
      </c>
      <c r="T19">
        <v>35.091999999999999</v>
      </c>
      <c r="U19">
        <v>24.8873</v>
      </c>
      <c r="V19">
        <v>50.05</v>
      </c>
      <c r="W19">
        <v>93815.450700000001</v>
      </c>
      <c r="Y19" s="5">
        <v>1.5943000000000001</v>
      </c>
      <c r="Z19">
        <v>21.810099999999998</v>
      </c>
      <c r="AA19">
        <v>1.3804000000000001</v>
      </c>
      <c r="AB19">
        <v>9.9347999999999992</v>
      </c>
      <c r="AC19">
        <v>0.21479999999999999</v>
      </c>
      <c r="AD19" t="s">
        <v>33</v>
      </c>
      <c r="AE19">
        <v>12.1579</v>
      </c>
      <c r="AF19">
        <v>7.1150000000000002</v>
      </c>
      <c r="AG19">
        <v>0.48599999999999999</v>
      </c>
      <c r="AH19">
        <v>4024.4528</v>
      </c>
      <c r="AJ19">
        <v>4.1688000000000001</v>
      </c>
      <c r="AK19">
        <v>46.458199999999998</v>
      </c>
      <c r="AL19">
        <v>1.3169999999999999</v>
      </c>
      <c r="AM19">
        <v>44.381900000000002</v>
      </c>
      <c r="AN19">
        <v>0.76629999999999998</v>
      </c>
      <c r="AO19">
        <v>195.11080000000001</v>
      </c>
      <c r="AP19">
        <v>47.790799999999997</v>
      </c>
      <c r="AQ19">
        <v>40.009500000000003</v>
      </c>
      <c r="AR19">
        <v>110.64700000000001</v>
      </c>
      <c r="AS19">
        <v>95458.607799999998</v>
      </c>
      <c r="AU19" s="1">
        <f t="shared" si="0"/>
        <v>43742</v>
      </c>
      <c r="AV19" s="29">
        <f t="shared" si="1"/>
        <v>6.0287273814759725</v>
      </c>
      <c r="AW19" s="30">
        <f t="shared" si="2"/>
        <v>-0.46504129913752512</v>
      </c>
    </row>
    <row r="20" spans="1:49" x14ac:dyDescent="0.25">
      <c r="A20" s="37">
        <v>43749</v>
      </c>
      <c r="B20" s="5">
        <v>5.7511000000000001</v>
      </c>
      <c r="C20">
        <v>0.8226</v>
      </c>
      <c r="D20">
        <v>0.40260000000000001</v>
      </c>
      <c r="E20">
        <v>51.191299999999998</v>
      </c>
      <c r="F20">
        <v>3.7732000000000001</v>
      </c>
      <c r="G20" t="s">
        <v>33</v>
      </c>
      <c r="H20">
        <v>21.2012</v>
      </c>
      <c r="I20">
        <v>-0.1346</v>
      </c>
      <c r="J20">
        <v>64.584999999999994</v>
      </c>
      <c r="K20">
        <v>254021.0674</v>
      </c>
      <c r="M20" s="37">
        <v>43749</v>
      </c>
      <c r="N20" s="5">
        <v>2.6015000000000001</v>
      </c>
      <c r="O20">
        <v>19.2959</v>
      </c>
      <c r="P20">
        <v>0.86060000000000003</v>
      </c>
      <c r="Q20">
        <v>45.613399999999999</v>
      </c>
      <c r="R20">
        <v>1.4443999999999999</v>
      </c>
      <c r="S20" t="s">
        <v>33</v>
      </c>
      <c r="T20">
        <v>35.091999999999999</v>
      </c>
      <c r="U20">
        <v>24.8873</v>
      </c>
      <c r="V20">
        <v>46.8</v>
      </c>
      <c r="W20">
        <v>87723.5383</v>
      </c>
      <c r="Y20" s="5">
        <v>1.6031</v>
      </c>
      <c r="Z20">
        <v>21.810099999999998</v>
      </c>
      <c r="AA20">
        <v>1.3804000000000001</v>
      </c>
      <c r="AB20">
        <v>9.9347999999999992</v>
      </c>
      <c r="AC20">
        <v>0.21479999999999999</v>
      </c>
      <c r="AD20" t="s">
        <v>33</v>
      </c>
      <c r="AE20">
        <v>12.1579</v>
      </c>
      <c r="AF20">
        <v>7.1150000000000002</v>
      </c>
      <c r="AG20">
        <v>0.48899999999999999</v>
      </c>
      <c r="AH20">
        <v>4049.924</v>
      </c>
      <c r="AJ20">
        <v>3.9946000000000002</v>
      </c>
      <c r="AK20">
        <v>46.458199999999998</v>
      </c>
      <c r="AL20">
        <v>1.3169999999999999</v>
      </c>
      <c r="AM20">
        <v>44.381900000000002</v>
      </c>
      <c r="AN20">
        <v>0.76629999999999998</v>
      </c>
      <c r="AO20">
        <v>195.11080000000001</v>
      </c>
      <c r="AP20">
        <v>47.790799999999997</v>
      </c>
      <c r="AQ20">
        <v>40.009500000000003</v>
      </c>
      <c r="AR20">
        <v>104.983</v>
      </c>
      <c r="AS20">
        <v>90572.461800000005</v>
      </c>
      <c r="AU20" s="1">
        <f t="shared" si="0"/>
        <v>43749</v>
      </c>
      <c r="AV20" s="29">
        <f t="shared" si="1"/>
        <v>5.9497949156894085</v>
      </c>
      <c r="AW20" s="30">
        <f t="shared" si="2"/>
        <v>-0.4895179009954887</v>
      </c>
    </row>
    <row r="21" spans="1:49" x14ac:dyDescent="0.25">
      <c r="A21" s="37">
        <v>43756</v>
      </c>
      <c r="B21" s="5">
        <v>5.8308</v>
      </c>
      <c r="C21">
        <v>0.8226</v>
      </c>
      <c r="D21">
        <v>0.40260000000000001</v>
      </c>
      <c r="E21">
        <v>51.191299999999998</v>
      </c>
      <c r="F21">
        <v>3.7732000000000001</v>
      </c>
      <c r="G21" t="s">
        <v>33</v>
      </c>
      <c r="H21">
        <v>21.2012</v>
      </c>
      <c r="I21">
        <v>-0.1346</v>
      </c>
      <c r="J21">
        <v>67.239999999999995</v>
      </c>
      <c r="K21">
        <v>264463.522</v>
      </c>
      <c r="M21" s="37">
        <v>43756</v>
      </c>
      <c r="N21" s="5">
        <v>2.5558000000000001</v>
      </c>
      <c r="O21">
        <v>19.2959</v>
      </c>
      <c r="P21">
        <v>0.86060000000000003</v>
      </c>
      <c r="Q21">
        <v>45.613399999999999</v>
      </c>
      <c r="R21">
        <v>1.4443999999999999</v>
      </c>
      <c r="S21" t="s">
        <v>33</v>
      </c>
      <c r="T21">
        <v>35.091999999999999</v>
      </c>
      <c r="U21">
        <v>24.8873</v>
      </c>
      <c r="V21">
        <v>45.5</v>
      </c>
      <c r="W21">
        <v>85286.773400000005</v>
      </c>
      <c r="Y21" s="5">
        <v>1.6991000000000001</v>
      </c>
      <c r="Z21">
        <v>21.810099999999998</v>
      </c>
      <c r="AA21">
        <v>1.3804000000000001</v>
      </c>
      <c r="AB21">
        <v>9.9347999999999992</v>
      </c>
      <c r="AC21">
        <v>0.21479999999999999</v>
      </c>
      <c r="AD21" t="s">
        <v>33</v>
      </c>
      <c r="AE21">
        <v>12.1579</v>
      </c>
      <c r="AF21">
        <v>7.1150000000000002</v>
      </c>
      <c r="AG21">
        <v>0.52300000000000002</v>
      </c>
      <c r="AH21">
        <v>4330.1073999999999</v>
      </c>
      <c r="AJ21">
        <v>4.0852000000000004</v>
      </c>
      <c r="AK21">
        <v>46.458199999999998</v>
      </c>
      <c r="AL21">
        <v>1.3169999999999999</v>
      </c>
      <c r="AM21">
        <v>44.381900000000002</v>
      </c>
      <c r="AN21">
        <v>0.76629999999999998</v>
      </c>
      <c r="AO21">
        <v>195.11080000000001</v>
      </c>
      <c r="AP21">
        <v>47.790799999999997</v>
      </c>
      <c r="AQ21">
        <v>40.009500000000003</v>
      </c>
      <c r="AR21">
        <v>107.93</v>
      </c>
      <c r="AS21">
        <v>93114.846699999995</v>
      </c>
      <c r="AU21" s="1">
        <f t="shared" si="0"/>
        <v>43756</v>
      </c>
      <c r="AV21" s="29">
        <f t="shared" si="1"/>
        <v>6.0657406616447167</v>
      </c>
      <c r="AW21" s="30">
        <f t="shared" si="2"/>
        <v>-0.45356364779191338</v>
      </c>
    </row>
    <row r="22" spans="1:49" x14ac:dyDescent="0.25">
      <c r="A22" s="37">
        <v>43763</v>
      </c>
      <c r="B22" s="5">
        <v>6.0951000000000004</v>
      </c>
      <c r="C22">
        <v>0.8226</v>
      </c>
      <c r="D22">
        <v>0.40260000000000001</v>
      </c>
      <c r="E22">
        <v>51.191299999999998</v>
      </c>
      <c r="F22">
        <v>3.7732000000000001</v>
      </c>
      <c r="G22" t="s">
        <v>33</v>
      </c>
      <c r="H22">
        <v>21.2012</v>
      </c>
      <c r="I22">
        <v>-0.1346</v>
      </c>
      <c r="J22">
        <v>76.034999999999997</v>
      </c>
      <c r="K22">
        <v>299055.38219999999</v>
      </c>
      <c r="M22" s="37">
        <v>43763</v>
      </c>
      <c r="N22" s="5">
        <v>2.5811999999999999</v>
      </c>
      <c r="O22">
        <v>19.2959</v>
      </c>
      <c r="P22">
        <v>0.86060000000000003</v>
      </c>
      <c r="Q22">
        <v>45.613399999999999</v>
      </c>
      <c r="R22">
        <v>1.4443999999999999</v>
      </c>
      <c r="S22" t="s">
        <v>33</v>
      </c>
      <c r="T22">
        <v>35.091999999999999</v>
      </c>
      <c r="U22">
        <v>24.8873</v>
      </c>
      <c r="V22">
        <v>49.45</v>
      </c>
      <c r="W22">
        <v>92690.79</v>
      </c>
      <c r="Y22" s="5">
        <v>1.5681</v>
      </c>
      <c r="Z22">
        <v>21.810099999999998</v>
      </c>
      <c r="AA22">
        <v>1.3804000000000001</v>
      </c>
      <c r="AB22">
        <v>9.9347999999999992</v>
      </c>
      <c r="AC22">
        <v>0.21479999999999999</v>
      </c>
      <c r="AD22" t="s">
        <v>33</v>
      </c>
      <c r="AE22">
        <v>12.1579</v>
      </c>
      <c r="AF22">
        <v>7.1150000000000002</v>
      </c>
      <c r="AG22">
        <v>0.47699999999999998</v>
      </c>
      <c r="AH22">
        <v>3948.0391</v>
      </c>
      <c r="AJ22">
        <v>4.1858000000000004</v>
      </c>
      <c r="AK22">
        <v>46.458199999999998</v>
      </c>
      <c r="AL22">
        <v>1.3169999999999999</v>
      </c>
      <c r="AM22">
        <v>44.381900000000002</v>
      </c>
      <c r="AN22">
        <v>0.76629999999999998</v>
      </c>
      <c r="AO22">
        <v>195.11080000000001</v>
      </c>
      <c r="AP22">
        <v>47.790799999999997</v>
      </c>
      <c r="AQ22">
        <v>40.009500000000003</v>
      </c>
      <c r="AR22">
        <v>111.199</v>
      </c>
      <c r="AS22">
        <v>95935.304900000003</v>
      </c>
      <c r="AU22" s="1">
        <f t="shared" si="0"/>
        <v>43763</v>
      </c>
      <c r="AV22" s="29">
        <f t="shared" si="1"/>
        <v>6.2416451290611796</v>
      </c>
      <c r="AW22" s="30">
        <f t="shared" si="2"/>
        <v>-0.39901646532288709</v>
      </c>
    </row>
    <row r="23" spans="1:49" x14ac:dyDescent="0.25">
      <c r="A23" s="37">
        <v>43770</v>
      </c>
      <c r="B23" s="5">
        <v>6.1059999999999999</v>
      </c>
      <c r="C23">
        <v>0.8226</v>
      </c>
      <c r="D23">
        <v>0.40260000000000001</v>
      </c>
      <c r="E23">
        <v>51.191299999999998</v>
      </c>
      <c r="F23">
        <v>3.7732000000000001</v>
      </c>
      <c r="G23" t="s">
        <v>33</v>
      </c>
      <c r="H23">
        <v>21.2012</v>
      </c>
      <c r="I23">
        <v>-0.1346</v>
      </c>
      <c r="J23">
        <v>76.400000000000006</v>
      </c>
      <c r="K23">
        <v>300490.97389999998</v>
      </c>
      <c r="M23" s="37">
        <v>43770</v>
      </c>
      <c r="N23" s="5">
        <v>2.6168</v>
      </c>
      <c r="O23">
        <v>19.2959</v>
      </c>
      <c r="P23">
        <v>0.86060000000000003</v>
      </c>
      <c r="Q23">
        <v>45.613399999999999</v>
      </c>
      <c r="R23">
        <v>1.4443999999999999</v>
      </c>
      <c r="S23" t="s">
        <v>33</v>
      </c>
      <c r="T23">
        <v>35.091999999999999</v>
      </c>
      <c r="U23">
        <v>24.8873</v>
      </c>
      <c r="V23">
        <v>50.35</v>
      </c>
      <c r="W23">
        <v>94377.781099999993</v>
      </c>
      <c r="Y23" s="5">
        <v>1.8126</v>
      </c>
      <c r="Z23">
        <v>21.810099999999998</v>
      </c>
      <c r="AA23">
        <v>1.3804000000000001</v>
      </c>
      <c r="AB23">
        <v>9.9347999999999992</v>
      </c>
      <c r="AC23">
        <v>0.21479999999999999</v>
      </c>
      <c r="AD23" t="s">
        <v>33</v>
      </c>
      <c r="AE23">
        <v>12.1579</v>
      </c>
      <c r="AF23">
        <v>7.1150000000000002</v>
      </c>
      <c r="AG23">
        <v>0.56299999999999994</v>
      </c>
      <c r="AH23">
        <v>4661.2332999999999</v>
      </c>
      <c r="AJ23">
        <v>4.1475</v>
      </c>
      <c r="AK23">
        <v>46.458199999999998</v>
      </c>
      <c r="AL23">
        <v>1.3169999999999999</v>
      </c>
      <c r="AM23">
        <v>44.381900000000002</v>
      </c>
      <c r="AN23">
        <v>0.76629999999999998</v>
      </c>
      <c r="AO23">
        <v>195.11080000000001</v>
      </c>
      <c r="AP23">
        <v>47.790799999999997</v>
      </c>
      <c r="AQ23">
        <v>40.009500000000003</v>
      </c>
      <c r="AR23">
        <v>109.956</v>
      </c>
      <c r="AS23">
        <v>94862.736300000004</v>
      </c>
      <c r="AU23" s="1">
        <f t="shared" si="0"/>
        <v>43770</v>
      </c>
      <c r="AV23" s="29">
        <f t="shared" si="1"/>
        <v>6.2164490457091164</v>
      </c>
      <c r="AW23" s="30">
        <f t="shared" si="2"/>
        <v>-0.40682965720081637</v>
      </c>
    </row>
    <row r="24" spans="1:49" x14ac:dyDescent="0.25">
      <c r="A24" s="37">
        <v>43777</v>
      </c>
      <c r="B24" s="5">
        <v>6.0414000000000003</v>
      </c>
      <c r="C24">
        <v>0.8226</v>
      </c>
      <c r="D24">
        <v>0.40260000000000001</v>
      </c>
      <c r="E24">
        <v>51.191299999999998</v>
      </c>
      <c r="F24">
        <v>3.7732000000000001</v>
      </c>
      <c r="G24" t="s">
        <v>33</v>
      </c>
      <c r="H24">
        <v>21.2012</v>
      </c>
      <c r="I24">
        <v>-0.1346</v>
      </c>
      <c r="J24">
        <v>74.25</v>
      </c>
      <c r="K24">
        <v>292034.7488</v>
      </c>
      <c r="M24" s="37">
        <v>43777</v>
      </c>
      <c r="N24" s="5">
        <v>2.4828000000000001</v>
      </c>
      <c r="O24">
        <v>19.2959</v>
      </c>
      <c r="P24">
        <v>0.86060000000000003</v>
      </c>
      <c r="Q24">
        <v>45.613399999999999</v>
      </c>
      <c r="R24">
        <v>1.4443999999999999</v>
      </c>
      <c r="S24" t="s">
        <v>33</v>
      </c>
      <c r="T24">
        <v>35.091999999999999</v>
      </c>
      <c r="U24">
        <v>24.8873</v>
      </c>
      <c r="V24">
        <v>44.55</v>
      </c>
      <c r="W24">
        <v>83506.060500000007</v>
      </c>
      <c r="Y24" s="5">
        <v>1.83</v>
      </c>
      <c r="Z24">
        <v>21.810099999999998</v>
      </c>
      <c r="AA24">
        <v>1.3804000000000001</v>
      </c>
      <c r="AB24">
        <v>9.9347999999999992</v>
      </c>
      <c r="AC24">
        <v>0.21479999999999999</v>
      </c>
      <c r="AD24" t="s">
        <v>33</v>
      </c>
      <c r="AE24">
        <v>12.1579</v>
      </c>
      <c r="AF24">
        <v>7.1150000000000002</v>
      </c>
      <c r="AG24">
        <v>0.56899999999999995</v>
      </c>
      <c r="AH24">
        <v>4712.1756999999998</v>
      </c>
      <c r="AJ24">
        <v>3.8176000000000001</v>
      </c>
      <c r="AK24">
        <v>46.458199999999998</v>
      </c>
      <c r="AL24">
        <v>1.3169999999999999</v>
      </c>
      <c r="AM24">
        <v>44.381900000000002</v>
      </c>
      <c r="AN24">
        <v>0.76629999999999998</v>
      </c>
      <c r="AO24">
        <v>195.11080000000001</v>
      </c>
      <c r="AP24">
        <v>47.790799999999997</v>
      </c>
      <c r="AQ24">
        <v>40.009500000000003</v>
      </c>
      <c r="AR24">
        <v>99.227000000000004</v>
      </c>
      <c r="AS24">
        <v>85606.866299999994</v>
      </c>
      <c r="AU24" s="1">
        <f t="shared" si="0"/>
        <v>43777</v>
      </c>
      <c r="AV24" s="29">
        <f t="shared" si="1"/>
        <v>6.0671808604674071</v>
      </c>
      <c r="AW24" s="30">
        <f t="shared" si="2"/>
        <v>-0.45311704862859037</v>
      </c>
    </row>
    <row r="25" spans="1:49" x14ac:dyDescent="0.25">
      <c r="A25" s="37">
        <v>43784</v>
      </c>
      <c r="B25" s="5">
        <v>5.9401999999999999</v>
      </c>
      <c r="C25">
        <v>0.8226</v>
      </c>
      <c r="D25">
        <v>0.40260000000000001</v>
      </c>
      <c r="E25">
        <v>51.191299999999998</v>
      </c>
      <c r="F25">
        <v>3.7732000000000001</v>
      </c>
      <c r="G25" t="s">
        <v>33</v>
      </c>
      <c r="H25">
        <v>21.2012</v>
      </c>
      <c r="I25">
        <v>-0.1346</v>
      </c>
      <c r="J25">
        <v>70.88</v>
      </c>
      <c r="K25">
        <v>278780.10769999999</v>
      </c>
      <c r="M25" s="37">
        <v>43784</v>
      </c>
      <c r="N25" s="5">
        <v>2.3664999999999998</v>
      </c>
      <c r="O25">
        <v>19.2959</v>
      </c>
      <c r="P25">
        <v>0.86060000000000003</v>
      </c>
      <c r="Q25">
        <v>45.613399999999999</v>
      </c>
      <c r="R25">
        <v>1.4443999999999999</v>
      </c>
      <c r="S25" t="s">
        <v>33</v>
      </c>
      <c r="T25">
        <v>35.091999999999999</v>
      </c>
      <c r="U25">
        <v>24.8873</v>
      </c>
      <c r="V25">
        <v>40.1</v>
      </c>
      <c r="W25">
        <v>75164.826700000005</v>
      </c>
      <c r="Y25" s="5">
        <v>1.6991000000000001</v>
      </c>
      <c r="Z25">
        <v>21.810099999999998</v>
      </c>
      <c r="AA25">
        <v>1.3804000000000001</v>
      </c>
      <c r="AB25">
        <v>9.9347999999999992</v>
      </c>
      <c r="AC25">
        <v>0.21479999999999999</v>
      </c>
      <c r="AD25" t="s">
        <v>33</v>
      </c>
      <c r="AE25">
        <v>12.1579</v>
      </c>
      <c r="AF25">
        <v>7.1150000000000002</v>
      </c>
      <c r="AG25">
        <v>0.52300000000000002</v>
      </c>
      <c r="AH25">
        <v>4330.1073999999999</v>
      </c>
      <c r="AJ25">
        <v>3.4113000000000002</v>
      </c>
      <c r="AK25">
        <v>46.458199999999998</v>
      </c>
      <c r="AL25">
        <v>1.3169999999999999</v>
      </c>
      <c r="AM25">
        <v>44.381900000000002</v>
      </c>
      <c r="AN25">
        <v>0.76629999999999998</v>
      </c>
      <c r="AO25">
        <v>195.11080000000001</v>
      </c>
      <c r="AP25">
        <v>47.790799999999997</v>
      </c>
      <c r="AQ25">
        <v>40.009500000000003</v>
      </c>
      <c r="AR25">
        <v>89.581999999999994</v>
      </c>
      <c r="AS25">
        <v>74205.859400000001</v>
      </c>
      <c r="AU25" s="1">
        <f t="shared" si="0"/>
        <v>43784</v>
      </c>
      <c r="AV25" s="29">
        <f t="shared" si="1"/>
        <v>5.8457404157356789</v>
      </c>
      <c r="AW25" s="30">
        <f t="shared" si="2"/>
        <v>-0.52178473241291623</v>
      </c>
    </row>
    <row r="26" spans="1:49" x14ac:dyDescent="0.25">
      <c r="A26" s="37">
        <v>43791</v>
      </c>
      <c r="B26" s="5">
        <v>5.9413999999999998</v>
      </c>
      <c r="C26">
        <v>0.8226</v>
      </c>
      <c r="D26">
        <v>0.40260000000000001</v>
      </c>
      <c r="E26">
        <v>51.191299999999998</v>
      </c>
      <c r="F26">
        <v>3.7732000000000001</v>
      </c>
      <c r="G26" t="s">
        <v>33</v>
      </c>
      <c r="H26">
        <v>21.2012</v>
      </c>
      <c r="I26">
        <v>-0.1346</v>
      </c>
      <c r="J26">
        <v>70.92</v>
      </c>
      <c r="K26">
        <v>278937.43280000001</v>
      </c>
      <c r="M26" s="37">
        <v>43791</v>
      </c>
      <c r="N26" s="5">
        <v>2.3734999999999999</v>
      </c>
      <c r="O26">
        <v>19.2959</v>
      </c>
      <c r="P26">
        <v>0.86060000000000003</v>
      </c>
      <c r="Q26">
        <v>45.613399999999999</v>
      </c>
      <c r="R26">
        <v>1.4443999999999999</v>
      </c>
      <c r="S26" t="s">
        <v>33</v>
      </c>
      <c r="T26">
        <v>35.091999999999999</v>
      </c>
      <c r="U26">
        <v>24.8873</v>
      </c>
      <c r="V26">
        <v>40.549999999999997</v>
      </c>
      <c r="W26">
        <v>76008.322199999995</v>
      </c>
      <c r="Y26" s="5">
        <v>1.7164999999999999</v>
      </c>
      <c r="Z26">
        <v>21.810099999999998</v>
      </c>
      <c r="AA26">
        <v>1.3804000000000001</v>
      </c>
      <c r="AB26">
        <v>9.9347999999999992</v>
      </c>
      <c r="AC26">
        <v>0.21479999999999999</v>
      </c>
      <c r="AD26" t="s">
        <v>33</v>
      </c>
      <c r="AE26">
        <v>12.1579</v>
      </c>
      <c r="AF26">
        <v>7.1150000000000002</v>
      </c>
      <c r="AG26">
        <v>0.52900000000000003</v>
      </c>
      <c r="AH26">
        <v>4381.0497999999998</v>
      </c>
      <c r="AJ26">
        <v>3.3858000000000001</v>
      </c>
      <c r="AK26">
        <v>46.458199999999998</v>
      </c>
      <c r="AL26">
        <v>1.3169999999999999</v>
      </c>
      <c r="AM26">
        <v>44.381900000000002</v>
      </c>
      <c r="AN26">
        <v>0.76629999999999998</v>
      </c>
      <c r="AO26">
        <v>195.11080000000001</v>
      </c>
      <c r="AP26">
        <v>47.790799999999997</v>
      </c>
      <c r="AQ26">
        <v>40.009500000000003</v>
      </c>
      <c r="AR26">
        <v>88.718999999999994</v>
      </c>
      <c r="AS26">
        <v>73490.813699999999</v>
      </c>
      <c r="AU26" s="1">
        <f t="shared" si="0"/>
        <v>43791</v>
      </c>
      <c r="AV26" s="29">
        <f t="shared" si="1"/>
        <v>5.8276473032739915</v>
      </c>
      <c r="AW26" s="30">
        <f t="shared" si="2"/>
        <v>-0.52739532503387376</v>
      </c>
    </row>
    <row r="27" spans="1:49" x14ac:dyDescent="0.25">
      <c r="A27" s="37">
        <v>43798</v>
      </c>
      <c r="B27" s="5">
        <v>5.9790999999999999</v>
      </c>
      <c r="C27">
        <v>0.8226</v>
      </c>
      <c r="D27">
        <v>0.40260000000000001</v>
      </c>
      <c r="E27">
        <v>51.191299999999998</v>
      </c>
      <c r="F27">
        <v>3.7732000000000001</v>
      </c>
      <c r="G27" t="s">
        <v>33</v>
      </c>
      <c r="H27">
        <v>21.2012</v>
      </c>
      <c r="I27">
        <v>-0.1346</v>
      </c>
      <c r="J27">
        <v>72.174999999999997</v>
      </c>
      <c r="K27">
        <v>283873.50829999999</v>
      </c>
      <c r="M27" s="37">
        <v>43798</v>
      </c>
      <c r="N27" s="5">
        <v>2.3853</v>
      </c>
      <c r="O27">
        <v>19.2959</v>
      </c>
      <c r="P27">
        <v>0.86060000000000003</v>
      </c>
      <c r="Q27">
        <v>45.613399999999999</v>
      </c>
      <c r="R27">
        <v>1.4443999999999999</v>
      </c>
      <c r="S27" t="s">
        <v>33</v>
      </c>
      <c r="T27">
        <v>35.091999999999999</v>
      </c>
      <c r="U27">
        <v>24.8873</v>
      </c>
      <c r="V27">
        <v>41.25</v>
      </c>
      <c r="W27">
        <v>77320.426399999997</v>
      </c>
      <c r="Y27" s="5">
        <v>1.7253000000000001</v>
      </c>
      <c r="Z27">
        <v>21.810099999999998</v>
      </c>
      <c r="AA27">
        <v>1.3804000000000001</v>
      </c>
      <c r="AB27">
        <v>9.9347999999999992</v>
      </c>
      <c r="AC27">
        <v>0.21479999999999999</v>
      </c>
      <c r="AD27" t="s">
        <v>33</v>
      </c>
      <c r="AE27">
        <v>12.1579</v>
      </c>
      <c r="AF27">
        <v>7.1150000000000002</v>
      </c>
      <c r="AG27">
        <v>0.53200000000000003</v>
      </c>
      <c r="AH27">
        <v>4406.5210999999999</v>
      </c>
      <c r="AJ27">
        <v>3.3631000000000002</v>
      </c>
      <c r="AK27">
        <v>46.458199999999998</v>
      </c>
      <c r="AL27">
        <v>1.3169999999999999</v>
      </c>
      <c r="AM27">
        <v>44.381900000000002</v>
      </c>
      <c r="AN27">
        <v>0.76629999999999998</v>
      </c>
      <c r="AO27">
        <v>195.11080000000001</v>
      </c>
      <c r="AP27">
        <v>47.790799999999997</v>
      </c>
      <c r="AQ27">
        <v>40.009500000000003</v>
      </c>
      <c r="AR27">
        <v>87.951999999999998</v>
      </c>
      <c r="AS27">
        <v>72855.217499999999</v>
      </c>
      <c r="AU27" s="1">
        <f t="shared" si="0"/>
        <v>43798</v>
      </c>
      <c r="AV27" s="29">
        <f t="shared" si="1"/>
        <v>5.8379644377799211</v>
      </c>
      <c r="AW27" s="30">
        <f t="shared" si="2"/>
        <v>-0.52419602812733157</v>
      </c>
    </row>
    <row r="28" spans="1:49" x14ac:dyDescent="0.25">
      <c r="A28" s="37">
        <v>43805</v>
      </c>
      <c r="B28" s="5">
        <v>6.0930999999999997</v>
      </c>
      <c r="C28">
        <v>0.8226</v>
      </c>
      <c r="D28">
        <v>0.40260000000000001</v>
      </c>
      <c r="E28">
        <v>51.191299999999998</v>
      </c>
      <c r="F28">
        <v>3.7732000000000001</v>
      </c>
      <c r="G28" t="s">
        <v>33</v>
      </c>
      <c r="H28">
        <v>21.2012</v>
      </c>
      <c r="I28">
        <v>-0.1346</v>
      </c>
      <c r="J28">
        <v>75.97</v>
      </c>
      <c r="K28">
        <v>298799.72879999998</v>
      </c>
      <c r="M28" s="37">
        <v>43805</v>
      </c>
      <c r="N28" s="5">
        <v>2.4535</v>
      </c>
      <c r="O28">
        <v>19.2959</v>
      </c>
      <c r="P28">
        <v>0.86060000000000003</v>
      </c>
      <c r="Q28">
        <v>45.613399999999999</v>
      </c>
      <c r="R28">
        <v>1.4443999999999999</v>
      </c>
      <c r="S28" t="s">
        <v>33</v>
      </c>
      <c r="T28">
        <v>35.091999999999999</v>
      </c>
      <c r="U28">
        <v>24.8873</v>
      </c>
      <c r="V28">
        <v>44.1</v>
      </c>
      <c r="W28">
        <v>82662.565000000002</v>
      </c>
      <c r="Y28" s="5">
        <v>1.8212999999999999</v>
      </c>
      <c r="Z28">
        <v>21.810099999999998</v>
      </c>
      <c r="AA28">
        <v>1.3804000000000001</v>
      </c>
      <c r="AB28">
        <v>9.9347999999999992</v>
      </c>
      <c r="AC28">
        <v>0.21479999999999999</v>
      </c>
      <c r="AD28" t="s">
        <v>33</v>
      </c>
      <c r="AE28">
        <v>12.1579</v>
      </c>
      <c r="AF28">
        <v>7.1150000000000002</v>
      </c>
      <c r="AG28">
        <v>0.56599999999999995</v>
      </c>
      <c r="AH28">
        <v>4686.7044999999998</v>
      </c>
      <c r="AJ28">
        <v>3.4622000000000002</v>
      </c>
      <c r="AK28">
        <v>46.458199999999998</v>
      </c>
      <c r="AL28">
        <v>1.3169999999999999</v>
      </c>
      <c r="AM28">
        <v>44.381900000000002</v>
      </c>
      <c r="AN28">
        <v>0.76629999999999998</v>
      </c>
      <c r="AO28">
        <v>195.11080000000001</v>
      </c>
      <c r="AP28">
        <v>47.790799999999997</v>
      </c>
      <c r="AQ28">
        <v>40.009500000000003</v>
      </c>
      <c r="AR28">
        <v>91.308999999999997</v>
      </c>
      <c r="AS28">
        <v>75635.950899999996</v>
      </c>
      <c r="AU28" s="1">
        <f t="shared" si="0"/>
        <v>43805</v>
      </c>
      <c r="AV28" s="29">
        <f t="shared" si="1"/>
        <v>5.9402767454766954</v>
      </c>
      <c r="AW28" s="30">
        <f t="shared" si="2"/>
        <v>-0.49246944267597886</v>
      </c>
    </row>
    <row r="29" spans="1:49" x14ac:dyDescent="0.25">
      <c r="A29" s="37">
        <v>43812</v>
      </c>
      <c r="B29" s="5">
        <v>6.1066000000000003</v>
      </c>
      <c r="C29">
        <v>0.8226</v>
      </c>
      <c r="D29">
        <v>0.40260000000000001</v>
      </c>
      <c r="E29">
        <v>51.191299999999998</v>
      </c>
      <c r="F29">
        <v>3.7732000000000001</v>
      </c>
      <c r="G29" t="s">
        <v>33</v>
      </c>
      <c r="H29">
        <v>21.2012</v>
      </c>
      <c r="I29">
        <v>-0.1346</v>
      </c>
      <c r="J29">
        <v>76.42</v>
      </c>
      <c r="K29">
        <v>300569.63640000002</v>
      </c>
      <c r="M29" s="37">
        <v>43812</v>
      </c>
      <c r="N29" s="5">
        <v>2.4746000000000001</v>
      </c>
      <c r="O29">
        <v>19.2959</v>
      </c>
      <c r="P29">
        <v>0.86060000000000003</v>
      </c>
      <c r="Q29">
        <v>45.613399999999999</v>
      </c>
      <c r="R29">
        <v>1.4443999999999999</v>
      </c>
      <c r="S29" t="s">
        <v>33</v>
      </c>
      <c r="T29">
        <v>35.091999999999999</v>
      </c>
      <c r="U29">
        <v>24.8873</v>
      </c>
      <c r="V29">
        <v>44.75</v>
      </c>
      <c r="W29">
        <v>83880.947499999995</v>
      </c>
      <c r="Y29" s="5">
        <v>1.8126</v>
      </c>
      <c r="Z29">
        <v>21.810099999999998</v>
      </c>
      <c r="AA29">
        <v>1.3804000000000001</v>
      </c>
      <c r="AB29">
        <v>9.9347999999999992</v>
      </c>
      <c r="AC29">
        <v>0.21479999999999999</v>
      </c>
      <c r="AD29" t="s">
        <v>33</v>
      </c>
      <c r="AE29">
        <v>12.1579</v>
      </c>
      <c r="AF29">
        <v>7.1150000000000002</v>
      </c>
      <c r="AG29">
        <v>0.56299999999999994</v>
      </c>
      <c r="AH29">
        <v>4661.2332999999999</v>
      </c>
      <c r="AJ29">
        <v>3.5358999999999998</v>
      </c>
      <c r="AK29">
        <v>46.458199999999998</v>
      </c>
      <c r="AL29">
        <v>1.3169999999999999</v>
      </c>
      <c r="AM29">
        <v>44.381900000000002</v>
      </c>
      <c r="AN29">
        <v>0.76629999999999998</v>
      </c>
      <c r="AO29">
        <v>195.11080000000001</v>
      </c>
      <c r="AP29">
        <v>47.790799999999997</v>
      </c>
      <c r="AQ29">
        <v>40.009500000000003</v>
      </c>
      <c r="AR29">
        <v>93.802000000000007</v>
      </c>
      <c r="AS29">
        <v>77701.638699999996</v>
      </c>
      <c r="AU29" s="1">
        <f t="shared" si="0"/>
        <v>43812</v>
      </c>
      <c r="AV29" s="29">
        <f t="shared" si="1"/>
        <v>5.9782931467408806</v>
      </c>
      <c r="AW29" s="30">
        <f t="shared" si="2"/>
        <v>-0.48068072800016748</v>
      </c>
    </row>
    <row r="30" spans="1:49" x14ac:dyDescent="0.25">
      <c r="A30" s="37">
        <v>43819</v>
      </c>
      <c r="B30" s="5">
        <v>6.2649999999999997</v>
      </c>
      <c r="C30">
        <v>0.8226</v>
      </c>
      <c r="D30">
        <v>0.40260000000000001</v>
      </c>
      <c r="E30">
        <v>51.191299999999998</v>
      </c>
      <c r="F30">
        <v>3.7732000000000001</v>
      </c>
      <c r="G30" t="s">
        <v>33</v>
      </c>
      <c r="H30">
        <v>21.2012</v>
      </c>
      <c r="I30">
        <v>-0.1346</v>
      </c>
      <c r="J30">
        <v>81.69</v>
      </c>
      <c r="K30">
        <v>321297.2206</v>
      </c>
      <c r="M30" s="37">
        <v>43819</v>
      </c>
      <c r="N30" s="5">
        <v>2.5028999999999999</v>
      </c>
      <c r="O30">
        <v>19.2959</v>
      </c>
      <c r="P30">
        <v>0.86060000000000003</v>
      </c>
      <c r="Q30">
        <v>45.613399999999999</v>
      </c>
      <c r="R30">
        <v>1.4443999999999999</v>
      </c>
      <c r="S30" t="s">
        <v>33</v>
      </c>
      <c r="T30">
        <v>35.091999999999999</v>
      </c>
      <c r="U30">
        <v>24.8873</v>
      </c>
      <c r="V30">
        <v>45.9</v>
      </c>
      <c r="W30">
        <v>86036.547200000001</v>
      </c>
      <c r="Y30" s="5">
        <v>1.8562000000000001</v>
      </c>
      <c r="Z30">
        <v>21.810099999999998</v>
      </c>
      <c r="AA30">
        <v>1.3804000000000001</v>
      </c>
      <c r="AB30">
        <v>9.9347999999999992</v>
      </c>
      <c r="AC30">
        <v>0.21479999999999999</v>
      </c>
      <c r="AD30" t="s">
        <v>33</v>
      </c>
      <c r="AE30">
        <v>12.1579</v>
      </c>
      <c r="AF30">
        <v>7.1150000000000002</v>
      </c>
      <c r="AG30">
        <v>0.57799999999999996</v>
      </c>
      <c r="AH30">
        <v>4788.5893999999998</v>
      </c>
      <c r="AJ30">
        <v>3.5911</v>
      </c>
      <c r="AK30">
        <v>46.458199999999998</v>
      </c>
      <c r="AL30">
        <v>1.3169999999999999</v>
      </c>
      <c r="AM30">
        <v>44.381900000000002</v>
      </c>
      <c r="AN30">
        <v>0.76629999999999998</v>
      </c>
      <c r="AO30">
        <v>195.11080000000001</v>
      </c>
      <c r="AP30">
        <v>47.790799999999997</v>
      </c>
      <c r="AQ30">
        <v>40.009500000000003</v>
      </c>
      <c r="AR30">
        <v>95.673000000000002</v>
      </c>
      <c r="AS30">
        <v>79250.904500000004</v>
      </c>
      <c r="AU30" s="1">
        <f t="shared" si="0"/>
        <v>43819</v>
      </c>
      <c r="AV30" s="29">
        <f t="shared" si="1"/>
        <v>6.1189460357675287</v>
      </c>
      <c r="AW30" s="30">
        <f t="shared" si="2"/>
        <v>-0.43706490109585183</v>
      </c>
    </row>
    <row r="31" spans="1:49" x14ac:dyDescent="0.25">
      <c r="A31" s="37">
        <v>43826</v>
      </c>
      <c r="B31" s="5">
        <v>6.4358000000000004</v>
      </c>
      <c r="C31">
        <v>0.8226</v>
      </c>
      <c r="D31">
        <v>0.40260000000000001</v>
      </c>
      <c r="E31">
        <v>51.191299999999998</v>
      </c>
      <c r="F31">
        <v>3.7732000000000001</v>
      </c>
      <c r="G31" t="s">
        <v>33</v>
      </c>
      <c r="H31">
        <v>21.2012</v>
      </c>
      <c r="I31">
        <v>-0.1346</v>
      </c>
      <c r="J31">
        <v>87.375</v>
      </c>
      <c r="K31">
        <v>343657.05290000001</v>
      </c>
      <c r="M31" s="37">
        <v>43826</v>
      </c>
      <c r="N31" s="5">
        <v>2.5933999999999999</v>
      </c>
      <c r="O31">
        <v>19.2959</v>
      </c>
      <c r="P31">
        <v>0.86060000000000003</v>
      </c>
      <c r="Q31">
        <v>45.613399999999999</v>
      </c>
      <c r="R31">
        <v>1.4443999999999999</v>
      </c>
      <c r="S31" t="s">
        <v>33</v>
      </c>
      <c r="T31">
        <v>35.091999999999999</v>
      </c>
      <c r="U31">
        <v>24.8873</v>
      </c>
      <c r="V31">
        <v>49.6</v>
      </c>
      <c r="W31">
        <v>92971.955199999997</v>
      </c>
      <c r="Y31" s="5">
        <v>2.0219999999999998</v>
      </c>
      <c r="Z31">
        <v>21.810099999999998</v>
      </c>
      <c r="AA31">
        <v>1.3804000000000001</v>
      </c>
      <c r="AB31">
        <v>9.9347999999999992</v>
      </c>
      <c r="AC31">
        <v>0.21479999999999999</v>
      </c>
      <c r="AD31" t="s">
        <v>33</v>
      </c>
      <c r="AE31">
        <v>12.1579</v>
      </c>
      <c r="AF31">
        <v>7.1150000000000002</v>
      </c>
      <c r="AG31">
        <v>0.63700000000000001</v>
      </c>
      <c r="AH31">
        <v>5272.5424999999996</v>
      </c>
      <c r="AJ31">
        <v>3.7566999999999999</v>
      </c>
      <c r="AK31">
        <v>46.458199999999998</v>
      </c>
      <c r="AL31">
        <v>1.3169999999999999</v>
      </c>
      <c r="AM31">
        <v>44.381900000000002</v>
      </c>
      <c r="AN31">
        <v>0.76629999999999998</v>
      </c>
      <c r="AO31">
        <v>195.11080000000001</v>
      </c>
      <c r="AP31">
        <v>47.790799999999997</v>
      </c>
      <c r="AQ31">
        <v>40.009500000000003</v>
      </c>
      <c r="AR31">
        <v>101.28400000000001</v>
      </c>
      <c r="AS31">
        <v>83898.7019</v>
      </c>
      <c r="AU31" s="1">
        <f t="shared" si="0"/>
        <v>43826</v>
      </c>
      <c r="AV31" s="29">
        <f t="shared" si="1"/>
        <v>6.2879726496986645</v>
      </c>
      <c r="AW31" s="30">
        <f t="shared" si="2"/>
        <v>-0.38465050999119227</v>
      </c>
    </row>
    <row r="32" spans="1:49" x14ac:dyDescent="0.25">
      <c r="A32" s="37">
        <v>43833</v>
      </c>
      <c r="B32" s="5">
        <v>6.1745000000000001</v>
      </c>
      <c r="C32">
        <v>-1.2175</v>
      </c>
      <c r="D32">
        <v>-0.30940000000000001</v>
      </c>
      <c r="E32">
        <v>51.779000000000003</v>
      </c>
      <c r="F32">
        <v>3.7315</v>
      </c>
      <c r="G32" t="s">
        <v>33</v>
      </c>
      <c r="H32">
        <v>20.301500000000001</v>
      </c>
      <c r="I32">
        <v>-3.0964</v>
      </c>
      <c r="J32">
        <v>84.16</v>
      </c>
      <c r="K32">
        <v>331012.0466</v>
      </c>
      <c r="M32" s="37">
        <v>43833</v>
      </c>
      <c r="N32" s="5">
        <v>3.1116000000000001</v>
      </c>
      <c r="O32">
        <v>14.9734</v>
      </c>
      <c r="P32">
        <v>0.79090000000000005</v>
      </c>
      <c r="Q32">
        <v>44.698599999999999</v>
      </c>
      <c r="R32">
        <v>1.5668</v>
      </c>
      <c r="S32" t="s">
        <v>33</v>
      </c>
      <c r="T32">
        <v>32.522399999999998</v>
      </c>
      <c r="U32">
        <v>23.428699999999999</v>
      </c>
      <c r="V32">
        <v>48.45</v>
      </c>
      <c r="W32">
        <v>90816.3554</v>
      </c>
      <c r="Y32" s="5">
        <v>3.5731000000000002</v>
      </c>
      <c r="Z32">
        <v>4.5960999999999999</v>
      </c>
      <c r="AA32">
        <v>0.52300000000000002</v>
      </c>
      <c r="AB32">
        <v>11.6861</v>
      </c>
      <c r="AC32">
        <v>0.77800000000000002</v>
      </c>
      <c r="AD32" t="s">
        <v>33</v>
      </c>
      <c r="AE32">
        <v>8.2241999999999997</v>
      </c>
      <c r="AF32">
        <v>5.6234999999999999</v>
      </c>
      <c r="AG32">
        <v>0.66800000000000004</v>
      </c>
      <c r="AH32">
        <v>5527.2547000000004</v>
      </c>
      <c r="AJ32">
        <v>3.7665999999999999</v>
      </c>
      <c r="AK32">
        <v>20.184699999999999</v>
      </c>
      <c r="AL32">
        <v>1.0202</v>
      </c>
      <c r="AM32">
        <v>41.122</v>
      </c>
      <c r="AN32">
        <v>1.0148999999999999</v>
      </c>
      <c r="AO32">
        <v>195.11080000000001</v>
      </c>
      <c r="AP32">
        <v>48.515099999999997</v>
      </c>
      <c r="AQ32">
        <v>40.524700000000003</v>
      </c>
      <c r="AR32">
        <v>101.47499999999999</v>
      </c>
      <c r="AS32">
        <v>84057.600900000005</v>
      </c>
      <c r="AU32" s="1">
        <f t="shared" si="0"/>
        <v>43833</v>
      </c>
      <c r="AV32" s="29">
        <f t="shared" si="1"/>
        <v>6.230826256225499</v>
      </c>
      <c r="AW32" s="30">
        <f t="shared" si="2"/>
        <v>-0.40237134902393529</v>
      </c>
    </row>
    <row r="33" spans="1:49" x14ac:dyDescent="0.25">
      <c r="A33" s="37">
        <v>43840</v>
      </c>
      <c r="B33" s="5">
        <v>6.2214999999999998</v>
      </c>
      <c r="C33">
        <v>-1.2175</v>
      </c>
      <c r="D33">
        <v>-0.30940000000000001</v>
      </c>
      <c r="E33">
        <v>51.779000000000003</v>
      </c>
      <c r="F33">
        <v>3.7315</v>
      </c>
      <c r="G33" t="s">
        <v>33</v>
      </c>
      <c r="H33">
        <v>20.301500000000001</v>
      </c>
      <c r="I33">
        <v>-3.0964</v>
      </c>
      <c r="J33">
        <v>85.805000000000007</v>
      </c>
      <c r="K33">
        <v>337482.04200000002</v>
      </c>
      <c r="M33" s="37">
        <v>43840</v>
      </c>
      <c r="N33" s="5">
        <v>3.1089000000000002</v>
      </c>
      <c r="O33">
        <v>14.9734</v>
      </c>
      <c r="P33">
        <v>0.79090000000000005</v>
      </c>
      <c r="Q33">
        <v>44.698599999999999</v>
      </c>
      <c r="R33">
        <v>1.5668</v>
      </c>
      <c r="S33" t="s">
        <v>33</v>
      </c>
      <c r="T33">
        <v>32.522399999999998</v>
      </c>
      <c r="U33">
        <v>23.428699999999999</v>
      </c>
      <c r="V33">
        <v>48.35</v>
      </c>
      <c r="W33">
        <v>90628.911900000006</v>
      </c>
      <c r="Y33" s="5">
        <v>3.7623000000000002</v>
      </c>
      <c r="Z33">
        <v>4.5960999999999999</v>
      </c>
      <c r="AA33">
        <v>0.52300000000000002</v>
      </c>
      <c r="AB33">
        <v>11.6861</v>
      </c>
      <c r="AC33">
        <v>0.77800000000000002</v>
      </c>
      <c r="AD33" t="s">
        <v>33</v>
      </c>
      <c r="AE33">
        <v>8.2241999999999997</v>
      </c>
      <c r="AF33">
        <v>5.6234999999999999</v>
      </c>
      <c r="AG33">
        <v>0.72599999999999998</v>
      </c>
      <c r="AH33">
        <v>6011.2079000000003</v>
      </c>
      <c r="AJ33">
        <v>3.9304999999999999</v>
      </c>
      <c r="AK33">
        <v>20.184699999999999</v>
      </c>
      <c r="AL33">
        <v>1.0202</v>
      </c>
      <c r="AM33">
        <v>41.122</v>
      </c>
      <c r="AN33">
        <v>1.0148999999999999</v>
      </c>
      <c r="AO33">
        <v>195.11080000000001</v>
      </c>
      <c r="AP33">
        <v>48.515099999999997</v>
      </c>
      <c r="AQ33">
        <v>40.524700000000003</v>
      </c>
      <c r="AR33">
        <v>107.518</v>
      </c>
      <c r="AS33">
        <v>89062.921199999997</v>
      </c>
      <c r="AU33" s="1">
        <f t="shared" si="0"/>
        <v>43840</v>
      </c>
      <c r="AV33" s="29">
        <f t="shared" si="1"/>
        <v>6.3440173529691464</v>
      </c>
      <c r="AW33" s="30">
        <f t="shared" si="2"/>
        <v>-0.36727130012451153</v>
      </c>
    </row>
    <row r="34" spans="1:49" x14ac:dyDescent="0.25">
      <c r="A34" s="37">
        <v>43847</v>
      </c>
      <c r="B34" s="5">
        <v>6.1407999999999996</v>
      </c>
      <c r="C34">
        <v>-1.2175</v>
      </c>
      <c r="D34">
        <v>-0.30940000000000001</v>
      </c>
      <c r="E34">
        <v>51.779000000000003</v>
      </c>
      <c r="F34">
        <v>3.7315</v>
      </c>
      <c r="G34" t="s">
        <v>33</v>
      </c>
      <c r="H34">
        <v>20.301500000000001</v>
      </c>
      <c r="I34">
        <v>-3.0964</v>
      </c>
      <c r="J34">
        <v>82.98</v>
      </c>
      <c r="K34">
        <v>326370.95559999999</v>
      </c>
      <c r="M34" s="37">
        <v>43847</v>
      </c>
      <c r="N34" s="5">
        <v>3.1004999999999998</v>
      </c>
      <c r="O34">
        <v>14.9734</v>
      </c>
      <c r="P34">
        <v>0.79090000000000005</v>
      </c>
      <c r="Q34">
        <v>44.698599999999999</v>
      </c>
      <c r="R34">
        <v>1.5668</v>
      </c>
      <c r="S34" t="s">
        <v>33</v>
      </c>
      <c r="T34">
        <v>32.522399999999998</v>
      </c>
      <c r="U34">
        <v>23.428699999999999</v>
      </c>
      <c r="V34">
        <v>48.4</v>
      </c>
      <c r="W34">
        <v>90722.633700000006</v>
      </c>
      <c r="Y34" s="5">
        <v>3.9516</v>
      </c>
      <c r="Z34">
        <v>4.5960999999999999</v>
      </c>
      <c r="AA34">
        <v>0.52300000000000002</v>
      </c>
      <c r="AB34">
        <v>11.6861</v>
      </c>
      <c r="AC34">
        <v>0.77800000000000002</v>
      </c>
      <c r="AD34" t="s">
        <v>33</v>
      </c>
      <c r="AE34">
        <v>8.2241999999999997</v>
      </c>
      <c r="AF34">
        <v>5.6234999999999999</v>
      </c>
      <c r="AG34">
        <v>0.78500000000000003</v>
      </c>
      <c r="AH34">
        <v>6495.1611000000003</v>
      </c>
      <c r="AJ34">
        <v>3.8914</v>
      </c>
      <c r="AK34">
        <v>20.184699999999999</v>
      </c>
      <c r="AL34">
        <v>1.0202</v>
      </c>
      <c r="AM34">
        <v>41.122</v>
      </c>
      <c r="AN34">
        <v>1.0148999999999999</v>
      </c>
      <c r="AO34">
        <v>195.11080000000001</v>
      </c>
      <c r="AP34">
        <v>48.515099999999997</v>
      </c>
      <c r="AQ34">
        <v>40.524700000000003</v>
      </c>
      <c r="AR34">
        <v>106.07899999999999</v>
      </c>
      <c r="AS34">
        <v>87871.1783</v>
      </c>
      <c r="AU34" s="1">
        <f t="shared" si="0"/>
        <v>43847</v>
      </c>
      <c r="AV34" s="29">
        <f t="shared" si="1"/>
        <v>6.263321368354049</v>
      </c>
      <c r="AW34" s="30">
        <f t="shared" si="2"/>
        <v>-0.3922947612222682</v>
      </c>
    </row>
    <row r="35" spans="1:49" x14ac:dyDescent="0.25">
      <c r="A35" s="37">
        <v>43854</v>
      </c>
      <c r="B35" s="5">
        <v>6.0454999999999997</v>
      </c>
      <c r="C35">
        <v>-1.2175</v>
      </c>
      <c r="D35">
        <v>-0.30940000000000001</v>
      </c>
      <c r="E35">
        <v>51.779000000000003</v>
      </c>
      <c r="F35">
        <v>3.7315</v>
      </c>
      <c r="G35" t="s">
        <v>33</v>
      </c>
      <c r="H35">
        <v>20.301500000000001</v>
      </c>
      <c r="I35">
        <v>-3.0964</v>
      </c>
      <c r="J35">
        <v>79.64</v>
      </c>
      <c r="K35">
        <v>313234.30829999998</v>
      </c>
      <c r="M35" s="37">
        <v>43854</v>
      </c>
      <c r="N35" s="5">
        <v>2.9961000000000002</v>
      </c>
      <c r="O35">
        <v>14.9734</v>
      </c>
      <c r="P35">
        <v>0.79090000000000005</v>
      </c>
      <c r="Q35">
        <v>44.698599999999999</v>
      </c>
      <c r="R35">
        <v>1.5668</v>
      </c>
      <c r="S35" t="s">
        <v>33</v>
      </c>
      <c r="T35">
        <v>32.522399999999998</v>
      </c>
      <c r="U35">
        <v>23.428699999999999</v>
      </c>
      <c r="V35">
        <v>45</v>
      </c>
      <c r="W35">
        <v>84349.556100000002</v>
      </c>
      <c r="Y35" s="5">
        <v>3.8420000000000001</v>
      </c>
      <c r="Z35">
        <v>4.5960999999999999</v>
      </c>
      <c r="AA35">
        <v>0.52300000000000002</v>
      </c>
      <c r="AB35">
        <v>11.6861</v>
      </c>
      <c r="AC35">
        <v>0.77800000000000002</v>
      </c>
      <c r="AD35" t="s">
        <v>33</v>
      </c>
      <c r="AE35">
        <v>8.2241999999999997</v>
      </c>
      <c r="AF35">
        <v>5.6234999999999999</v>
      </c>
      <c r="AG35">
        <v>0.751</v>
      </c>
      <c r="AH35">
        <v>6214.9777000000004</v>
      </c>
      <c r="AJ35">
        <v>3.7067999999999999</v>
      </c>
      <c r="AK35">
        <v>20.184699999999999</v>
      </c>
      <c r="AL35">
        <v>1.0202</v>
      </c>
      <c r="AM35">
        <v>41.122</v>
      </c>
      <c r="AN35">
        <v>1.0148999999999999</v>
      </c>
      <c r="AO35">
        <v>195.11080000000001</v>
      </c>
      <c r="AP35">
        <v>48.515099999999997</v>
      </c>
      <c r="AQ35">
        <v>40.524700000000003</v>
      </c>
      <c r="AR35">
        <v>99.269000000000005</v>
      </c>
      <c r="AS35">
        <v>82230.261799999993</v>
      </c>
      <c r="AU35" s="1">
        <f t="shared" si="0"/>
        <v>43854</v>
      </c>
      <c r="AV35" s="29">
        <f t="shared" si="1"/>
        <v>6.1294549081682481</v>
      </c>
      <c r="AW35" s="30">
        <f t="shared" si="2"/>
        <v>-0.43380614713238025</v>
      </c>
    </row>
    <row r="36" spans="1:49" x14ac:dyDescent="0.25">
      <c r="A36" s="37">
        <v>43861</v>
      </c>
      <c r="B36" s="5">
        <v>6.0191999999999997</v>
      </c>
      <c r="C36">
        <v>-1.2175</v>
      </c>
      <c r="D36">
        <v>-0.30940000000000001</v>
      </c>
      <c r="E36">
        <v>51.779000000000003</v>
      </c>
      <c r="F36">
        <v>3.7315</v>
      </c>
      <c r="G36" t="s">
        <v>33</v>
      </c>
      <c r="H36">
        <v>20.301500000000001</v>
      </c>
      <c r="I36">
        <v>-3.0964</v>
      </c>
      <c r="J36">
        <v>78.72</v>
      </c>
      <c r="K36">
        <v>309615.83059999999</v>
      </c>
      <c r="M36" s="37">
        <v>43861</v>
      </c>
      <c r="N36" s="5">
        <v>2.9834000000000001</v>
      </c>
      <c r="O36">
        <v>14.9734</v>
      </c>
      <c r="P36">
        <v>0.79090000000000005</v>
      </c>
      <c r="Q36">
        <v>44.698599999999999</v>
      </c>
      <c r="R36">
        <v>1.5668</v>
      </c>
      <c r="S36" t="s">
        <v>33</v>
      </c>
      <c r="T36">
        <v>32.522399999999998</v>
      </c>
      <c r="U36">
        <v>23.428699999999999</v>
      </c>
      <c r="V36">
        <v>45</v>
      </c>
      <c r="W36">
        <v>84349.556100000002</v>
      </c>
      <c r="Y36" s="5">
        <v>3.7822</v>
      </c>
      <c r="Z36">
        <v>4.5960999999999999</v>
      </c>
      <c r="AA36">
        <v>0.52300000000000002</v>
      </c>
      <c r="AB36">
        <v>11.6861</v>
      </c>
      <c r="AC36">
        <v>0.77800000000000002</v>
      </c>
      <c r="AD36" t="s">
        <v>33</v>
      </c>
      <c r="AE36">
        <v>8.2241999999999997</v>
      </c>
      <c r="AF36">
        <v>5.6234999999999999</v>
      </c>
      <c r="AG36">
        <v>0.73199999999999998</v>
      </c>
      <c r="AH36">
        <v>6062.1504000000004</v>
      </c>
      <c r="AJ36">
        <v>3.7275999999999998</v>
      </c>
      <c r="AK36">
        <v>20.184699999999999</v>
      </c>
      <c r="AL36">
        <v>1.0202</v>
      </c>
      <c r="AM36">
        <v>41.122</v>
      </c>
      <c r="AN36">
        <v>1.0148999999999999</v>
      </c>
      <c r="AO36">
        <v>195.11080000000001</v>
      </c>
      <c r="AP36">
        <v>48.515099999999997</v>
      </c>
      <c r="AQ36">
        <v>40.524700000000003</v>
      </c>
      <c r="AR36">
        <v>100.03700000000001</v>
      </c>
      <c r="AS36">
        <v>82865.857999999993</v>
      </c>
      <c r="AU36" s="1">
        <f t="shared" si="0"/>
        <v>43861</v>
      </c>
      <c r="AV36" s="29">
        <f t="shared" si="1"/>
        <v>6.1173466418843194</v>
      </c>
      <c r="AW36" s="30">
        <f t="shared" si="2"/>
        <v>-0.43756086592988136</v>
      </c>
    </row>
    <row r="37" spans="1:49" x14ac:dyDescent="0.25">
      <c r="A37" s="37">
        <v>43868</v>
      </c>
      <c r="B37" s="5">
        <v>6.1086</v>
      </c>
      <c r="C37">
        <v>-1.2175</v>
      </c>
      <c r="D37">
        <v>-0.30940000000000001</v>
      </c>
      <c r="E37">
        <v>51.779000000000003</v>
      </c>
      <c r="F37">
        <v>3.7315</v>
      </c>
      <c r="G37" t="s">
        <v>33</v>
      </c>
      <c r="H37">
        <v>20.301500000000001</v>
      </c>
      <c r="I37">
        <v>-3.0964</v>
      </c>
      <c r="J37">
        <v>81.849999999999994</v>
      </c>
      <c r="K37">
        <v>321926.52110000001</v>
      </c>
      <c r="M37" s="37">
        <v>43868</v>
      </c>
      <c r="N37" s="5">
        <v>3.0205000000000002</v>
      </c>
      <c r="O37">
        <v>14.9734</v>
      </c>
      <c r="P37">
        <v>0.79090000000000005</v>
      </c>
      <c r="Q37">
        <v>44.698599999999999</v>
      </c>
      <c r="R37">
        <v>1.5668</v>
      </c>
      <c r="S37" t="s">
        <v>33</v>
      </c>
      <c r="T37">
        <v>32.522399999999998</v>
      </c>
      <c r="U37">
        <v>23.428699999999999</v>
      </c>
      <c r="V37">
        <v>47</v>
      </c>
      <c r="W37">
        <v>88098.425300000003</v>
      </c>
      <c r="Y37" s="5">
        <v>3.7822</v>
      </c>
      <c r="Z37">
        <v>4.5960999999999999</v>
      </c>
      <c r="AA37">
        <v>0.52300000000000002</v>
      </c>
      <c r="AB37">
        <v>11.6861</v>
      </c>
      <c r="AC37">
        <v>0.77800000000000002</v>
      </c>
      <c r="AD37" t="s">
        <v>33</v>
      </c>
      <c r="AE37">
        <v>8.2241999999999997</v>
      </c>
      <c r="AF37">
        <v>5.6234999999999999</v>
      </c>
      <c r="AG37">
        <v>0.73199999999999998</v>
      </c>
      <c r="AH37">
        <v>6062.1504000000004</v>
      </c>
      <c r="AJ37">
        <v>3.7341000000000002</v>
      </c>
      <c r="AK37">
        <v>20.184699999999999</v>
      </c>
      <c r="AL37">
        <v>1.0202</v>
      </c>
      <c r="AM37">
        <v>41.122</v>
      </c>
      <c r="AN37">
        <v>1.0148999999999999</v>
      </c>
      <c r="AO37">
        <v>195.11080000000001</v>
      </c>
      <c r="AP37">
        <v>48.515099999999997</v>
      </c>
      <c r="AQ37">
        <v>40.524700000000003</v>
      </c>
      <c r="AR37">
        <v>100.277</v>
      </c>
      <c r="AS37">
        <v>83064.481799999994</v>
      </c>
      <c r="AU37" s="1">
        <f t="shared" si="0"/>
        <v>43868</v>
      </c>
      <c r="AV37" s="29">
        <f t="shared" si="1"/>
        <v>6.1663075035841155</v>
      </c>
      <c r="AW37" s="30">
        <f t="shared" si="2"/>
        <v>-0.42237832340436055</v>
      </c>
    </row>
    <row r="38" spans="1:49" x14ac:dyDescent="0.25">
      <c r="A38" s="37">
        <v>43875</v>
      </c>
      <c r="B38" s="5">
        <v>5.9888000000000003</v>
      </c>
      <c r="C38">
        <v>-1.2175</v>
      </c>
      <c r="D38">
        <v>-0.30940000000000001</v>
      </c>
      <c r="E38">
        <v>51.779000000000003</v>
      </c>
      <c r="F38">
        <v>3.7315</v>
      </c>
      <c r="G38" t="s">
        <v>33</v>
      </c>
      <c r="H38">
        <v>20.301500000000001</v>
      </c>
      <c r="I38">
        <v>-3.0964</v>
      </c>
      <c r="J38">
        <v>77.655000000000001</v>
      </c>
      <c r="K38">
        <v>305427.04940000002</v>
      </c>
      <c r="M38" s="37">
        <v>43875</v>
      </c>
      <c r="N38" s="5">
        <v>2.8654000000000002</v>
      </c>
      <c r="O38">
        <v>14.9734</v>
      </c>
      <c r="P38">
        <v>0.79090000000000005</v>
      </c>
      <c r="Q38">
        <v>44.698599999999999</v>
      </c>
      <c r="R38">
        <v>1.5668</v>
      </c>
      <c r="S38" t="s">
        <v>33</v>
      </c>
      <c r="T38">
        <v>32.522399999999998</v>
      </c>
      <c r="U38">
        <v>23.428699999999999</v>
      </c>
      <c r="V38">
        <v>42.75</v>
      </c>
      <c r="W38">
        <v>80132.078299999994</v>
      </c>
      <c r="Y38" s="5">
        <v>3.6030000000000002</v>
      </c>
      <c r="Z38">
        <v>4.5960999999999999</v>
      </c>
      <c r="AA38">
        <v>0.52300000000000002</v>
      </c>
      <c r="AB38">
        <v>11.6861</v>
      </c>
      <c r="AC38">
        <v>0.77800000000000002</v>
      </c>
      <c r="AD38" t="s">
        <v>33</v>
      </c>
      <c r="AE38">
        <v>8.2241999999999997</v>
      </c>
      <c r="AF38">
        <v>5.6234999999999999</v>
      </c>
      <c r="AG38">
        <v>0.67700000000000005</v>
      </c>
      <c r="AH38">
        <v>5603.6683999999996</v>
      </c>
      <c r="AJ38">
        <v>3.6938</v>
      </c>
      <c r="AK38">
        <v>20.184699999999999</v>
      </c>
      <c r="AL38">
        <v>1.0202</v>
      </c>
      <c r="AM38">
        <v>41.122</v>
      </c>
      <c r="AN38">
        <v>1.0148999999999999</v>
      </c>
      <c r="AO38">
        <v>195.11080000000001</v>
      </c>
      <c r="AP38">
        <v>48.515099999999997</v>
      </c>
      <c r="AQ38">
        <v>40.524700000000003</v>
      </c>
      <c r="AR38">
        <v>98.79</v>
      </c>
      <c r="AS38">
        <v>81833.0141</v>
      </c>
      <c r="AU38" s="1">
        <f t="shared" si="0"/>
        <v>43875</v>
      </c>
      <c r="AV38" s="29">
        <f t="shared" si="1"/>
        <v>6.0875338837862447</v>
      </c>
      <c r="AW38" s="30">
        <f t="shared" si="2"/>
        <v>-0.44680566783721726</v>
      </c>
    </row>
    <row r="39" spans="1:49" x14ac:dyDescent="0.25">
      <c r="A39" s="37">
        <v>43882</v>
      </c>
      <c r="B39" s="5">
        <v>5.9630000000000001</v>
      </c>
      <c r="C39">
        <v>-1.2175</v>
      </c>
      <c r="D39">
        <v>-0.30940000000000001</v>
      </c>
      <c r="E39">
        <v>51.779000000000003</v>
      </c>
      <c r="F39">
        <v>3.7315</v>
      </c>
      <c r="G39" t="s">
        <v>33</v>
      </c>
      <c r="H39">
        <v>20.301500000000001</v>
      </c>
      <c r="I39">
        <v>-3.0964</v>
      </c>
      <c r="J39">
        <v>76.75</v>
      </c>
      <c r="K39">
        <v>301867.5686</v>
      </c>
      <c r="M39" s="37">
        <v>43882</v>
      </c>
      <c r="N39" s="5">
        <v>2.8361999999999998</v>
      </c>
      <c r="O39">
        <v>14.9734</v>
      </c>
      <c r="P39">
        <v>0.79090000000000005</v>
      </c>
      <c r="Q39">
        <v>44.698599999999999</v>
      </c>
      <c r="R39">
        <v>1.5668</v>
      </c>
      <c r="S39" t="s">
        <v>33</v>
      </c>
      <c r="T39">
        <v>32.522399999999998</v>
      </c>
      <c r="U39">
        <v>23.428699999999999</v>
      </c>
      <c r="V39">
        <v>42.35</v>
      </c>
      <c r="W39">
        <v>79382.304499999998</v>
      </c>
      <c r="Y39" s="5">
        <v>3.7423999999999999</v>
      </c>
      <c r="Z39">
        <v>4.5960999999999999</v>
      </c>
      <c r="AA39">
        <v>0.52300000000000002</v>
      </c>
      <c r="AB39">
        <v>11.6861</v>
      </c>
      <c r="AC39">
        <v>0.77800000000000002</v>
      </c>
      <c r="AD39" t="s">
        <v>33</v>
      </c>
      <c r="AE39">
        <v>8.2241999999999997</v>
      </c>
      <c r="AF39">
        <v>5.6234999999999999</v>
      </c>
      <c r="AG39">
        <v>0.72</v>
      </c>
      <c r="AH39">
        <v>5960.2655000000004</v>
      </c>
      <c r="AJ39">
        <v>3.7172000000000001</v>
      </c>
      <c r="AK39">
        <v>20.184699999999999</v>
      </c>
      <c r="AL39">
        <v>1.0202</v>
      </c>
      <c r="AM39">
        <v>41.122</v>
      </c>
      <c r="AN39">
        <v>1.0148999999999999</v>
      </c>
      <c r="AO39">
        <v>195.11080000000001</v>
      </c>
      <c r="AP39">
        <v>48.515099999999997</v>
      </c>
      <c r="AQ39">
        <v>40.524700000000003</v>
      </c>
      <c r="AR39">
        <v>99.653000000000006</v>
      </c>
      <c r="AS39">
        <v>82548.059899999993</v>
      </c>
      <c r="AU39" s="1">
        <f t="shared" si="0"/>
        <v>43882</v>
      </c>
      <c r="AV39" s="29">
        <f t="shared" si="1"/>
        <v>6.0802482031191838</v>
      </c>
      <c r="AW39" s="30">
        <f t="shared" si="2"/>
        <v>-0.44906492457238784</v>
      </c>
    </row>
    <row r="40" spans="1:49" x14ac:dyDescent="0.25">
      <c r="A40" s="37">
        <v>43889</v>
      </c>
      <c r="B40" s="5">
        <v>5.6539000000000001</v>
      </c>
      <c r="C40">
        <v>-1.2175</v>
      </c>
      <c r="D40">
        <v>-0.30940000000000001</v>
      </c>
      <c r="E40">
        <v>51.779000000000003</v>
      </c>
      <c r="F40">
        <v>3.7315</v>
      </c>
      <c r="G40" t="s">
        <v>33</v>
      </c>
      <c r="H40">
        <v>20.301500000000001</v>
      </c>
      <c r="I40">
        <v>-3.0964</v>
      </c>
      <c r="J40">
        <v>65.924999999999997</v>
      </c>
      <c r="K40">
        <v>259291.45879999999</v>
      </c>
      <c r="M40" s="37">
        <v>43889</v>
      </c>
      <c r="N40" s="5">
        <v>2.726</v>
      </c>
      <c r="O40">
        <v>14.9734</v>
      </c>
      <c r="P40">
        <v>0.79090000000000005</v>
      </c>
      <c r="Q40">
        <v>44.698599999999999</v>
      </c>
      <c r="R40">
        <v>1.5668</v>
      </c>
      <c r="S40" t="s">
        <v>33</v>
      </c>
      <c r="T40">
        <v>32.522399999999998</v>
      </c>
      <c r="U40">
        <v>23.428699999999999</v>
      </c>
      <c r="V40">
        <v>39.049999999999997</v>
      </c>
      <c r="W40">
        <v>73196.670299999998</v>
      </c>
      <c r="Y40" s="5">
        <v>3.4834000000000001</v>
      </c>
      <c r="Z40">
        <v>4.5960999999999999</v>
      </c>
      <c r="AA40">
        <v>0.52300000000000002</v>
      </c>
      <c r="AB40">
        <v>11.6861</v>
      </c>
      <c r="AC40">
        <v>0.77800000000000002</v>
      </c>
      <c r="AD40" t="s">
        <v>33</v>
      </c>
      <c r="AE40">
        <v>8.2241999999999997</v>
      </c>
      <c r="AF40">
        <v>5.6234999999999999</v>
      </c>
      <c r="AG40">
        <v>0.64</v>
      </c>
      <c r="AH40">
        <v>5298.0137999999997</v>
      </c>
      <c r="AJ40">
        <v>3.4376000000000002</v>
      </c>
      <c r="AK40">
        <v>20.184699999999999</v>
      </c>
      <c r="AL40">
        <v>1.0202</v>
      </c>
      <c r="AM40">
        <v>41.122</v>
      </c>
      <c r="AN40">
        <v>1.0148999999999999</v>
      </c>
      <c r="AO40">
        <v>195.11080000000001</v>
      </c>
      <c r="AP40">
        <v>48.515099999999997</v>
      </c>
      <c r="AQ40">
        <v>40.524700000000003</v>
      </c>
      <c r="AR40">
        <v>89.341999999999999</v>
      </c>
      <c r="AS40">
        <v>74007.2356</v>
      </c>
      <c r="AU40" s="1">
        <f t="shared" si="0"/>
        <v>43889</v>
      </c>
      <c r="AV40" s="29">
        <f t="shared" si="1"/>
        <v>5.7385553471045005</v>
      </c>
      <c r="AW40" s="30">
        <f t="shared" si="2"/>
        <v>-0.55502233906640597</v>
      </c>
    </row>
    <row r="41" spans="1:49" x14ac:dyDescent="0.25">
      <c r="A41" s="37">
        <v>43896</v>
      </c>
      <c r="B41" s="5">
        <v>5.4962999999999997</v>
      </c>
      <c r="C41">
        <v>-1.2175</v>
      </c>
      <c r="D41">
        <v>-0.30940000000000001</v>
      </c>
      <c r="E41">
        <v>51.779000000000003</v>
      </c>
      <c r="F41">
        <v>3.7315</v>
      </c>
      <c r="G41" t="s">
        <v>33</v>
      </c>
      <c r="H41">
        <v>20.301500000000001</v>
      </c>
      <c r="I41">
        <v>-3.0964</v>
      </c>
      <c r="J41">
        <v>60.405000000000001</v>
      </c>
      <c r="K41">
        <v>237580.5926</v>
      </c>
      <c r="M41" s="37">
        <v>43896</v>
      </c>
      <c r="N41" s="5">
        <v>2.8494000000000002</v>
      </c>
      <c r="O41">
        <v>14.9734</v>
      </c>
      <c r="P41">
        <v>0.79090000000000005</v>
      </c>
      <c r="Q41">
        <v>44.698599999999999</v>
      </c>
      <c r="R41">
        <v>1.5668</v>
      </c>
      <c r="S41" t="s">
        <v>33</v>
      </c>
      <c r="T41">
        <v>32.522399999999998</v>
      </c>
      <c r="U41">
        <v>23.428699999999999</v>
      </c>
      <c r="V41">
        <v>43.85</v>
      </c>
      <c r="W41">
        <v>82193.956300000005</v>
      </c>
      <c r="Y41" s="5">
        <v>3.4436</v>
      </c>
      <c r="Z41">
        <v>4.5960999999999999</v>
      </c>
      <c r="AA41">
        <v>0.52300000000000002</v>
      </c>
      <c r="AB41">
        <v>11.6861</v>
      </c>
      <c r="AC41">
        <v>0.77800000000000002</v>
      </c>
      <c r="AD41" t="s">
        <v>33</v>
      </c>
      <c r="AE41">
        <v>8.2241999999999997</v>
      </c>
      <c r="AF41">
        <v>5.6234999999999999</v>
      </c>
      <c r="AG41">
        <v>0.628</v>
      </c>
      <c r="AH41">
        <v>5196.1288999999997</v>
      </c>
      <c r="AJ41">
        <v>3.4830999999999999</v>
      </c>
      <c r="AK41">
        <v>20.184699999999999</v>
      </c>
      <c r="AL41">
        <v>1.0202</v>
      </c>
      <c r="AM41">
        <v>41.122</v>
      </c>
      <c r="AN41">
        <v>1.0148999999999999</v>
      </c>
      <c r="AO41">
        <v>195.11080000000001</v>
      </c>
      <c r="AP41">
        <v>48.515099999999997</v>
      </c>
      <c r="AQ41">
        <v>40.524700000000003</v>
      </c>
      <c r="AR41">
        <v>91.021000000000001</v>
      </c>
      <c r="AS41">
        <v>75397.602400000003</v>
      </c>
      <c r="AU41" s="1">
        <f t="shared" si="0"/>
        <v>43896</v>
      </c>
      <c r="AV41" s="29">
        <f t="shared" si="1"/>
        <v>5.6021314320195579</v>
      </c>
      <c r="AW41" s="30">
        <f t="shared" si="2"/>
        <v>-0.59732678021319663</v>
      </c>
    </row>
    <row r="42" spans="1:49" x14ac:dyDescent="0.25">
      <c r="A42" s="37">
        <v>43903</v>
      </c>
      <c r="B42" s="5">
        <v>4.9261999999999997</v>
      </c>
      <c r="C42">
        <v>-1.2175</v>
      </c>
      <c r="D42">
        <v>-0.30940000000000001</v>
      </c>
      <c r="E42">
        <v>51.779000000000003</v>
      </c>
      <c r="F42">
        <v>3.7315</v>
      </c>
      <c r="G42" t="s">
        <v>33</v>
      </c>
      <c r="H42">
        <v>20.301500000000001</v>
      </c>
      <c r="I42">
        <v>-3.0964</v>
      </c>
      <c r="J42">
        <v>40.435000000000002</v>
      </c>
      <c r="K42">
        <v>159036.02780000001</v>
      </c>
      <c r="M42" s="37">
        <v>43903</v>
      </c>
      <c r="N42" s="5">
        <v>2.6328</v>
      </c>
      <c r="O42">
        <v>14.9734</v>
      </c>
      <c r="P42">
        <v>0.79090000000000005</v>
      </c>
      <c r="Q42">
        <v>44.698599999999999</v>
      </c>
      <c r="R42">
        <v>1.5668</v>
      </c>
      <c r="S42" t="s">
        <v>33</v>
      </c>
      <c r="T42">
        <v>32.522399999999998</v>
      </c>
      <c r="U42">
        <v>23.428699999999999</v>
      </c>
      <c r="V42">
        <v>36.799999999999997</v>
      </c>
      <c r="W42">
        <v>68979.192500000005</v>
      </c>
      <c r="Y42" s="5">
        <v>3.0750999999999999</v>
      </c>
      <c r="Z42">
        <v>4.5960999999999999</v>
      </c>
      <c r="AA42">
        <v>0.52300000000000002</v>
      </c>
      <c r="AB42">
        <v>11.6861</v>
      </c>
      <c r="AC42">
        <v>0.77800000000000002</v>
      </c>
      <c r="AD42" t="s">
        <v>33</v>
      </c>
      <c r="AE42">
        <v>8.2241999999999997</v>
      </c>
      <c r="AF42">
        <v>5.6234999999999999</v>
      </c>
      <c r="AG42">
        <v>0.51400000000000001</v>
      </c>
      <c r="AH42">
        <v>4253.6936999999998</v>
      </c>
      <c r="AJ42">
        <v>3.1762000000000001</v>
      </c>
      <c r="AK42">
        <v>20.184699999999999</v>
      </c>
      <c r="AL42">
        <v>1.0202</v>
      </c>
      <c r="AM42">
        <v>41.122</v>
      </c>
      <c r="AN42">
        <v>1.0148999999999999</v>
      </c>
      <c r="AO42">
        <v>195.11080000000001</v>
      </c>
      <c r="AP42">
        <v>48.515099999999997</v>
      </c>
      <c r="AQ42">
        <v>40.524700000000003</v>
      </c>
      <c r="AR42">
        <v>79.703000000000003</v>
      </c>
      <c r="AS42">
        <v>66022.558000000005</v>
      </c>
      <c r="AU42" s="1">
        <f t="shared" si="0"/>
        <v>43903</v>
      </c>
      <c r="AV42" s="29">
        <f t="shared" si="1"/>
        <v>5.1140424257497923</v>
      </c>
      <c r="AW42" s="30">
        <f t="shared" si="2"/>
        <v>-0.74868098103112823</v>
      </c>
    </row>
    <row r="43" spans="1:49" x14ac:dyDescent="0.25">
      <c r="A43" s="37">
        <v>43910</v>
      </c>
      <c r="B43" s="5">
        <v>4.6828000000000003</v>
      </c>
      <c r="C43">
        <v>-1.2175</v>
      </c>
      <c r="D43">
        <v>-0.30940000000000001</v>
      </c>
      <c r="E43">
        <v>51.779000000000003</v>
      </c>
      <c r="F43">
        <v>3.7315</v>
      </c>
      <c r="G43" t="s">
        <v>33</v>
      </c>
      <c r="H43">
        <v>20.301500000000001</v>
      </c>
      <c r="I43">
        <v>-3.0964</v>
      </c>
      <c r="J43">
        <v>31.91</v>
      </c>
      <c r="K43">
        <v>125506.1122</v>
      </c>
      <c r="M43" s="37">
        <v>43910</v>
      </c>
      <c r="N43" s="5">
        <v>2.5297999999999998</v>
      </c>
      <c r="O43">
        <v>14.9734</v>
      </c>
      <c r="P43">
        <v>0.79090000000000005</v>
      </c>
      <c r="Q43">
        <v>44.698599999999999</v>
      </c>
      <c r="R43">
        <v>1.5668</v>
      </c>
      <c r="S43" t="s">
        <v>33</v>
      </c>
      <c r="T43">
        <v>32.522399999999998</v>
      </c>
      <c r="U43">
        <v>23.428699999999999</v>
      </c>
      <c r="V43">
        <v>34.35</v>
      </c>
      <c r="W43">
        <v>64386.827799999999</v>
      </c>
      <c r="Y43" s="5">
        <v>2.6966000000000001</v>
      </c>
      <c r="Z43">
        <v>4.5960999999999999</v>
      </c>
      <c r="AA43">
        <v>0.52300000000000002</v>
      </c>
      <c r="AB43">
        <v>11.6861</v>
      </c>
      <c r="AC43">
        <v>0.77800000000000002</v>
      </c>
      <c r="AD43" t="s">
        <v>33</v>
      </c>
      <c r="AE43">
        <v>8.2241999999999997</v>
      </c>
      <c r="AF43">
        <v>5.6234999999999999</v>
      </c>
      <c r="AG43">
        <v>0.39700000000000002</v>
      </c>
      <c r="AH43">
        <v>3285.7874000000002</v>
      </c>
      <c r="AJ43">
        <v>2.9018000000000002</v>
      </c>
      <c r="AK43">
        <v>20.184699999999999</v>
      </c>
      <c r="AL43">
        <v>1.0202</v>
      </c>
      <c r="AM43">
        <v>41.122</v>
      </c>
      <c r="AN43">
        <v>1.0148999999999999</v>
      </c>
      <c r="AO43">
        <v>195.11080000000001</v>
      </c>
      <c r="AP43">
        <v>48.515099999999997</v>
      </c>
      <c r="AQ43">
        <v>40.524700000000003</v>
      </c>
      <c r="AR43">
        <v>69.584999999999994</v>
      </c>
      <c r="AS43">
        <v>57640.632799999999</v>
      </c>
      <c r="AU43" s="1">
        <f t="shared" si="0"/>
        <v>43910</v>
      </c>
      <c r="AV43" s="29">
        <f t="shared" si="1"/>
        <v>4.7972562725375942</v>
      </c>
      <c r="AW43" s="30">
        <f t="shared" si="2"/>
        <v>-0.84691493925127903</v>
      </c>
    </row>
    <row r="44" spans="1:49" x14ac:dyDescent="0.25">
      <c r="A44" s="37">
        <v>43917</v>
      </c>
      <c r="B44" s="5">
        <v>4.7447999999999997</v>
      </c>
      <c r="C44">
        <v>-1.2175</v>
      </c>
      <c r="D44">
        <v>-0.30940000000000001</v>
      </c>
      <c r="E44">
        <v>51.779000000000003</v>
      </c>
      <c r="F44">
        <v>3.7315</v>
      </c>
      <c r="G44" t="s">
        <v>33</v>
      </c>
      <c r="H44">
        <v>20.301500000000001</v>
      </c>
      <c r="I44">
        <v>-3.0964</v>
      </c>
      <c r="J44">
        <v>34.08</v>
      </c>
      <c r="K44">
        <v>134040.9999</v>
      </c>
      <c r="M44" s="37">
        <v>43917</v>
      </c>
      <c r="N44" s="5">
        <v>2.3908</v>
      </c>
      <c r="O44">
        <v>14.9734</v>
      </c>
      <c r="P44">
        <v>0.79090000000000005</v>
      </c>
      <c r="Q44">
        <v>44.698599999999999</v>
      </c>
      <c r="R44">
        <v>1.5668</v>
      </c>
      <c r="S44" t="s">
        <v>33</v>
      </c>
      <c r="T44">
        <v>32.522399999999998</v>
      </c>
      <c r="U44">
        <v>23.428699999999999</v>
      </c>
      <c r="V44">
        <v>35.450000000000003</v>
      </c>
      <c r="W44">
        <v>56588.417200000004</v>
      </c>
      <c r="Y44" s="5">
        <v>2.6568000000000001</v>
      </c>
      <c r="Z44">
        <v>4.5960999999999999</v>
      </c>
      <c r="AA44">
        <v>0.52300000000000002</v>
      </c>
      <c r="AB44">
        <v>11.6861</v>
      </c>
      <c r="AC44">
        <v>0.77800000000000002</v>
      </c>
      <c r="AD44" t="s">
        <v>33</v>
      </c>
      <c r="AE44">
        <v>8.2241999999999997</v>
      </c>
      <c r="AF44">
        <v>5.6234999999999999</v>
      </c>
      <c r="AG44">
        <v>0.38500000000000001</v>
      </c>
      <c r="AH44">
        <v>3183.9025000000001</v>
      </c>
      <c r="AJ44">
        <v>2.8965999999999998</v>
      </c>
      <c r="AK44">
        <v>20.184699999999999</v>
      </c>
      <c r="AL44">
        <v>1.0202</v>
      </c>
      <c r="AM44">
        <v>41.122</v>
      </c>
      <c r="AN44">
        <v>1.0148999999999999</v>
      </c>
      <c r="AO44">
        <v>195.11080000000001</v>
      </c>
      <c r="AP44">
        <v>48.515099999999997</v>
      </c>
      <c r="AQ44">
        <v>40.524700000000003</v>
      </c>
      <c r="AR44">
        <v>69.393000000000001</v>
      </c>
      <c r="AS44">
        <v>57481.733699999997</v>
      </c>
      <c r="AU44" s="1">
        <f t="shared" si="0"/>
        <v>43917</v>
      </c>
      <c r="AV44" s="29">
        <f t="shared" si="1"/>
        <v>4.8822749030748254</v>
      </c>
      <c r="AW44" s="30">
        <f t="shared" si="2"/>
        <v>-0.82055104513708643</v>
      </c>
    </row>
    <row r="45" spans="1:49" x14ac:dyDescent="0.25">
      <c r="A45" s="37">
        <v>43924</v>
      </c>
      <c r="B45" s="5">
        <v>4.4534000000000002</v>
      </c>
      <c r="C45">
        <v>0.40110000000000001</v>
      </c>
      <c r="D45">
        <v>-0.253</v>
      </c>
      <c r="E45">
        <v>51.317300000000003</v>
      </c>
      <c r="F45">
        <v>3.4632000000000001</v>
      </c>
      <c r="G45">
        <v>0</v>
      </c>
      <c r="H45">
        <v>22.2103</v>
      </c>
      <c r="I45">
        <v>-2.3319000000000001</v>
      </c>
      <c r="J45">
        <v>38.835000000000001</v>
      </c>
      <c r="K45">
        <v>152743.0232</v>
      </c>
      <c r="M45" s="37">
        <v>43924</v>
      </c>
      <c r="N45" s="5">
        <v>3.0238999999999998</v>
      </c>
      <c r="O45">
        <v>11.8338</v>
      </c>
      <c r="P45">
        <v>1.0632999999999999</v>
      </c>
      <c r="Q45">
        <v>42.939599999999999</v>
      </c>
      <c r="R45">
        <v>1.7733000000000001</v>
      </c>
      <c r="S45" t="s">
        <v>33</v>
      </c>
      <c r="T45">
        <v>33.3065</v>
      </c>
      <c r="U45">
        <v>22.997499999999999</v>
      </c>
      <c r="V45">
        <v>38.5</v>
      </c>
      <c r="W45">
        <v>61457.0962</v>
      </c>
      <c r="Y45" s="5">
        <v>3.2911000000000001</v>
      </c>
      <c r="Z45">
        <v>2.4853999999999998</v>
      </c>
      <c r="AA45">
        <v>0.68569999999999998</v>
      </c>
      <c r="AB45">
        <v>12.638999999999999</v>
      </c>
      <c r="AC45">
        <v>0.80500000000000005</v>
      </c>
      <c r="AD45" t="s">
        <v>33</v>
      </c>
      <c r="AE45">
        <v>6.1387</v>
      </c>
      <c r="AF45">
        <v>3.4723999999999999</v>
      </c>
      <c r="AG45">
        <v>0.42799999999999999</v>
      </c>
      <c r="AH45">
        <v>3540.4996000000001</v>
      </c>
      <c r="AJ45">
        <v>2.7648000000000001</v>
      </c>
      <c r="AK45">
        <v>27.012599999999999</v>
      </c>
      <c r="AL45">
        <v>1.5952</v>
      </c>
      <c r="AM45">
        <v>39.0886</v>
      </c>
      <c r="AN45">
        <v>0.73170000000000002</v>
      </c>
      <c r="AO45">
        <v>195.11080000000001</v>
      </c>
      <c r="AP45">
        <v>49.129199999999997</v>
      </c>
      <c r="AQ45">
        <v>40.478099999999998</v>
      </c>
      <c r="AR45">
        <v>80.375</v>
      </c>
      <c r="AS45">
        <v>66578.704700000002</v>
      </c>
      <c r="AU45" s="1">
        <f t="shared" si="0"/>
        <v>43924</v>
      </c>
      <c r="AV45" s="29">
        <f t="shared" si="1"/>
        <v>4.8764205713320772</v>
      </c>
      <c r="AW45" s="30">
        <f t="shared" si="2"/>
        <v>-0.82236644702253059</v>
      </c>
    </row>
    <row r="46" spans="1:49" x14ac:dyDescent="0.25">
      <c r="A46" s="37">
        <v>43931</v>
      </c>
      <c r="B46" s="5">
        <v>4.492</v>
      </c>
      <c r="C46">
        <v>0.40110000000000001</v>
      </c>
      <c r="D46">
        <v>-0.253</v>
      </c>
      <c r="E46">
        <v>51.317300000000003</v>
      </c>
      <c r="F46">
        <v>3.4632000000000001</v>
      </c>
      <c r="G46">
        <v>0</v>
      </c>
      <c r="H46">
        <v>22.2103</v>
      </c>
      <c r="I46">
        <v>-2.3319000000000001</v>
      </c>
      <c r="J46">
        <v>40.409999999999997</v>
      </c>
      <c r="K46">
        <v>158937.6997</v>
      </c>
      <c r="M46" s="37">
        <v>43931</v>
      </c>
      <c r="N46" s="5">
        <v>3.0939000000000001</v>
      </c>
      <c r="O46">
        <v>11.8338</v>
      </c>
      <c r="P46">
        <v>1.0632999999999999</v>
      </c>
      <c r="Q46">
        <v>42.939599999999999</v>
      </c>
      <c r="R46">
        <v>1.7733000000000001</v>
      </c>
      <c r="S46" t="s">
        <v>33</v>
      </c>
      <c r="T46">
        <v>33.3065</v>
      </c>
      <c r="U46">
        <v>22.997499999999999</v>
      </c>
      <c r="V46">
        <v>41.5</v>
      </c>
      <c r="W46">
        <v>66245.960900000005</v>
      </c>
      <c r="Y46" s="5">
        <v>3.4504000000000001</v>
      </c>
      <c r="Z46">
        <v>2.4853999999999998</v>
      </c>
      <c r="AA46">
        <v>0.68569999999999998</v>
      </c>
      <c r="AB46">
        <v>12.638999999999999</v>
      </c>
      <c r="AC46">
        <v>0.80500000000000005</v>
      </c>
      <c r="AD46" t="s">
        <v>33</v>
      </c>
      <c r="AE46">
        <v>6.1387</v>
      </c>
      <c r="AF46">
        <v>3.4723999999999999</v>
      </c>
      <c r="AG46">
        <v>0.46500000000000002</v>
      </c>
      <c r="AH46">
        <v>3846.1541999999999</v>
      </c>
      <c r="AJ46">
        <v>2.9321999999999999</v>
      </c>
      <c r="AK46">
        <v>27.012599999999999</v>
      </c>
      <c r="AL46">
        <v>1.5952</v>
      </c>
      <c r="AM46">
        <v>39.0886</v>
      </c>
      <c r="AN46">
        <v>0.73170000000000002</v>
      </c>
      <c r="AO46">
        <v>195.11080000000001</v>
      </c>
      <c r="AP46">
        <v>49.129199999999997</v>
      </c>
      <c r="AQ46">
        <v>40.478099999999998</v>
      </c>
      <c r="AR46">
        <v>86.992999999999995</v>
      </c>
      <c r="AS46">
        <v>72060.722200000004</v>
      </c>
      <c r="AU46" s="1">
        <f t="shared" si="0"/>
        <v>43931</v>
      </c>
      <c r="AV46" s="29">
        <f t="shared" si="1"/>
        <v>4.9926851076833243</v>
      </c>
      <c r="AW46" s="30">
        <f t="shared" si="2"/>
        <v>-0.78631333835409956</v>
      </c>
    </row>
    <row r="47" spans="1:49" x14ac:dyDescent="0.25">
      <c r="A47" s="37">
        <v>43938</v>
      </c>
      <c r="B47" s="5">
        <v>4.4865000000000004</v>
      </c>
      <c r="C47">
        <v>0.40110000000000001</v>
      </c>
      <c r="D47">
        <v>-0.253</v>
      </c>
      <c r="E47">
        <v>51.317300000000003</v>
      </c>
      <c r="F47">
        <v>3.4632000000000001</v>
      </c>
      <c r="G47">
        <v>0</v>
      </c>
      <c r="H47">
        <v>22.2103</v>
      </c>
      <c r="I47">
        <v>-2.3319000000000001</v>
      </c>
      <c r="J47">
        <v>40.185000000000002</v>
      </c>
      <c r="K47">
        <v>158052.74590000001</v>
      </c>
      <c r="M47" s="37">
        <v>43938</v>
      </c>
      <c r="N47" s="5">
        <v>3.0669</v>
      </c>
      <c r="O47">
        <v>11.8338</v>
      </c>
      <c r="P47">
        <v>1.0632999999999999</v>
      </c>
      <c r="Q47">
        <v>42.939599999999999</v>
      </c>
      <c r="R47">
        <v>1.7733000000000001</v>
      </c>
      <c r="S47" t="s">
        <v>33</v>
      </c>
      <c r="T47">
        <v>33.3065</v>
      </c>
      <c r="U47">
        <v>22.997499999999999</v>
      </c>
      <c r="V47">
        <v>41.7</v>
      </c>
      <c r="W47">
        <v>66565.218500000003</v>
      </c>
      <c r="Y47" s="5">
        <v>3.5830000000000002</v>
      </c>
      <c r="Z47">
        <v>2.4853999999999998</v>
      </c>
      <c r="AA47">
        <v>0.68569999999999998</v>
      </c>
      <c r="AB47">
        <v>12.638999999999999</v>
      </c>
      <c r="AC47">
        <v>0.80500000000000005</v>
      </c>
      <c r="AD47" t="s">
        <v>33</v>
      </c>
      <c r="AE47">
        <v>6.1387</v>
      </c>
      <c r="AF47">
        <v>3.4723999999999999</v>
      </c>
      <c r="AG47">
        <v>0.495</v>
      </c>
      <c r="AH47">
        <v>4100.8663999999999</v>
      </c>
      <c r="AJ47">
        <v>2.9213</v>
      </c>
      <c r="AK47">
        <v>27.012599999999999</v>
      </c>
      <c r="AL47">
        <v>1.5952</v>
      </c>
      <c r="AM47">
        <v>39.0886</v>
      </c>
      <c r="AN47">
        <v>0.73170000000000002</v>
      </c>
      <c r="AO47">
        <v>195.11080000000001</v>
      </c>
      <c r="AP47">
        <v>49.129199999999997</v>
      </c>
      <c r="AQ47">
        <v>40.478099999999998</v>
      </c>
      <c r="AR47">
        <v>86.561000000000007</v>
      </c>
      <c r="AS47">
        <v>71703.199299999993</v>
      </c>
      <c r="AU47" s="1">
        <f t="shared" si="0"/>
        <v>43938</v>
      </c>
      <c r="AV47" s="29">
        <f t="shared" si="1"/>
        <v>4.9729725774913769</v>
      </c>
      <c r="AW47" s="30">
        <f t="shared" si="2"/>
        <v>-0.79242610511380107</v>
      </c>
    </row>
    <row r="48" spans="1:49" x14ac:dyDescent="0.25">
      <c r="A48" s="37">
        <v>43945</v>
      </c>
      <c r="B48" s="5">
        <v>4.4090999999999996</v>
      </c>
      <c r="C48">
        <v>0.40110000000000001</v>
      </c>
      <c r="D48">
        <v>-0.253</v>
      </c>
      <c r="E48">
        <v>51.317300000000003</v>
      </c>
      <c r="F48">
        <v>3.4632000000000001</v>
      </c>
      <c r="G48">
        <v>0</v>
      </c>
      <c r="H48">
        <v>22.2103</v>
      </c>
      <c r="I48">
        <v>-2.3319000000000001</v>
      </c>
      <c r="J48">
        <v>37.03</v>
      </c>
      <c r="K48">
        <v>145643.72719999999</v>
      </c>
      <c r="M48" s="37">
        <v>43945</v>
      </c>
      <c r="N48" s="5">
        <v>3.0607000000000002</v>
      </c>
      <c r="O48">
        <v>11.8338</v>
      </c>
      <c r="P48">
        <v>1.0632999999999999</v>
      </c>
      <c r="Q48">
        <v>42.939599999999999</v>
      </c>
      <c r="R48">
        <v>1.7733000000000001</v>
      </c>
      <c r="S48" t="s">
        <v>33</v>
      </c>
      <c r="T48">
        <v>33.3065</v>
      </c>
      <c r="U48">
        <v>22.997499999999999</v>
      </c>
      <c r="V48">
        <v>42.45</v>
      </c>
      <c r="W48">
        <v>67762.434699999998</v>
      </c>
      <c r="Y48" s="5">
        <v>3.8616999999999999</v>
      </c>
      <c r="Z48">
        <v>2.4853999999999998</v>
      </c>
      <c r="AA48">
        <v>0.68569999999999998</v>
      </c>
      <c r="AB48">
        <v>12.638999999999999</v>
      </c>
      <c r="AC48">
        <v>0.80500000000000005</v>
      </c>
      <c r="AD48" t="s">
        <v>33</v>
      </c>
      <c r="AE48">
        <v>6.1387</v>
      </c>
      <c r="AF48">
        <v>3.4723999999999999</v>
      </c>
      <c r="AG48">
        <v>0.56000000000000005</v>
      </c>
      <c r="AH48">
        <v>4635.7619999999997</v>
      </c>
      <c r="AJ48">
        <v>3.0049999999999999</v>
      </c>
      <c r="AK48">
        <v>27.012599999999999</v>
      </c>
      <c r="AL48">
        <v>1.5952</v>
      </c>
      <c r="AM48">
        <v>39.0886</v>
      </c>
      <c r="AN48">
        <v>0.73170000000000002</v>
      </c>
      <c r="AO48">
        <v>195.11080000000001</v>
      </c>
      <c r="AP48">
        <v>49.129199999999997</v>
      </c>
      <c r="AQ48">
        <v>40.478099999999998</v>
      </c>
      <c r="AR48">
        <v>89.87</v>
      </c>
      <c r="AS48">
        <v>74444.207999999999</v>
      </c>
      <c r="AU48" s="1">
        <f t="shared" si="0"/>
        <v>43945</v>
      </c>
      <c r="AV48" s="29">
        <f t="shared" si="1"/>
        <v>5.0043816763405928</v>
      </c>
      <c r="AW48" s="30">
        <f t="shared" si="2"/>
        <v>-0.78268628513492811</v>
      </c>
    </row>
    <row r="49" spans="1:54" x14ac:dyDescent="0.25">
      <c r="A49" s="37">
        <v>43952</v>
      </c>
      <c r="B49" s="5">
        <v>4.5640999999999998</v>
      </c>
      <c r="C49">
        <v>0.40110000000000001</v>
      </c>
      <c r="D49">
        <v>-0.253</v>
      </c>
      <c r="E49">
        <v>51.317300000000003</v>
      </c>
      <c r="F49">
        <v>3.4632000000000001</v>
      </c>
      <c r="G49">
        <v>0</v>
      </c>
      <c r="H49">
        <v>22.2103</v>
      </c>
      <c r="I49">
        <v>-2.3319000000000001</v>
      </c>
      <c r="J49">
        <v>43.35</v>
      </c>
      <c r="K49">
        <v>170501.09580000001</v>
      </c>
      <c r="M49" s="37">
        <v>43952</v>
      </c>
      <c r="N49" s="5">
        <v>3.1374</v>
      </c>
      <c r="O49">
        <v>11.8338</v>
      </c>
      <c r="P49">
        <v>1.0632999999999999</v>
      </c>
      <c r="Q49">
        <v>42.939599999999999</v>
      </c>
      <c r="R49">
        <v>1.7733000000000001</v>
      </c>
      <c r="S49" t="s">
        <v>33</v>
      </c>
      <c r="T49">
        <v>33.3065</v>
      </c>
      <c r="U49">
        <v>22.997499999999999</v>
      </c>
      <c r="V49">
        <v>46.05</v>
      </c>
      <c r="W49">
        <v>73509.0723</v>
      </c>
      <c r="Y49" s="5">
        <v>4.1536</v>
      </c>
      <c r="Z49">
        <v>2.4853999999999998</v>
      </c>
      <c r="AA49">
        <v>0.68569999999999998</v>
      </c>
      <c r="AB49">
        <v>12.638999999999999</v>
      </c>
      <c r="AC49">
        <v>0.80500000000000005</v>
      </c>
      <c r="AD49" t="s">
        <v>33</v>
      </c>
      <c r="AE49">
        <v>6.1387</v>
      </c>
      <c r="AF49">
        <v>3.4723999999999999</v>
      </c>
      <c r="AG49">
        <v>0.628</v>
      </c>
      <c r="AH49">
        <v>5196.1288999999997</v>
      </c>
      <c r="AJ49">
        <v>3.2014999999999998</v>
      </c>
      <c r="AK49">
        <v>27.012599999999999</v>
      </c>
      <c r="AL49">
        <v>1.5952</v>
      </c>
      <c r="AM49">
        <v>39.0886</v>
      </c>
      <c r="AN49">
        <v>0.73170000000000002</v>
      </c>
      <c r="AO49">
        <v>195.11080000000001</v>
      </c>
      <c r="AP49">
        <v>49.129199999999997</v>
      </c>
      <c r="AQ49">
        <v>40.478099999999998</v>
      </c>
      <c r="AR49">
        <v>97.638999999999996</v>
      </c>
      <c r="AS49">
        <v>80879.6198</v>
      </c>
      <c r="AU49" s="1">
        <f t="shared" si="0"/>
        <v>43952</v>
      </c>
      <c r="AV49" s="29">
        <f t="shared" si="1"/>
        <v>5.1737463061117595</v>
      </c>
      <c r="AW49" s="30">
        <f t="shared" si="2"/>
        <v>-0.73016707684185722</v>
      </c>
    </row>
    <row r="50" spans="1:54" x14ac:dyDescent="0.25">
      <c r="A50" s="37">
        <v>43959</v>
      </c>
      <c r="B50" s="5">
        <v>4.6726999999999999</v>
      </c>
      <c r="C50">
        <v>0.40110000000000001</v>
      </c>
      <c r="D50">
        <v>-0.253</v>
      </c>
      <c r="E50">
        <v>51.317300000000003</v>
      </c>
      <c r="F50">
        <v>3.4632000000000001</v>
      </c>
      <c r="G50">
        <v>0</v>
      </c>
      <c r="H50">
        <v>22.2103</v>
      </c>
      <c r="I50">
        <v>-2.3319000000000001</v>
      </c>
      <c r="J50">
        <v>47.78</v>
      </c>
      <c r="K50">
        <v>187924.85250000001</v>
      </c>
      <c r="M50" s="37">
        <v>43959</v>
      </c>
      <c r="N50" s="5">
        <v>3.2989999999999999</v>
      </c>
      <c r="O50">
        <v>11.8338</v>
      </c>
      <c r="P50">
        <v>1.0632999999999999</v>
      </c>
      <c r="Q50">
        <v>42.939599999999999</v>
      </c>
      <c r="R50">
        <v>1.7733000000000001</v>
      </c>
      <c r="S50" t="s">
        <v>33</v>
      </c>
      <c r="T50">
        <v>33.3065</v>
      </c>
      <c r="U50">
        <v>22.997499999999999</v>
      </c>
      <c r="V50">
        <v>50.4</v>
      </c>
      <c r="W50">
        <v>84526.447</v>
      </c>
      <c r="Y50" s="5">
        <v>4.5515999999999996</v>
      </c>
      <c r="Z50">
        <v>2.4853999999999998</v>
      </c>
      <c r="AA50">
        <v>0.68569999999999998</v>
      </c>
      <c r="AB50">
        <v>12.638999999999999</v>
      </c>
      <c r="AC50">
        <v>0.80500000000000005</v>
      </c>
      <c r="AD50" t="s">
        <v>33</v>
      </c>
      <c r="AE50">
        <v>6.1387</v>
      </c>
      <c r="AF50">
        <v>3.4723999999999999</v>
      </c>
      <c r="AG50">
        <v>0.72</v>
      </c>
      <c r="AH50">
        <v>5960.2655000000004</v>
      </c>
      <c r="AJ50">
        <v>3.4114</v>
      </c>
      <c r="AK50">
        <v>27.012599999999999</v>
      </c>
      <c r="AL50">
        <v>1.5952</v>
      </c>
      <c r="AM50">
        <v>39.0886</v>
      </c>
      <c r="AN50">
        <v>0.73170000000000002</v>
      </c>
      <c r="AO50">
        <v>195.11080000000001</v>
      </c>
      <c r="AP50">
        <v>49.129199999999997</v>
      </c>
      <c r="AQ50">
        <v>40.478099999999998</v>
      </c>
      <c r="AR50">
        <v>105.935</v>
      </c>
      <c r="AS50">
        <v>87752.004000000001</v>
      </c>
      <c r="AU50" s="1">
        <f t="shared" si="0"/>
        <v>43959</v>
      </c>
      <c r="AV50" s="29">
        <f t="shared" si="1"/>
        <v>5.3282813083757858</v>
      </c>
      <c r="AW50" s="30">
        <f t="shared" si="2"/>
        <v>-0.6822464691952641</v>
      </c>
    </row>
    <row r="51" spans="1:54" x14ac:dyDescent="0.25">
      <c r="A51" s="37">
        <v>43966</v>
      </c>
      <c r="B51" s="5">
        <v>4.7538999999999998</v>
      </c>
      <c r="C51">
        <v>0.40110000000000001</v>
      </c>
      <c r="D51">
        <v>-0.253</v>
      </c>
      <c r="E51">
        <v>51.317300000000003</v>
      </c>
      <c r="F51">
        <v>3.4632000000000001</v>
      </c>
      <c r="G51">
        <v>0</v>
      </c>
      <c r="H51">
        <v>22.2103</v>
      </c>
      <c r="I51">
        <v>-2.3319000000000001</v>
      </c>
      <c r="J51">
        <v>51.094999999999999</v>
      </c>
      <c r="K51">
        <v>200963.1716</v>
      </c>
      <c r="M51" s="37">
        <v>43966</v>
      </c>
      <c r="N51" s="5">
        <v>3.3681999999999999</v>
      </c>
      <c r="O51">
        <v>11.8338</v>
      </c>
      <c r="P51">
        <v>1.0632999999999999</v>
      </c>
      <c r="Q51">
        <v>42.939599999999999</v>
      </c>
      <c r="R51">
        <v>1.7733000000000001</v>
      </c>
      <c r="S51" t="s">
        <v>33</v>
      </c>
      <c r="T51">
        <v>33.3065</v>
      </c>
      <c r="U51">
        <v>22.997499999999999</v>
      </c>
      <c r="V51">
        <v>53.7</v>
      </c>
      <c r="W51">
        <v>90060.916700000002</v>
      </c>
      <c r="Y51" s="5">
        <v>4.5648999999999997</v>
      </c>
      <c r="Z51">
        <v>2.4853999999999998</v>
      </c>
      <c r="AA51">
        <v>0.68569999999999998</v>
      </c>
      <c r="AB51">
        <v>12.638999999999999</v>
      </c>
      <c r="AC51">
        <v>0.80500000000000005</v>
      </c>
      <c r="AD51" t="s">
        <v>33</v>
      </c>
      <c r="AE51">
        <v>6.1387</v>
      </c>
      <c r="AF51">
        <v>3.4723999999999999</v>
      </c>
      <c r="AG51">
        <v>0.72299999999999998</v>
      </c>
      <c r="AH51">
        <v>5985.7367000000004</v>
      </c>
      <c r="AJ51">
        <v>3.8081</v>
      </c>
      <c r="AK51">
        <v>27.012599999999999</v>
      </c>
      <c r="AL51">
        <v>1.5952</v>
      </c>
      <c r="AM51">
        <v>39.0886</v>
      </c>
      <c r="AN51">
        <v>0.73170000000000002</v>
      </c>
      <c r="AO51">
        <v>195.11080000000001</v>
      </c>
      <c r="AP51">
        <v>49.129199999999997</v>
      </c>
      <c r="AQ51">
        <v>40.478099999999998</v>
      </c>
      <c r="AR51">
        <v>121.617</v>
      </c>
      <c r="AS51">
        <v>100742.0019</v>
      </c>
      <c r="AU51" s="1">
        <f t="shared" si="0"/>
        <v>43966</v>
      </c>
      <c r="AV51" s="29">
        <f t="shared" si="1"/>
        <v>5.6215712998564946</v>
      </c>
      <c r="AW51" s="30">
        <f t="shared" si="2"/>
        <v>-0.59129856482077792</v>
      </c>
    </row>
    <row r="52" spans="1:54" x14ac:dyDescent="0.25">
      <c r="A52" s="37">
        <v>43973</v>
      </c>
      <c r="B52" s="5">
        <v>4.8461999999999996</v>
      </c>
      <c r="C52">
        <v>0.40110000000000001</v>
      </c>
      <c r="D52">
        <v>-0.253</v>
      </c>
      <c r="E52">
        <v>51.317300000000003</v>
      </c>
      <c r="F52">
        <v>3.4632000000000001</v>
      </c>
      <c r="G52">
        <v>0</v>
      </c>
      <c r="H52">
        <v>22.2103</v>
      </c>
      <c r="I52">
        <v>-2.3319000000000001</v>
      </c>
      <c r="J52">
        <v>54.86</v>
      </c>
      <c r="K52">
        <v>215771.3982</v>
      </c>
      <c r="M52" s="37">
        <v>43973</v>
      </c>
      <c r="N52" s="5">
        <v>3.3633999999999999</v>
      </c>
      <c r="O52">
        <v>11.8338</v>
      </c>
      <c r="P52">
        <v>1.0632999999999999</v>
      </c>
      <c r="Q52">
        <v>42.939599999999999</v>
      </c>
      <c r="R52">
        <v>1.7733000000000001</v>
      </c>
      <c r="S52" t="s">
        <v>33</v>
      </c>
      <c r="T52">
        <v>33.3065</v>
      </c>
      <c r="U52">
        <v>22.997499999999999</v>
      </c>
      <c r="V52">
        <v>54.3</v>
      </c>
      <c r="W52">
        <v>91067.183900000004</v>
      </c>
      <c r="Y52" s="5">
        <v>6.0541</v>
      </c>
      <c r="Z52">
        <v>2.4853999999999998</v>
      </c>
      <c r="AA52">
        <v>0.68569999999999998</v>
      </c>
      <c r="AB52">
        <v>12.638999999999999</v>
      </c>
      <c r="AC52">
        <v>0.80500000000000005</v>
      </c>
      <c r="AD52" t="s">
        <v>33</v>
      </c>
      <c r="AE52">
        <v>6.1387</v>
      </c>
      <c r="AF52">
        <v>3.4723999999999999</v>
      </c>
      <c r="AG52">
        <v>0.86499999999999999</v>
      </c>
      <c r="AH52">
        <v>8844.7044000000005</v>
      </c>
      <c r="AJ52">
        <v>3.8917999999999999</v>
      </c>
      <c r="AK52">
        <v>27.012599999999999</v>
      </c>
      <c r="AL52">
        <v>1.5952</v>
      </c>
      <c r="AM52">
        <v>39.0886</v>
      </c>
      <c r="AN52">
        <v>0.73170000000000002</v>
      </c>
      <c r="AO52">
        <v>195.11080000000001</v>
      </c>
      <c r="AP52">
        <v>49.129199999999997</v>
      </c>
      <c r="AQ52">
        <v>40.478099999999998</v>
      </c>
      <c r="AR52">
        <v>124.926</v>
      </c>
      <c r="AS52">
        <v>103483.01059999999</v>
      </c>
      <c r="AU52" s="1">
        <f t="shared" si="0"/>
        <v>43973</v>
      </c>
      <c r="AV52" s="29">
        <f t="shared" si="1"/>
        <v>5.7280467455068127</v>
      </c>
      <c r="AW52" s="30">
        <f t="shared" si="2"/>
        <v>-0.55828100905507805</v>
      </c>
    </row>
    <row r="53" spans="1:54" x14ac:dyDescent="0.25">
      <c r="A53" s="37">
        <v>43980</v>
      </c>
      <c r="B53" s="5">
        <v>4.8776000000000002</v>
      </c>
      <c r="C53">
        <v>0.40110000000000001</v>
      </c>
      <c r="D53">
        <v>-0.253</v>
      </c>
      <c r="E53">
        <v>51.317300000000003</v>
      </c>
      <c r="F53">
        <v>3.4632000000000001</v>
      </c>
      <c r="G53">
        <v>0</v>
      </c>
      <c r="H53">
        <v>22.2103</v>
      </c>
      <c r="I53">
        <v>-2.3319000000000001</v>
      </c>
      <c r="J53">
        <v>56.14</v>
      </c>
      <c r="K53">
        <v>220805.802</v>
      </c>
      <c r="M53" s="37">
        <v>43980</v>
      </c>
      <c r="N53" s="5">
        <v>3.1619999999999999</v>
      </c>
      <c r="O53">
        <v>11.8338</v>
      </c>
      <c r="P53">
        <v>1.0632999999999999</v>
      </c>
      <c r="Q53">
        <v>42.939599999999999</v>
      </c>
      <c r="R53">
        <v>1.7733000000000001</v>
      </c>
      <c r="S53" t="s">
        <v>33</v>
      </c>
      <c r="T53">
        <v>33.3065</v>
      </c>
      <c r="U53">
        <v>22.997499999999999</v>
      </c>
      <c r="V53">
        <v>47.6</v>
      </c>
      <c r="W53">
        <v>79830.533200000005</v>
      </c>
      <c r="Y53" s="5">
        <v>5.4965999999999999</v>
      </c>
      <c r="Z53">
        <v>2.4853999999999998</v>
      </c>
      <c r="AA53">
        <v>0.68569999999999998</v>
      </c>
      <c r="AB53">
        <v>12.638999999999999</v>
      </c>
      <c r="AC53">
        <v>0.80500000000000005</v>
      </c>
      <c r="AD53" t="s">
        <v>33</v>
      </c>
      <c r="AE53">
        <v>6.1387</v>
      </c>
      <c r="AF53">
        <v>3.4723999999999999</v>
      </c>
      <c r="AG53">
        <v>0.76</v>
      </c>
      <c r="AH53">
        <v>7774.5267000000003</v>
      </c>
      <c r="AJ53">
        <v>3.6795</v>
      </c>
      <c r="AK53">
        <v>27.012599999999999</v>
      </c>
      <c r="AL53">
        <v>1.5952</v>
      </c>
      <c r="AM53">
        <v>39.0886</v>
      </c>
      <c r="AN53">
        <v>0.73170000000000002</v>
      </c>
      <c r="AO53">
        <v>195.11080000000001</v>
      </c>
      <c r="AP53">
        <v>49.129199999999997</v>
      </c>
      <c r="AQ53">
        <v>40.478099999999998</v>
      </c>
      <c r="AR53">
        <v>116.53400000000001</v>
      </c>
      <c r="AS53">
        <v>96531.176900000006</v>
      </c>
      <c r="AU53" s="1">
        <f t="shared" si="0"/>
        <v>43980</v>
      </c>
      <c r="AV53" s="29">
        <f t="shared" si="1"/>
        <v>5.6007964312114593</v>
      </c>
      <c r="AW53" s="30">
        <f t="shared" si="2"/>
        <v>-0.59774075794636727</v>
      </c>
    </row>
    <row r="54" spans="1:54" x14ac:dyDescent="0.25">
      <c r="A54" s="37">
        <v>43987</v>
      </c>
      <c r="B54" s="5">
        <v>5.1576000000000004</v>
      </c>
      <c r="C54">
        <v>0.40110000000000001</v>
      </c>
      <c r="D54">
        <v>-0.253</v>
      </c>
      <c r="E54">
        <v>51.317300000000003</v>
      </c>
      <c r="F54">
        <v>3.4632000000000001</v>
      </c>
      <c r="G54">
        <v>0</v>
      </c>
      <c r="H54">
        <v>22.2103</v>
      </c>
      <c r="I54">
        <v>-2.3319000000000001</v>
      </c>
      <c r="J54">
        <v>67.56</v>
      </c>
      <c r="K54">
        <v>265722.12300000002</v>
      </c>
      <c r="M54" s="37">
        <v>43987</v>
      </c>
      <c r="N54" s="5">
        <v>3.3066</v>
      </c>
      <c r="O54">
        <v>11.8338</v>
      </c>
      <c r="P54">
        <v>1.0632999999999999</v>
      </c>
      <c r="Q54">
        <v>42.939599999999999</v>
      </c>
      <c r="R54">
        <v>1.7733000000000001</v>
      </c>
      <c r="S54" t="s">
        <v>33</v>
      </c>
      <c r="T54">
        <v>33.3065</v>
      </c>
      <c r="U54">
        <v>22.997499999999999</v>
      </c>
      <c r="V54">
        <v>53.7</v>
      </c>
      <c r="W54">
        <v>90060.916700000002</v>
      </c>
      <c r="Y54" s="5">
        <v>5.6605999999999996</v>
      </c>
      <c r="Z54">
        <v>2.4853999999999998</v>
      </c>
      <c r="AA54">
        <v>0.68569999999999998</v>
      </c>
      <c r="AB54">
        <v>12.638999999999999</v>
      </c>
      <c r="AC54">
        <v>0.80500000000000005</v>
      </c>
      <c r="AD54" t="s">
        <v>33</v>
      </c>
      <c r="AE54">
        <v>6.1387</v>
      </c>
      <c r="AF54">
        <v>3.4723999999999999</v>
      </c>
      <c r="AG54">
        <v>0.79100000000000004</v>
      </c>
      <c r="AH54">
        <v>8089.2848000000004</v>
      </c>
      <c r="AJ54">
        <v>4.1199000000000003</v>
      </c>
      <c r="AK54">
        <v>27.012599999999999</v>
      </c>
      <c r="AL54">
        <v>1.5952</v>
      </c>
      <c r="AM54">
        <v>39.0886</v>
      </c>
      <c r="AN54">
        <v>0.73170000000000002</v>
      </c>
      <c r="AO54">
        <v>195.11080000000001</v>
      </c>
      <c r="AP54">
        <v>49.129199999999997</v>
      </c>
      <c r="AQ54">
        <v>40.478099999999998</v>
      </c>
      <c r="AR54">
        <v>133.94200000000001</v>
      </c>
      <c r="AS54">
        <v>110951.2663</v>
      </c>
      <c r="AU54" s="1">
        <f t="shared" si="0"/>
        <v>43987</v>
      </c>
      <c r="AV54" s="29">
        <f t="shared" si="1"/>
        <v>5.9668791224963584</v>
      </c>
      <c r="AW54" s="30">
        <f t="shared" si="2"/>
        <v>-0.48422016547049507</v>
      </c>
    </row>
    <row r="55" spans="1:54" x14ac:dyDescent="0.25">
      <c r="A55" s="37">
        <v>43994</v>
      </c>
      <c r="B55" s="5">
        <v>5.1430999999999996</v>
      </c>
      <c r="C55">
        <v>0.40110000000000001</v>
      </c>
      <c r="D55">
        <v>-0.253</v>
      </c>
      <c r="E55">
        <v>51.317300000000003</v>
      </c>
      <c r="F55">
        <v>3.4632000000000001</v>
      </c>
      <c r="G55">
        <v>0</v>
      </c>
      <c r="H55">
        <v>22.2103</v>
      </c>
      <c r="I55">
        <v>-2.3319000000000001</v>
      </c>
      <c r="J55">
        <v>66.97</v>
      </c>
      <c r="K55">
        <v>263401.57750000001</v>
      </c>
      <c r="M55" s="37">
        <v>43994</v>
      </c>
      <c r="N55" s="5">
        <v>3.1656</v>
      </c>
      <c r="O55">
        <v>11.8338</v>
      </c>
      <c r="P55">
        <v>1.0632999999999999</v>
      </c>
      <c r="Q55">
        <v>42.939599999999999</v>
      </c>
      <c r="R55">
        <v>1.7733000000000001</v>
      </c>
      <c r="S55" t="s">
        <v>33</v>
      </c>
      <c r="T55">
        <v>33.3065</v>
      </c>
      <c r="U55">
        <v>22.997499999999999</v>
      </c>
      <c r="V55">
        <v>49.15</v>
      </c>
      <c r="W55">
        <v>82430.056899999996</v>
      </c>
      <c r="Y55" s="5">
        <v>5.5129999999999999</v>
      </c>
      <c r="Z55">
        <v>2.4853999999999998</v>
      </c>
      <c r="AA55">
        <v>0.68569999999999998</v>
      </c>
      <c r="AB55">
        <v>12.638999999999999</v>
      </c>
      <c r="AC55">
        <v>0.80500000000000005</v>
      </c>
      <c r="AD55" t="s">
        <v>33</v>
      </c>
      <c r="AE55">
        <v>6.1387</v>
      </c>
      <c r="AF55">
        <v>3.4723999999999999</v>
      </c>
      <c r="AG55">
        <v>0.76300000000000001</v>
      </c>
      <c r="AH55">
        <v>7806.0024999999996</v>
      </c>
      <c r="AJ55">
        <v>3.8323999999999998</v>
      </c>
      <c r="AK55">
        <v>27.012599999999999</v>
      </c>
      <c r="AL55">
        <v>1.5952</v>
      </c>
      <c r="AM55">
        <v>39.0886</v>
      </c>
      <c r="AN55">
        <v>0.73170000000000002</v>
      </c>
      <c r="AO55">
        <v>195.11080000000001</v>
      </c>
      <c r="AP55">
        <v>49.129199999999997</v>
      </c>
      <c r="AQ55">
        <v>40.478099999999998</v>
      </c>
      <c r="AR55">
        <v>122.57599999999999</v>
      </c>
      <c r="AS55">
        <v>101536.4972</v>
      </c>
      <c r="AU55" s="1">
        <f t="shared" si="0"/>
        <v>43994</v>
      </c>
      <c r="AV55" s="29">
        <f t="shared" si="1"/>
        <v>5.7906851288957641</v>
      </c>
      <c r="AW55" s="30">
        <f t="shared" si="2"/>
        <v>-0.53885712870420188</v>
      </c>
    </row>
    <row r="56" spans="1:54" x14ac:dyDescent="0.25">
      <c r="A56" s="37">
        <v>44001</v>
      </c>
      <c r="B56" s="5">
        <v>5.0258000000000003</v>
      </c>
      <c r="C56">
        <v>0.40110000000000001</v>
      </c>
      <c r="D56">
        <v>-0.253</v>
      </c>
      <c r="E56">
        <v>51.317300000000003</v>
      </c>
      <c r="F56">
        <v>3.4632000000000001</v>
      </c>
      <c r="G56">
        <v>0</v>
      </c>
      <c r="H56">
        <v>22.2103</v>
      </c>
      <c r="I56">
        <v>-2.3319000000000001</v>
      </c>
      <c r="J56">
        <v>62.185000000000002</v>
      </c>
      <c r="K56">
        <v>244581.56030000001</v>
      </c>
      <c r="M56" s="37">
        <v>44001</v>
      </c>
      <c r="N56" s="5">
        <v>2.9801000000000002</v>
      </c>
      <c r="O56">
        <v>11.8338</v>
      </c>
      <c r="P56">
        <v>1.0632999999999999</v>
      </c>
      <c r="Q56">
        <v>42.939599999999999</v>
      </c>
      <c r="R56">
        <v>1.7733000000000001</v>
      </c>
      <c r="S56" t="s">
        <v>33</v>
      </c>
      <c r="T56">
        <v>33.3065</v>
      </c>
      <c r="U56">
        <v>22.997499999999999</v>
      </c>
      <c r="V56">
        <v>45.75</v>
      </c>
      <c r="W56">
        <v>71969.287899999996</v>
      </c>
      <c r="Y56" s="5">
        <v>5.1523000000000003</v>
      </c>
      <c r="Z56">
        <v>2.4853999999999998</v>
      </c>
      <c r="AA56">
        <v>0.68569999999999998</v>
      </c>
      <c r="AB56">
        <v>12.638999999999999</v>
      </c>
      <c r="AC56">
        <v>0.80500000000000005</v>
      </c>
      <c r="AD56" t="s">
        <v>33</v>
      </c>
      <c r="AE56">
        <v>6.1387</v>
      </c>
      <c r="AF56">
        <v>3.4723999999999999</v>
      </c>
      <c r="AG56">
        <v>0.69499999999999995</v>
      </c>
      <c r="AH56">
        <v>7113.5344999999998</v>
      </c>
      <c r="AJ56">
        <v>3.6345999999999998</v>
      </c>
      <c r="AK56">
        <v>27.012599999999999</v>
      </c>
      <c r="AL56">
        <v>1.5952</v>
      </c>
      <c r="AM56">
        <v>39.0886</v>
      </c>
      <c r="AN56">
        <v>0.73170000000000002</v>
      </c>
      <c r="AO56">
        <v>195.11080000000001</v>
      </c>
      <c r="AP56">
        <v>49.129199999999997</v>
      </c>
      <c r="AQ56">
        <v>40.478099999999998</v>
      </c>
      <c r="AR56">
        <v>114.759</v>
      </c>
      <c r="AS56">
        <v>95061.3606</v>
      </c>
      <c r="AU56" s="1">
        <f t="shared" si="0"/>
        <v>44001</v>
      </c>
      <c r="AV56" s="29">
        <f t="shared" si="1"/>
        <v>5.6411976827243278</v>
      </c>
      <c r="AW56" s="30">
        <f t="shared" si="2"/>
        <v>-0.5852125119579813</v>
      </c>
    </row>
    <row r="57" spans="1:54" x14ac:dyDescent="0.25">
      <c r="A57" s="37">
        <v>44008</v>
      </c>
      <c r="B57" s="5">
        <v>4.9939</v>
      </c>
      <c r="C57">
        <v>0.40110000000000001</v>
      </c>
      <c r="D57">
        <v>-0.253</v>
      </c>
      <c r="E57">
        <v>51.317300000000003</v>
      </c>
      <c r="F57">
        <v>3.4632000000000001</v>
      </c>
      <c r="G57">
        <v>0</v>
      </c>
      <c r="H57">
        <v>22.2103</v>
      </c>
      <c r="I57">
        <v>-2.3319000000000001</v>
      </c>
      <c r="J57">
        <v>60.884999999999998</v>
      </c>
      <c r="K57">
        <v>239468.49400000001</v>
      </c>
      <c r="M57" s="37">
        <v>44008</v>
      </c>
      <c r="N57" s="5">
        <v>2.9508999999999999</v>
      </c>
      <c r="O57">
        <v>11.8338</v>
      </c>
      <c r="P57">
        <v>1.0632999999999999</v>
      </c>
      <c r="Q57">
        <v>42.939599999999999</v>
      </c>
      <c r="R57">
        <v>1.7733000000000001</v>
      </c>
      <c r="S57" t="s">
        <v>33</v>
      </c>
      <c r="T57">
        <v>33.3065</v>
      </c>
      <c r="U57">
        <v>22.997499999999999</v>
      </c>
      <c r="V57">
        <v>45.3</v>
      </c>
      <c r="W57">
        <v>71261.393299999996</v>
      </c>
      <c r="Y57" s="5">
        <v>5.2671000000000001</v>
      </c>
      <c r="Z57">
        <v>2.4853999999999998</v>
      </c>
      <c r="AA57">
        <v>0.68569999999999998</v>
      </c>
      <c r="AB57">
        <v>12.638999999999999</v>
      </c>
      <c r="AC57">
        <v>0.80500000000000005</v>
      </c>
      <c r="AD57" t="s">
        <v>33</v>
      </c>
      <c r="AE57">
        <v>6.1387</v>
      </c>
      <c r="AF57">
        <v>3.4723999999999999</v>
      </c>
      <c r="AG57">
        <v>0.71699999999999997</v>
      </c>
      <c r="AH57">
        <v>7333.8652000000002</v>
      </c>
      <c r="AJ57">
        <v>3.597</v>
      </c>
      <c r="AK57">
        <v>27.012599999999999</v>
      </c>
      <c r="AL57">
        <v>1.5952</v>
      </c>
      <c r="AM57">
        <v>39.0886</v>
      </c>
      <c r="AN57">
        <v>0.73170000000000002</v>
      </c>
      <c r="AO57">
        <v>195.11080000000001</v>
      </c>
      <c r="AP57">
        <v>49.129199999999997</v>
      </c>
      <c r="AQ57">
        <v>40.478099999999998</v>
      </c>
      <c r="AR57">
        <v>113.273</v>
      </c>
      <c r="AS57">
        <v>93829.892900000006</v>
      </c>
      <c r="AU57" s="1">
        <f t="shared" si="0"/>
        <v>44008</v>
      </c>
      <c r="AV57" s="29">
        <f t="shared" si="1"/>
        <v>5.6035976115567898</v>
      </c>
      <c r="AW57" s="30">
        <f t="shared" si="2"/>
        <v>-0.59687212454740057</v>
      </c>
    </row>
    <row r="58" spans="1:54" x14ac:dyDescent="0.25">
      <c r="A58" s="37">
        <v>44015</v>
      </c>
      <c r="B58" s="5">
        <v>11.846399999999999</v>
      </c>
      <c r="C58">
        <v>-7.5980999999999996</v>
      </c>
      <c r="D58">
        <v>-1.0952</v>
      </c>
      <c r="E58">
        <v>54.377200000000002</v>
      </c>
      <c r="F58">
        <v>8.2751000000000001</v>
      </c>
      <c r="G58">
        <v>0</v>
      </c>
      <c r="H58">
        <v>10.1836</v>
      </c>
      <c r="I58">
        <v>-16.885999999999999</v>
      </c>
      <c r="J58">
        <v>62.79</v>
      </c>
      <c r="K58">
        <v>246961.10269999999</v>
      </c>
      <c r="M58" s="37">
        <v>44015</v>
      </c>
      <c r="N58" s="5">
        <v>5.1660000000000004</v>
      </c>
      <c r="O58">
        <v>4.0209000000000001</v>
      </c>
      <c r="P58">
        <v>0.3674</v>
      </c>
      <c r="Q58">
        <v>43.0931</v>
      </c>
      <c r="R58">
        <v>2.8022</v>
      </c>
      <c r="S58" t="s">
        <v>33</v>
      </c>
      <c r="T58">
        <v>25.299299999999999</v>
      </c>
      <c r="U58">
        <v>13.041</v>
      </c>
      <c r="V58">
        <v>47.45</v>
      </c>
      <c r="W58">
        <v>73516.251999999993</v>
      </c>
      <c r="Y58" s="5">
        <v>10.106</v>
      </c>
      <c r="Z58">
        <v>-2.0121000000000002</v>
      </c>
      <c r="AA58">
        <v>0.26029999999999998</v>
      </c>
      <c r="AB58">
        <v>10.6599</v>
      </c>
      <c r="AC58">
        <v>0.35360000000000003</v>
      </c>
      <c r="AD58" t="s">
        <v>33</v>
      </c>
      <c r="AE58">
        <v>2.7591999999999999</v>
      </c>
      <c r="AF58">
        <v>-9.9900000000000003E-2</v>
      </c>
      <c r="AG58">
        <v>0.68600000000000005</v>
      </c>
      <c r="AH58">
        <v>7019.1071000000002</v>
      </c>
      <c r="AJ58">
        <v>3.4066000000000001</v>
      </c>
      <c r="AK58">
        <v>26.104600000000001</v>
      </c>
      <c r="AL58">
        <v>1.1527000000000001</v>
      </c>
      <c r="AM58">
        <v>38.769799999999996</v>
      </c>
      <c r="AN58">
        <v>0.62819999999999998</v>
      </c>
      <c r="AO58">
        <v>195.11080000000001</v>
      </c>
      <c r="AP58">
        <v>49.403300000000002</v>
      </c>
      <c r="AQ58">
        <v>39.525100000000002</v>
      </c>
      <c r="AR58">
        <v>113.129</v>
      </c>
      <c r="AS58">
        <v>93710.718599999993</v>
      </c>
      <c r="AU58" s="1">
        <f t="shared" si="0"/>
        <v>44015</v>
      </c>
      <c r="AV58" s="29">
        <f t="shared" si="1"/>
        <v>11.284259301248548</v>
      </c>
      <c r="AW58" s="30">
        <f t="shared" si="2"/>
        <v>1.1646754602493203</v>
      </c>
    </row>
    <row r="59" spans="1:54" x14ac:dyDescent="0.25">
      <c r="A59" s="37">
        <v>44022</v>
      </c>
      <c r="B59" s="5">
        <v>12.079599999999999</v>
      </c>
      <c r="C59">
        <v>-7.5980999999999996</v>
      </c>
      <c r="D59">
        <v>-1.0952</v>
      </c>
      <c r="E59">
        <v>54.377200000000002</v>
      </c>
      <c r="F59">
        <v>8.2751000000000001</v>
      </c>
      <c r="G59">
        <v>0</v>
      </c>
      <c r="H59">
        <v>10.1836</v>
      </c>
      <c r="I59">
        <v>-16.885999999999999</v>
      </c>
      <c r="J59">
        <v>66.989999999999995</v>
      </c>
      <c r="K59">
        <v>263480.24</v>
      </c>
      <c r="M59" s="37">
        <v>44022</v>
      </c>
      <c r="N59" s="5">
        <v>5.2877000000000001</v>
      </c>
      <c r="O59">
        <v>4.0209000000000001</v>
      </c>
      <c r="P59">
        <v>0.3674</v>
      </c>
      <c r="Q59">
        <v>43.0931</v>
      </c>
      <c r="R59">
        <v>2.8022</v>
      </c>
      <c r="S59" t="s">
        <v>33</v>
      </c>
      <c r="T59">
        <v>25.299299999999999</v>
      </c>
      <c r="U59">
        <v>13.041</v>
      </c>
      <c r="V59">
        <v>50.9</v>
      </c>
      <c r="W59">
        <v>78861.480100000001</v>
      </c>
      <c r="Y59" s="5">
        <v>11.142200000000001</v>
      </c>
      <c r="Z59">
        <v>-2.0121000000000002</v>
      </c>
      <c r="AA59">
        <v>0.26029999999999998</v>
      </c>
      <c r="AB59">
        <v>10.6599</v>
      </c>
      <c r="AC59">
        <v>0.35360000000000003</v>
      </c>
      <c r="AD59" t="s">
        <v>33</v>
      </c>
      <c r="AE59">
        <v>2.7591999999999999</v>
      </c>
      <c r="AF59">
        <v>-9.9900000000000003E-2</v>
      </c>
      <c r="AG59">
        <v>0.77200000000000002</v>
      </c>
      <c r="AH59">
        <v>7900.4299000000001</v>
      </c>
      <c r="AJ59">
        <v>3.714</v>
      </c>
      <c r="AK59">
        <v>26.104600000000001</v>
      </c>
      <c r="AL59">
        <v>1.1527000000000001</v>
      </c>
      <c r="AM59">
        <v>38.769799999999996</v>
      </c>
      <c r="AN59">
        <v>0.62819999999999998</v>
      </c>
      <c r="AO59">
        <v>195.11080000000001</v>
      </c>
      <c r="AP59">
        <v>49.403300000000002</v>
      </c>
      <c r="AQ59">
        <v>39.525100000000002</v>
      </c>
      <c r="AR59">
        <v>125.645</v>
      </c>
      <c r="AS59">
        <v>104078.8821</v>
      </c>
      <c r="AU59" s="1">
        <f t="shared" si="0"/>
        <v>44022</v>
      </c>
      <c r="AV59" s="29">
        <f t="shared" si="1"/>
        <v>11.632834293587878</v>
      </c>
      <c r="AW59" s="30">
        <f t="shared" si="2"/>
        <v>1.2727669941968736</v>
      </c>
      <c r="AX59">
        <f t="shared" ref="AX59:AX122" ca="1" si="3">+_xlfn.PERCENTILE.INC(OFFSET(AW59,-52,0,52,1),0.9)</f>
        <v>-0.40281717984162341</v>
      </c>
      <c r="AY59">
        <f t="shared" ref="AY59:AY122" ca="1" si="4">+_xlfn.PERCENTILE.INC(OFFSET(AW59,-52,0,52,1),0.75)</f>
        <v>-0.45210401761453972</v>
      </c>
      <c r="AZ59">
        <f t="shared" ref="AZ59:AZ122" ca="1" si="5">+_xlfn.PERCENTILE.INC(OFFSET(AW59,-52,0,52,1),0.5)</f>
        <v>-0.57174676050652962</v>
      </c>
      <c r="BA59">
        <f t="shared" ref="BA59:BA122" ca="1" si="6">+_xlfn.PERCENTILE.INC(OFFSET(AW59,-52,0,52,1),0.25)</f>
        <v>-0.78710215267966566</v>
      </c>
      <c r="BB59">
        <f t="shared" ref="BB59:BB122" ca="1" si="7">+_xlfn.PERCENTILE.INC(OFFSET(AW59,-52,0,52,1),0.1)</f>
        <v>-0.96004028515323436</v>
      </c>
    </row>
    <row r="60" spans="1:54" x14ac:dyDescent="0.25">
      <c r="A60" s="37">
        <v>44029</v>
      </c>
      <c r="B60" s="5">
        <v>12.5002</v>
      </c>
      <c r="C60">
        <v>-7.5980999999999996</v>
      </c>
      <c r="D60">
        <v>-1.0952</v>
      </c>
      <c r="E60">
        <v>54.377200000000002</v>
      </c>
      <c r="F60">
        <v>8.2751000000000001</v>
      </c>
      <c r="G60">
        <v>0</v>
      </c>
      <c r="H60">
        <v>10.1836</v>
      </c>
      <c r="I60">
        <v>-16.885999999999999</v>
      </c>
      <c r="J60">
        <v>74.564999999999998</v>
      </c>
      <c r="K60">
        <v>293273.68410000001</v>
      </c>
      <c r="M60" s="37">
        <v>44029</v>
      </c>
      <c r="N60" s="5">
        <v>5.2811000000000003</v>
      </c>
      <c r="O60">
        <v>4.0209000000000001</v>
      </c>
      <c r="P60">
        <v>0.3674</v>
      </c>
      <c r="Q60">
        <v>43.0931</v>
      </c>
      <c r="R60">
        <v>2.8022</v>
      </c>
      <c r="S60" t="s">
        <v>33</v>
      </c>
      <c r="T60">
        <v>25.299299999999999</v>
      </c>
      <c r="U60">
        <v>13.041</v>
      </c>
      <c r="V60">
        <v>51.7</v>
      </c>
      <c r="W60">
        <v>80100.953200000004</v>
      </c>
      <c r="Y60" s="5">
        <v>11.9564</v>
      </c>
      <c r="Z60">
        <v>-2.0121000000000002</v>
      </c>
      <c r="AA60">
        <v>0.26029999999999998</v>
      </c>
      <c r="AB60">
        <v>10.6599</v>
      </c>
      <c r="AC60">
        <v>0.35360000000000003</v>
      </c>
      <c r="AD60" t="s">
        <v>33</v>
      </c>
      <c r="AE60">
        <v>2.7591999999999999</v>
      </c>
      <c r="AF60">
        <v>-9.9900000000000003E-2</v>
      </c>
      <c r="AG60">
        <v>0.84</v>
      </c>
      <c r="AH60">
        <v>8592.8978999999999</v>
      </c>
      <c r="AJ60">
        <v>3.661</v>
      </c>
      <c r="AK60">
        <v>26.104600000000001</v>
      </c>
      <c r="AL60">
        <v>1.1527000000000001</v>
      </c>
      <c r="AM60">
        <v>38.769799999999996</v>
      </c>
      <c r="AN60">
        <v>0.62819999999999998</v>
      </c>
      <c r="AO60">
        <v>195.11080000000001</v>
      </c>
      <c r="AP60">
        <v>49.403300000000002</v>
      </c>
      <c r="AQ60">
        <v>39.525100000000002</v>
      </c>
      <c r="AR60">
        <v>123.48699999999999</v>
      </c>
      <c r="AS60">
        <v>102291.2677</v>
      </c>
      <c r="AU60" s="1">
        <f t="shared" si="0"/>
        <v>44029</v>
      </c>
      <c r="AV60" s="29">
        <f t="shared" si="1"/>
        <v>11.954495826567305</v>
      </c>
      <c r="AW60" s="30">
        <f t="shared" si="2"/>
        <v>1.372512785707416</v>
      </c>
      <c r="AX60">
        <f t="shared" ca="1" si="3"/>
        <v>-0.39935195369299192</v>
      </c>
      <c r="AY60">
        <f t="shared" ca="1" si="4"/>
        <v>-0.44850011038859516</v>
      </c>
      <c r="AZ60">
        <f t="shared" ca="1" si="5"/>
        <v>-0.55665167406074201</v>
      </c>
      <c r="BA60">
        <f t="shared" ca="1" si="6"/>
        <v>-0.78710215267966566</v>
      </c>
      <c r="BB60">
        <f t="shared" ca="1" si="7"/>
        <v>-0.96004028515323436</v>
      </c>
    </row>
    <row r="61" spans="1:54" x14ac:dyDescent="0.25">
      <c r="A61" s="37">
        <v>44036</v>
      </c>
      <c r="B61" s="5">
        <v>12.6182</v>
      </c>
      <c r="C61">
        <v>-7.5980999999999996</v>
      </c>
      <c r="D61">
        <v>-1.0952</v>
      </c>
      <c r="E61">
        <v>54.377200000000002</v>
      </c>
      <c r="F61">
        <v>8.2751000000000001</v>
      </c>
      <c r="G61">
        <v>0</v>
      </c>
      <c r="H61">
        <v>10.1836</v>
      </c>
      <c r="I61">
        <v>-16.885999999999999</v>
      </c>
      <c r="J61">
        <v>76.69</v>
      </c>
      <c r="K61">
        <v>301631.58100000001</v>
      </c>
      <c r="M61" s="37">
        <v>44036</v>
      </c>
      <c r="N61" s="5">
        <v>5.4828999999999999</v>
      </c>
      <c r="O61">
        <v>4.0209000000000001</v>
      </c>
      <c r="P61">
        <v>0.3674</v>
      </c>
      <c r="Q61">
        <v>43.0931</v>
      </c>
      <c r="R61">
        <v>2.8022</v>
      </c>
      <c r="S61" t="s">
        <v>33</v>
      </c>
      <c r="T61">
        <v>25.299299999999999</v>
      </c>
      <c r="U61">
        <v>13.041</v>
      </c>
      <c r="V61">
        <v>57.35</v>
      </c>
      <c r="W61">
        <v>88854.732399999994</v>
      </c>
      <c r="Y61" s="5">
        <v>11.9194</v>
      </c>
      <c r="Z61">
        <v>-2.0121000000000002</v>
      </c>
      <c r="AA61">
        <v>0.26029999999999998</v>
      </c>
      <c r="AB61">
        <v>10.6599</v>
      </c>
      <c r="AC61">
        <v>0.35360000000000003</v>
      </c>
      <c r="AD61" t="s">
        <v>33</v>
      </c>
      <c r="AE61">
        <v>2.7591999999999999</v>
      </c>
      <c r="AF61">
        <v>-9.9900000000000003E-2</v>
      </c>
      <c r="AG61">
        <v>0.83699999999999997</v>
      </c>
      <c r="AH61">
        <v>8561.4220999999998</v>
      </c>
      <c r="AJ61">
        <v>4.0190999999999999</v>
      </c>
      <c r="AK61">
        <v>26.104600000000001</v>
      </c>
      <c r="AL61">
        <v>1.1527000000000001</v>
      </c>
      <c r="AM61">
        <v>38.769799999999996</v>
      </c>
      <c r="AN61">
        <v>0.62819999999999998</v>
      </c>
      <c r="AO61">
        <v>195.11080000000001</v>
      </c>
      <c r="AP61">
        <v>49.403300000000002</v>
      </c>
      <c r="AQ61">
        <v>39.525100000000002</v>
      </c>
      <c r="AR61">
        <v>138.066</v>
      </c>
      <c r="AS61">
        <v>114367.59600000001</v>
      </c>
      <c r="AU61" s="1">
        <f t="shared" si="0"/>
        <v>44036</v>
      </c>
      <c r="AV61" s="29">
        <f t="shared" si="1"/>
        <v>12.166291436861192</v>
      </c>
      <c r="AW61" s="30">
        <f t="shared" si="2"/>
        <v>1.4381896498059694</v>
      </c>
      <c r="AX61">
        <f t="shared" ca="1" si="3"/>
        <v>-0.3929669316323301</v>
      </c>
      <c r="AY61">
        <f t="shared" ca="1" si="4"/>
        <v>-0.44449446736038328</v>
      </c>
      <c r="AZ61">
        <f t="shared" ca="1" si="5"/>
        <v>-0.54693973388530392</v>
      </c>
      <c r="BA61">
        <f t="shared" ca="1" si="6"/>
        <v>-0.783593048439721</v>
      </c>
      <c r="BB61">
        <f t="shared" ca="1" si="7"/>
        <v>-0.96004028515323436</v>
      </c>
    </row>
    <row r="62" spans="1:54" x14ac:dyDescent="0.25">
      <c r="A62" s="37">
        <v>44043</v>
      </c>
      <c r="B62" s="5">
        <v>12.581200000000001</v>
      </c>
      <c r="C62">
        <v>-7.5980999999999996</v>
      </c>
      <c r="D62">
        <v>-1.0952</v>
      </c>
      <c r="E62">
        <v>54.377200000000002</v>
      </c>
      <c r="F62">
        <v>8.2751000000000001</v>
      </c>
      <c r="G62">
        <v>0</v>
      </c>
      <c r="H62">
        <v>10.1836</v>
      </c>
      <c r="I62">
        <v>-16.885999999999999</v>
      </c>
      <c r="J62">
        <v>76.025000000000006</v>
      </c>
      <c r="K62">
        <v>299016.05089999997</v>
      </c>
      <c r="M62" s="37">
        <v>44043</v>
      </c>
      <c r="N62" s="5">
        <v>5.3226000000000004</v>
      </c>
      <c r="O62">
        <v>4.0209000000000001</v>
      </c>
      <c r="P62">
        <v>0.3674</v>
      </c>
      <c r="Q62">
        <v>43.0931</v>
      </c>
      <c r="R62">
        <v>2.8022</v>
      </c>
      <c r="S62" t="s">
        <v>33</v>
      </c>
      <c r="T62">
        <v>25.299299999999999</v>
      </c>
      <c r="U62">
        <v>13.041</v>
      </c>
      <c r="V62">
        <v>54.2</v>
      </c>
      <c r="W62">
        <v>83974.306899999996</v>
      </c>
      <c r="Y62" s="5">
        <v>13.066700000000001</v>
      </c>
      <c r="Z62">
        <v>-2.0121000000000002</v>
      </c>
      <c r="AA62">
        <v>0.26029999999999998</v>
      </c>
      <c r="AB62">
        <v>10.6599</v>
      </c>
      <c r="AC62">
        <v>0.35360000000000003</v>
      </c>
      <c r="AD62" t="s">
        <v>33</v>
      </c>
      <c r="AE62">
        <v>2.7591999999999999</v>
      </c>
      <c r="AF62">
        <v>-9.9900000000000003E-2</v>
      </c>
      <c r="AG62">
        <v>0.93200000000000005</v>
      </c>
      <c r="AH62">
        <v>9537.1723999999995</v>
      </c>
      <c r="AJ62">
        <v>3.9578000000000002</v>
      </c>
      <c r="AK62">
        <v>26.104600000000001</v>
      </c>
      <c r="AL62">
        <v>1.1527000000000001</v>
      </c>
      <c r="AM62">
        <v>38.769799999999996</v>
      </c>
      <c r="AN62">
        <v>0.62819999999999998</v>
      </c>
      <c r="AO62">
        <v>195.11080000000001</v>
      </c>
      <c r="AP62">
        <v>49.403300000000002</v>
      </c>
      <c r="AQ62">
        <v>39.525100000000002</v>
      </c>
      <c r="AR62">
        <v>135.572</v>
      </c>
      <c r="AS62">
        <v>112301.9083</v>
      </c>
      <c r="AU62" s="1">
        <f t="shared" si="0"/>
        <v>44043</v>
      </c>
      <c r="AV62" s="29">
        <f t="shared" si="1"/>
        <v>12.172471689624789</v>
      </c>
      <c r="AW62" s="30">
        <f t="shared" si="2"/>
        <v>1.4401061183309132</v>
      </c>
      <c r="AX62">
        <f t="shared" ca="1" si="3"/>
        <v>-0.38541493511429986</v>
      </c>
      <c r="AY62">
        <f t="shared" ca="1" si="4"/>
        <v>-0.43743687472137399</v>
      </c>
      <c r="AZ62">
        <f t="shared" ca="1" si="5"/>
        <v>-0.53312622686903777</v>
      </c>
      <c r="BA62">
        <f t="shared" ca="1" si="6"/>
        <v>-0.783593048439721</v>
      </c>
      <c r="BB62">
        <f t="shared" ca="1" si="7"/>
        <v>-0.96004028515323436</v>
      </c>
    </row>
    <row r="63" spans="1:54" x14ac:dyDescent="0.25">
      <c r="A63" s="37">
        <v>44050</v>
      </c>
      <c r="B63" s="5">
        <v>12.850199999999999</v>
      </c>
      <c r="C63">
        <v>-7.5980999999999996</v>
      </c>
      <c r="D63">
        <v>-1.0952</v>
      </c>
      <c r="E63">
        <v>54.377200000000002</v>
      </c>
      <c r="F63">
        <v>8.2751000000000001</v>
      </c>
      <c r="G63">
        <v>0</v>
      </c>
      <c r="H63">
        <v>10.1836</v>
      </c>
      <c r="I63">
        <v>-16.885999999999999</v>
      </c>
      <c r="J63">
        <v>80.87</v>
      </c>
      <c r="K63">
        <v>318072.05570000003</v>
      </c>
      <c r="M63" s="37">
        <v>44050</v>
      </c>
      <c r="N63" s="5">
        <v>5.4779</v>
      </c>
      <c r="O63">
        <v>4.0209000000000001</v>
      </c>
      <c r="P63">
        <v>0.3674</v>
      </c>
      <c r="Q63">
        <v>43.0931</v>
      </c>
      <c r="R63">
        <v>2.8022</v>
      </c>
      <c r="S63" t="s">
        <v>33</v>
      </c>
      <c r="T63">
        <v>25.299299999999999</v>
      </c>
      <c r="U63">
        <v>13.041</v>
      </c>
      <c r="V63">
        <v>58.85</v>
      </c>
      <c r="W63">
        <v>91178.744600000005</v>
      </c>
      <c r="Y63" s="5">
        <v>14.362</v>
      </c>
      <c r="Z63">
        <v>-2.0121000000000002</v>
      </c>
      <c r="AA63">
        <v>0.26029999999999998</v>
      </c>
      <c r="AB63">
        <v>10.6599</v>
      </c>
      <c r="AC63">
        <v>0.35360000000000003</v>
      </c>
      <c r="AD63" t="s">
        <v>33</v>
      </c>
      <c r="AE63">
        <v>2.7591999999999999</v>
      </c>
      <c r="AF63">
        <v>-9.9900000000000003E-2</v>
      </c>
      <c r="AG63">
        <v>1.04</v>
      </c>
      <c r="AH63">
        <v>10638.825999999999</v>
      </c>
      <c r="AJ63">
        <v>4.2074999999999996</v>
      </c>
      <c r="AK63">
        <v>26.104600000000001</v>
      </c>
      <c r="AL63">
        <v>1.1527000000000001</v>
      </c>
      <c r="AM63">
        <v>38.769799999999996</v>
      </c>
      <c r="AN63">
        <v>0.62819999999999998</v>
      </c>
      <c r="AO63">
        <v>195.11080000000001</v>
      </c>
      <c r="AP63">
        <v>49.403300000000002</v>
      </c>
      <c r="AQ63">
        <v>39.525100000000002</v>
      </c>
      <c r="AR63">
        <v>145.739</v>
      </c>
      <c r="AS63">
        <v>120723.5583</v>
      </c>
      <c r="AU63" s="1">
        <f t="shared" si="0"/>
        <v>44050</v>
      </c>
      <c r="AV63" s="29">
        <f t="shared" si="1"/>
        <v>12.497324146823606</v>
      </c>
      <c r="AW63" s="30">
        <f t="shared" si="2"/>
        <v>1.5408414010590257</v>
      </c>
      <c r="AX63">
        <f t="shared" ca="1" si="3"/>
        <v>-0.36900922111117962</v>
      </c>
      <c r="AY63">
        <f t="shared" ca="1" si="4"/>
        <v>-0.43625021260498392</v>
      </c>
      <c r="AZ63">
        <f t="shared" ca="1" si="5"/>
        <v>-0.52579567658060267</v>
      </c>
      <c r="BA63">
        <f t="shared" ca="1" si="6"/>
        <v>-0.75718230705707823</v>
      </c>
      <c r="BB63">
        <f t="shared" ca="1" si="7"/>
        <v>-0.96004028515323436</v>
      </c>
    </row>
    <row r="64" spans="1:54" x14ac:dyDescent="0.25">
      <c r="A64" s="37">
        <v>44057</v>
      </c>
      <c r="B64" s="5">
        <v>12.379099999999999</v>
      </c>
      <c r="C64">
        <v>-7.5980999999999996</v>
      </c>
      <c r="D64">
        <v>-1.0952</v>
      </c>
      <c r="E64">
        <v>54.377200000000002</v>
      </c>
      <c r="F64">
        <v>8.2751000000000001</v>
      </c>
      <c r="G64">
        <v>0</v>
      </c>
      <c r="H64">
        <v>10.1836</v>
      </c>
      <c r="I64">
        <v>-16.885999999999999</v>
      </c>
      <c r="J64">
        <v>72.385000000000005</v>
      </c>
      <c r="K64">
        <v>284699.46519999998</v>
      </c>
      <c r="M64" s="37">
        <v>44057</v>
      </c>
      <c r="N64" s="5">
        <v>5.3784999999999998</v>
      </c>
      <c r="O64">
        <v>4.0209000000000001</v>
      </c>
      <c r="P64">
        <v>0.3674</v>
      </c>
      <c r="Q64">
        <v>43.0931</v>
      </c>
      <c r="R64">
        <v>2.8022</v>
      </c>
      <c r="S64" t="s">
        <v>33</v>
      </c>
      <c r="T64">
        <v>25.299299999999999</v>
      </c>
      <c r="U64">
        <v>13.041</v>
      </c>
      <c r="V64">
        <v>57.1</v>
      </c>
      <c r="W64">
        <v>88467.397100000002</v>
      </c>
      <c r="Y64" s="5">
        <v>13.2517</v>
      </c>
      <c r="Z64">
        <v>-2.0121000000000002</v>
      </c>
      <c r="AA64">
        <v>0.26029999999999998</v>
      </c>
      <c r="AB64">
        <v>10.6599</v>
      </c>
      <c r="AC64">
        <v>0.35360000000000003</v>
      </c>
      <c r="AD64" t="s">
        <v>33</v>
      </c>
      <c r="AE64">
        <v>2.7591999999999999</v>
      </c>
      <c r="AF64">
        <v>-9.9900000000000003E-2</v>
      </c>
      <c r="AG64">
        <v>0.94799999999999995</v>
      </c>
      <c r="AH64">
        <v>9694.5514999999996</v>
      </c>
      <c r="AJ64">
        <v>3.8</v>
      </c>
      <c r="AK64">
        <v>26.104600000000001</v>
      </c>
      <c r="AL64">
        <v>1.1527000000000001</v>
      </c>
      <c r="AM64">
        <v>38.769799999999996</v>
      </c>
      <c r="AN64">
        <v>0.62819999999999998</v>
      </c>
      <c r="AO64">
        <v>195.11080000000001</v>
      </c>
      <c r="AP64">
        <v>49.403300000000002</v>
      </c>
      <c r="AQ64">
        <v>39.525100000000002</v>
      </c>
      <c r="AR64">
        <v>129.14599999999999</v>
      </c>
      <c r="AS64">
        <v>106978.7899</v>
      </c>
      <c r="AU64" s="1">
        <f t="shared" si="0"/>
        <v>44057</v>
      </c>
      <c r="AV64" s="29">
        <f t="shared" si="1"/>
        <v>11.845366420396944</v>
      </c>
      <c r="AW64" s="30">
        <f t="shared" si="2"/>
        <v>1.3386722487469884</v>
      </c>
      <c r="AX64">
        <f t="shared" ca="1" si="3"/>
        <v>1.0114807842119349</v>
      </c>
      <c r="AY64">
        <f t="shared" ca="1" si="4"/>
        <v>-0.43094919120037534</v>
      </c>
      <c r="AZ64">
        <f t="shared" ca="1" si="5"/>
        <v>-0.5229903802701239</v>
      </c>
      <c r="BA64">
        <f t="shared" ca="1" si="6"/>
        <v>-0.75718230705707823</v>
      </c>
      <c r="BB64">
        <f t="shared" ca="1" si="7"/>
        <v>-0.96004028515323436</v>
      </c>
    </row>
    <row r="65" spans="1:54" x14ac:dyDescent="0.25">
      <c r="A65" s="37">
        <v>44064</v>
      </c>
      <c r="B65" s="5">
        <v>12.331099999999999</v>
      </c>
      <c r="C65">
        <v>-7.5980999999999996</v>
      </c>
      <c r="D65">
        <v>-1.0952</v>
      </c>
      <c r="E65">
        <v>54.377200000000002</v>
      </c>
      <c r="F65">
        <v>8.2751000000000001</v>
      </c>
      <c r="G65">
        <v>0</v>
      </c>
      <c r="H65">
        <v>10.1836</v>
      </c>
      <c r="I65">
        <v>-16.885999999999999</v>
      </c>
      <c r="J65">
        <v>71.52</v>
      </c>
      <c r="K65">
        <v>281297.30959999998</v>
      </c>
      <c r="M65" s="37">
        <v>44064</v>
      </c>
      <c r="N65" s="5">
        <v>5.4088000000000003</v>
      </c>
      <c r="O65">
        <v>4.0209000000000001</v>
      </c>
      <c r="P65">
        <v>0.3674</v>
      </c>
      <c r="Q65">
        <v>43.0931</v>
      </c>
      <c r="R65">
        <v>2.8022</v>
      </c>
      <c r="S65" t="s">
        <v>33</v>
      </c>
      <c r="T65">
        <v>25.299299999999999</v>
      </c>
      <c r="U65">
        <v>13.041</v>
      </c>
      <c r="V65">
        <v>58.9</v>
      </c>
      <c r="W65">
        <v>90810.899699999994</v>
      </c>
      <c r="Y65" s="5">
        <v>14.473000000000001</v>
      </c>
      <c r="Z65">
        <v>-2.0121000000000002</v>
      </c>
      <c r="AA65">
        <v>0.26029999999999998</v>
      </c>
      <c r="AB65">
        <v>10.6599</v>
      </c>
      <c r="AC65">
        <v>0.35360000000000003</v>
      </c>
      <c r="AD65" t="s">
        <v>33</v>
      </c>
      <c r="AE65">
        <v>2.7591999999999999</v>
      </c>
      <c r="AF65">
        <v>-9.9900000000000003E-2</v>
      </c>
      <c r="AG65">
        <v>1.0489999999999999</v>
      </c>
      <c r="AH65">
        <v>10733.2534</v>
      </c>
      <c r="AJ65">
        <v>3.7058</v>
      </c>
      <c r="AK65">
        <v>26.104600000000001</v>
      </c>
      <c r="AL65">
        <v>1.1527000000000001</v>
      </c>
      <c r="AM65">
        <v>38.769799999999996</v>
      </c>
      <c r="AN65">
        <v>0.62819999999999998</v>
      </c>
      <c r="AO65">
        <v>195.11080000000001</v>
      </c>
      <c r="AP65">
        <v>49.403300000000002</v>
      </c>
      <c r="AQ65">
        <v>39.525100000000002</v>
      </c>
      <c r="AR65">
        <v>125.31</v>
      </c>
      <c r="AS65">
        <v>103800.80869999999</v>
      </c>
      <c r="AU65" s="1">
        <f t="shared" si="0"/>
        <v>44064</v>
      </c>
      <c r="AV65" s="29">
        <f t="shared" si="1"/>
        <v>11.753927148613883</v>
      </c>
      <c r="AW65" s="30">
        <f t="shared" si="2"/>
        <v>1.3103173427230455</v>
      </c>
      <c r="AX65">
        <f t="shared" ca="1" si="3"/>
        <v>1.2619578408021181</v>
      </c>
      <c r="AY65">
        <f t="shared" ca="1" si="4"/>
        <v>-0.41849115685347449</v>
      </c>
      <c r="AZ65">
        <f t="shared" ca="1" si="5"/>
        <v>-0.50712708754444757</v>
      </c>
      <c r="BA65">
        <f t="shared" ca="1" si="6"/>
        <v>-0.73479555288917497</v>
      </c>
      <c r="BB65">
        <f t="shared" ca="1" si="7"/>
        <v>-0.93059893236336899</v>
      </c>
    </row>
    <row r="66" spans="1:54" x14ac:dyDescent="0.25">
      <c r="A66" s="37">
        <v>44071</v>
      </c>
      <c r="B66" s="5">
        <v>12.3086</v>
      </c>
      <c r="C66">
        <v>-7.5980999999999996</v>
      </c>
      <c r="D66">
        <v>-1.0952</v>
      </c>
      <c r="E66">
        <v>54.377200000000002</v>
      </c>
      <c r="F66">
        <v>8.2751000000000001</v>
      </c>
      <c r="G66">
        <v>0</v>
      </c>
      <c r="H66">
        <v>10.1836</v>
      </c>
      <c r="I66">
        <v>-16.885999999999999</v>
      </c>
      <c r="J66">
        <v>71.114999999999995</v>
      </c>
      <c r="K66">
        <v>279704.39270000003</v>
      </c>
      <c r="M66" s="37">
        <v>44071</v>
      </c>
      <c r="N66" s="5">
        <v>5.4013999999999998</v>
      </c>
      <c r="O66">
        <v>4.0209000000000001</v>
      </c>
      <c r="P66">
        <v>0.3674</v>
      </c>
      <c r="Q66">
        <v>43.0931</v>
      </c>
      <c r="R66">
        <v>2.8022</v>
      </c>
      <c r="S66" t="s">
        <v>33</v>
      </c>
      <c r="T66">
        <v>25.299299999999999</v>
      </c>
      <c r="U66">
        <v>13.041</v>
      </c>
      <c r="V66">
        <v>59.5</v>
      </c>
      <c r="W66">
        <v>91735.968299999993</v>
      </c>
      <c r="Y66" s="5">
        <v>12.8446</v>
      </c>
      <c r="Z66">
        <v>-2.0121000000000002</v>
      </c>
      <c r="AA66">
        <v>0.26029999999999998</v>
      </c>
      <c r="AB66">
        <v>10.6599</v>
      </c>
      <c r="AC66">
        <v>0.35360000000000003</v>
      </c>
      <c r="AD66" t="s">
        <v>33</v>
      </c>
      <c r="AE66">
        <v>2.7591999999999999</v>
      </c>
      <c r="AF66">
        <v>-9.9900000000000003E-2</v>
      </c>
      <c r="AG66">
        <v>1.1319999999999999</v>
      </c>
      <c r="AH66">
        <v>9348.3174999999992</v>
      </c>
      <c r="AJ66">
        <v>3.4761000000000002</v>
      </c>
      <c r="AK66">
        <v>26.104600000000001</v>
      </c>
      <c r="AL66">
        <v>1.1527000000000001</v>
      </c>
      <c r="AM66">
        <v>38.769799999999996</v>
      </c>
      <c r="AN66">
        <v>0.62819999999999998</v>
      </c>
      <c r="AO66">
        <v>195.11080000000001</v>
      </c>
      <c r="AP66">
        <v>49.403300000000002</v>
      </c>
      <c r="AQ66">
        <v>39.525100000000002</v>
      </c>
      <c r="AR66">
        <v>115.958</v>
      </c>
      <c r="AS66">
        <v>96054.479699999996</v>
      </c>
      <c r="AU66" s="1">
        <f t="shared" si="0"/>
        <v>44071</v>
      </c>
      <c r="AV66" s="29">
        <f t="shared" si="1"/>
        <v>11.534593256055826</v>
      </c>
      <c r="AW66" s="30">
        <f t="shared" si="2"/>
        <v>1.2423028912726419</v>
      </c>
      <c r="AX66">
        <f t="shared" ca="1" si="3"/>
        <v>1.3065623078704283</v>
      </c>
      <c r="AY66">
        <f t="shared" ca="1" si="4"/>
        <v>-0.40571508015659608</v>
      </c>
      <c r="AZ66">
        <f t="shared" ca="1" si="5"/>
        <v>-0.49099367183573378</v>
      </c>
      <c r="BA66">
        <f t="shared" ca="1" si="6"/>
        <v>-0.69422662110691236</v>
      </c>
      <c r="BB66">
        <f t="shared" ca="1" si="7"/>
        <v>-0.84446009002840416</v>
      </c>
    </row>
    <row r="67" spans="1:54" x14ac:dyDescent="0.25">
      <c r="A67" s="37">
        <v>44078</v>
      </c>
      <c r="B67" s="5">
        <v>12.092599999999999</v>
      </c>
      <c r="C67">
        <v>-7.5980999999999996</v>
      </c>
      <c r="D67">
        <v>-1.0952</v>
      </c>
      <c r="E67">
        <v>54.377200000000002</v>
      </c>
      <c r="F67">
        <v>8.2751000000000001</v>
      </c>
      <c r="G67">
        <v>0</v>
      </c>
      <c r="H67">
        <v>10.1836</v>
      </c>
      <c r="I67">
        <v>-16.885999999999999</v>
      </c>
      <c r="J67">
        <v>67.224999999999994</v>
      </c>
      <c r="K67">
        <v>264404.52510000003</v>
      </c>
      <c r="M67" s="37">
        <v>44078</v>
      </c>
      <c r="N67" s="5">
        <v>5.3536000000000001</v>
      </c>
      <c r="O67">
        <v>4.0209000000000001</v>
      </c>
      <c r="P67">
        <v>0.3674</v>
      </c>
      <c r="Q67">
        <v>43.0931</v>
      </c>
      <c r="R67">
        <v>2.8022</v>
      </c>
      <c r="S67" t="s">
        <v>33</v>
      </c>
      <c r="T67">
        <v>25.299299999999999</v>
      </c>
      <c r="U67">
        <v>13.041</v>
      </c>
      <c r="V67">
        <v>59.1</v>
      </c>
      <c r="W67">
        <v>91119.255900000004</v>
      </c>
      <c r="Y67" s="5">
        <v>13.0297</v>
      </c>
      <c r="Z67">
        <v>-2.0121000000000002</v>
      </c>
      <c r="AA67">
        <v>0.26029999999999998</v>
      </c>
      <c r="AB67">
        <v>10.6599</v>
      </c>
      <c r="AC67">
        <v>0.35360000000000003</v>
      </c>
      <c r="AD67" t="s">
        <v>33</v>
      </c>
      <c r="AE67">
        <v>2.7591999999999999</v>
      </c>
      <c r="AF67">
        <v>-9.9900000000000003E-2</v>
      </c>
      <c r="AG67">
        <v>1.151</v>
      </c>
      <c r="AH67">
        <v>9505.6965999999993</v>
      </c>
      <c r="AJ67">
        <v>3.4878999999999998</v>
      </c>
      <c r="AK67">
        <v>26.104600000000001</v>
      </c>
      <c r="AL67">
        <v>1.1527000000000001</v>
      </c>
      <c r="AM67">
        <v>38.769799999999996</v>
      </c>
      <c r="AN67">
        <v>0.62819999999999998</v>
      </c>
      <c r="AO67">
        <v>195.11080000000001</v>
      </c>
      <c r="AP67">
        <v>49.403300000000002</v>
      </c>
      <c r="AQ67">
        <v>39.525100000000002</v>
      </c>
      <c r="AR67">
        <v>116.438</v>
      </c>
      <c r="AS67">
        <v>96451.727400000003</v>
      </c>
      <c r="AU67" s="1">
        <f t="shared" si="0"/>
        <v>44078</v>
      </c>
      <c r="AV67" s="29">
        <f t="shared" si="1"/>
        <v>11.356410421572978</v>
      </c>
      <c r="AW67" s="30">
        <f t="shared" si="2"/>
        <v>1.1870491974459061</v>
      </c>
      <c r="AX67">
        <f t="shared" ca="1" si="3"/>
        <v>1.3065623078704283</v>
      </c>
      <c r="AY67">
        <f t="shared" ca="1" si="4"/>
        <v>-0.40153262809867324</v>
      </c>
      <c r="AZ67">
        <f t="shared" ca="1" si="5"/>
        <v>-0.48686903323299191</v>
      </c>
      <c r="BA67">
        <f t="shared" ca="1" si="6"/>
        <v>-0.61886718575859145</v>
      </c>
      <c r="BB67">
        <f t="shared" ca="1" si="7"/>
        <v>-0.82218490683398615</v>
      </c>
    </row>
    <row r="68" spans="1:54" x14ac:dyDescent="0.25">
      <c r="A68" s="37">
        <v>44085</v>
      </c>
      <c r="B68" s="5">
        <v>12.069900000000001</v>
      </c>
      <c r="C68">
        <v>-7.5980999999999996</v>
      </c>
      <c r="D68">
        <v>-1.0952</v>
      </c>
      <c r="E68">
        <v>54.377200000000002</v>
      </c>
      <c r="F68">
        <v>8.2751000000000001</v>
      </c>
      <c r="G68">
        <v>0</v>
      </c>
      <c r="H68">
        <v>10.1836</v>
      </c>
      <c r="I68">
        <v>-16.885999999999999</v>
      </c>
      <c r="J68">
        <v>66.814999999999998</v>
      </c>
      <c r="K68">
        <v>262791.94260000001</v>
      </c>
      <c r="M68" s="37">
        <v>44085</v>
      </c>
      <c r="N68" s="5">
        <v>5.3928000000000003</v>
      </c>
      <c r="O68">
        <v>4.0209000000000001</v>
      </c>
      <c r="P68">
        <v>0.3674</v>
      </c>
      <c r="Q68">
        <v>43.0931</v>
      </c>
      <c r="R68">
        <v>2.8022</v>
      </c>
      <c r="S68" t="s">
        <v>33</v>
      </c>
      <c r="T68">
        <v>25.299299999999999</v>
      </c>
      <c r="U68">
        <v>13.041</v>
      </c>
      <c r="V68">
        <v>60.95</v>
      </c>
      <c r="W68">
        <v>93971.550700000007</v>
      </c>
      <c r="Y68" s="5">
        <v>13.2887</v>
      </c>
      <c r="Z68">
        <v>-2.0121000000000002</v>
      </c>
      <c r="AA68">
        <v>0.26029999999999998</v>
      </c>
      <c r="AB68">
        <v>10.6599</v>
      </c>
      <c r="AC68">
        <v>0.35360000000000003</v>
      </c>
      <c r="AD68" t="s">
        <v>33</v>
      </c>
      <c r="AE68">
        <v>2.7591999999999999</v>
      </c>
      <c r="AF68">
        <v>-9.9900000000000003E-2</v>
      </c>
      <c r="AG68">
        <v>1.177</v>
      </c>
      <c r="AH68">
        <v>9726.0272999999997</v>
      </c>
      <c r="AJ68">
        <v>3.4714</v>
      </c>
      <c r="AK68">
        <v>26.104600000000001</v>
      </c>
      <c r="AL68">
        <v>1.1527000000000001</v>
      </c>
      <c r="AM68">
        <v>38.769799999999996</v>
      </c>
      <c r="AN68">
        <v>0.62819999999999998</v>
      </c>
      <c r="AO68">
        <v>195.11080000000001</v>
      </c>
      <c r="AP68">
        <v>49.403300000000002</v>
      </c>
      <c r="AQ68">
        <v>39.525100000000002</v>
      </c>
      <c r="AR68">
        <v>115.76600000000001</v>
      </c>
      <c r="AS68">
        <v>95895.580700000006</v>
      </c>
      <c r="AU68" s="1">
        <f t="shared" si="0"/>
        <v>44085</v>
      </c>
      <c r="AV68" s="29">
        <f t="shared" si="1"/>
        <v>11.298496114287504</v>
      </c>
      <c r="AW68" s="30">
        <f t="shared" si="2"/>
        <v>1.1690902318012828</v>
      </c>
      <c r="AX68">
        <f t="shared" ca="1" si="3"/>
        <v>1.3065623078704283</v>
      </c>
      <c r="AY68">
        <f t="shared" ca="1" si="4"/>
        <v>-0.39733603929773237</v>
      </c>
      <c r="AZ68">
        <f t="shared" ca="1" si="5"/>
        <v>-0.48245044673533127</v>
      </c>
      <c r="BA68">
        <f t="shared" ca="1" si="6"/>
        <v>-0.59743027464648923</v>
      </c>
      <c r="BB68">
        <f t="shared" ca="1" si="7"/>
        <v>-0.81773855113475791</v>
      </c>
    </row>
    <row r="69" spans="1:54" x14ac:dyDescent="0.25">
      <c r="A69" s="37">
        <v>44092</v>
      </c>
      <c r="B69" s="5">
        <v>11.673400000000001</v>
      </c>
      <c r="C69">
        <v>-7.5980999999999996</v>
      </c>
      <c r="D69">
        <v>-1.0952</v>
      </c>
      <c r="E69">
        <v>54.377200000000002</v>
      </c>
      <c r="F69">
        <v>8.2751000000000001</v>
      </c>
      <c r="G69">
        <v>0</v>
      </c>
      <c r="H69">
        <v>10.1836</v>
      </c>
      <c r="I69">
        <v>-16.885999999999999</v>
      </c>
      <c r="J69">
        <v>59.674999999999997</v>
      </c>
      <c r="K69">
        <v>234709.40919999999</v>
      </c>
      <c r="M69" s="37">
        <v>44092</v>
      </c>
      <c r="N69" s="5">
        <v>5.2754000000000003</v>
      </c>
      <c r="O69">
        <v>4.0209000000000001</v>
      </c>
      <c r="P69">
        <v>0.3674</v>
      </c>
      <c r="Q69">
        <v>43.0931</v>
      </c>
      <c r="R69">
        <v>2.8022</v>
      </c>
      <c r="S69" t="s">
        <v>33</v>
      </c>
      <c r="T69">
        <v>25.299299999999999</v>
      </c>
      <c r="U69">
        <v>13.041</v>
      </c>
      <c r="V69">
        <v>58.8</v>
      </c>
      <c r="W69">
        <v>90656.721600000004</v>
      </c>
      <c r="Y69" s="5">
        <v>11.660299999999999</v>
      </c>
      <c r="Z69">
        <v>-2.0121000000000002</v>
      </c>
      <c r="AA69">
        <v>0.26029999999999998</v>
      </c>
      <c r="AB69">
        <v>10.6599</v>
      </c>
      <c r="AC69">
        <v>0.35360000000000003</v>
      </c>
      <c r="AD69" t="s">
        <v>33</v>
      </c>
      <c r="AE69">
        <v>2.7591999999999999</v>
      </c>
      <c r="AF69">
        <v>-9.9900000000000003E-2</v>
      </c>
      <c r="AG69">
        <v>1.01</v>
      </c>
      <c r="AH69">
        <v>8341.0913999999993</v>
      </c>
      <c r="AJ69">
        <v>3.2877000000000001</v>
      </c>
      <c r="AK69">
        <v>26.104600000000001</v>
      </c>
      <c r="AL69">
        <v>1.1527000000000001</v>
      </c>
      <c r="AM69">
        <v>38.769799999999996</v>
      </c>
      <c r="AN69">
        <v>0.62819999999999998</v>
      </c>
      <c r="AO69">
        <v>195.11080000000001</v>
      </c>
      <c r="AP69">
        <v>49.403300000000002</v>
      </c>
      <c r="AQ69">
        <v>39.525100000000002</v>
      </c>
      <c r="AR69">
        <v>108.285</v>
      </c>
      <c r="AS69">
        <v>89698.517500000002</v>
      </c>
      <c r="AU69" s="1">
        <f t="shared" si="0"/>
        <v>44092</v>
      </c>
      <c r="AV69" s="29">
        <f t="shared" si="1"/>
        <v>10.818671249363481</v>
      </c>
      <c r="AW69" s="30">
        <f t="shared" si="2"/>
        <v>1.0202987039646394</v>
      </c>
      <c r="AX69">
        <f t="shared" ca="1" si="3"/>
        <v>1.3065623078704283</v>
      </c>
      <c r="AY69">
        <f t="shared" ca="1" si="4"/>
        <v>-0.39038369841449921</v>
      </c>
      <c r="AZ69">
        <f t="shared" ca="1" si="5"/>
        <v>-0.4728610135688463</v>
      </c>
      <c r="BA69">
        <f t="shared" ca="1" si="6"/>
        <v>-0.59698578846384964</v>
      </c>
      <c r="BB69">
        <f t="shared" ca="1" si="7"/>
        <v>-0.79181482843783091</v>
      </c>
    </row>
    <row r="70" spans="1:54" x14ac:dyDescent="0.25">
      <c r="A70" s="37">
        <v>44099</v>
      </c>
      <c r="B70" s="5">
        <v>11.3644</v>
      </c>
      <c r="C70">
        <v>-7.5980999999999996</v>
      </c>
      <c r="D70">
        <v>-1.0952</v>
      </c>
      <c r="E70">
        <v>54.377200000000002</v>
      </c>
      <c r="F70">
        <v>8.2751000000000001</v>
      </c>
      <c r="G70">
        <v>0</v>
      </c>
      <c r="H70">
        <v>10.1836</v>
      </c>
      <c r="I70">
        <v>-16.885999999999999</v>
      </c>
      <c r="J70">
        <v>54.11</v>
      </c>
      <c r="K70">
        <v>212821.55230000001</v>
      </c>
      <c r="M70" s="37">
        <v>44099</v>
      </c>
      <c r="N70" s="5">
        <v>5.3007</v>
      </c>
      <c r="O70">
        <v>4.0209000000000001</v>
      </c>
      <c r="P70">
        <v>0.3674</v>
      </c>
      <c r="Q70">
        <v>43.0931</v>
      </c>
      <c r="R70">
        <v>2.8022</v>
      </c>
      <c r="S70" t="s">
        <v>33</v>
      </c>
      <c r="T70">
        <v>25.299299999999999</v>
      </c>
      <c r="U70">
        <v>13.041</v>
      </c>
      <c r="V70">
        <v>60.3</v>
      </c>
      <c r="W70">
        <v>92969.393100000001</v>
      </c>
      <c r="Y70" s="5">
        <v>12.0304</v>
      </c>
      <c r="Z70">
        <v>-2.0121000000000002</v>
      </c>
      <c r="AA70">
        <v>0.26029999999999998</v>
      </c>
      <c r="AB70">
        <v>10.6599</v>
      </c>
      <c r="AC70">
        <v>0.35360000000000003</v>
      </c>
      <c r="AD70" t="s">
        <v>33</v>
      </c>
      <c r="AE70">
        <v>2.7591999999999999</v>
      </c>
      <c r="AF70">
        <v>-9.9900000000000003E-2</v>
      </c>
      <c r="AG70">
        <v>1.048</v>
      </c>
      <c r="AH70">
        <v>8655.8495000000003</v>
      </c>
      <c r="AJ70">
        <v>3.4243000000000001</v>
      </c>
      <c r="AK70">
        <v>26.104600000000001</v>
      </c>
      <c r="AL70">
        <v>1.1527000000000001</v>
      </c>
      <c r="AM70">
        <v>38.769799999999996</v>
      </c>
      <c r="AN70">
        <v>0.62819999999999998</v>
      </c>
      <c r="AO70">
        <v>195.11080000000001</v>
      </c>
      <c r="AP70">
        <v>49.403300000000002</v>
      </c>
      <c r="AQ70">
        <v>39.525100000000002</v>
      </c>
      <c r="AR70">
        <v>113.848</v>
      </c>
      <c r="AS70">
        <v>94306.590100000001</v>
      </c>
      <c r="AU70" s="1">
        <f t="shared" si="0"/>
        <v>44099</v>
      </c>
      <c r="AV70" s="29">
        <f t="shared" si="1"/>
        <v>10.616929647284884</v>
      </c>
      <c r="AW70" s="30">
        <f t="shared" si="2"/>
        <v>0.95773954249592386</v>
      </c>
      <c r="AX70">
        <f t="shared" ca="1" si="3"/>
        <v>1.3065623078704283</v>
      </c>
      <c r="AY70">
        <f t="shared" ca="1" si="4"/>
        <v>-0.38030570752452209</v>
      </c>
      <c r="AZ70">
        <f t="shared" ca="1" si="5"/>
        <v>-0.45930247346471925</v>
      </c>
      <c r="BA70">
        <f t="shared" ca="1" si="6"/>
        <v>-0.59269195475243364</v>
      </c>
      <c r="BB70">
        <f t="shared" ca="1" si="7"/>
        <v>-0.78595063303218238</v>
      </c>
    </row>
    <row r="71" spans="1:54" x14ac:dyDescent="0.25">
      <c r="A71" s="37">
        <v>44106</v>
      </c>
      <c r="B71" s="5">
        <v>9.3497000000000003</v>
      </c>
      <c r="C71">
        <v>-8.8455999999999992</v>
      </c>
      <c r="D71">
        <v>-1.2011000000000001</v>
      </c>
      <c r="E71">
        <v>54.4251</v>
      </c>
      <c r="F71">
        <v>6.8316999999999997</v>
      </c>
      <c r="G71">
        <v>0</v>
      </c>
      <c r="H71">
        <v>13.085100000000001</v>
      </c>
      <c r="I71">
        <v>-16.020499999999998</v>
      </c>
      <c r="J71">
        <v>56</v>
      </c>
      <c r="K71">
        <v>220255.16409999999</v>
      </c>
      <c r="M71" s="37">
        <v>44106</v>
      </c>
      <c r="N71" s="5">
        <v>7.2876000000000003</v>
      </c>
      <c r="O71">
        <v>2.7707999999999999</v>
      </c>
      <c r="P71">
        <v>0.28849999999999998</v>
      </c>
      <c r="Q71">
        <v>42.563699999999997</v>
      </c>
      <c r="R71">
        <v>3.5636999999999999</v>
      </c>
      <c r="S71" t="s">
        <v>33</v>
      </c>
      <c r="T71">
        <v>26.819400000000002</v>
      </c>
      <c r="U71">
        <v>11.735799999999999</v>
      </c>
      <c r="V71">
        <v>64.55</v>
      </c>
      <c r="W71">
        <v>99521.962299999999</v>
      </c>
      <c r="Y71" s="5">
        <v>3.2168999999999999</v>
      </c>
      <c r="Z71">
        <v>6.0420999999999996</v>
      </c>
      <c r="AA71">
        <v>0.54090000000000005</v>
      </c>
      <c r="AB71">
        <v>8.0347000000000008</v>
      </c>
      <c r="AC71">
        <v>-0.22020000000000001</v>
      </c>
      <c r="AD71" t="s">
        <v>33</v>
      </c>
      <c r="AE71">
        <v>8.59</v>
      </c>
      <c r="AF71">
        <v>6.5218999999999996</v>
      </c>
      <c r="AG71">
        <v>1.0329999999999999</v>
      </c>
      <c r="AH71">
        <v>8529.9462999999996</v>
      </c>
      <c r="AJ71">
        <v>3.2616000000000001</v>
      </c>
      <c r="AK71">
        <v>20.652100000000001</v>
      </c>
      <c r="AL71">
        <v>1.2417</v>
      </c>
      <c r="AM71">
        <v>39.084099999999999</v>
      </c>
      <c r="AN71">
        <v>0.66010000000000002</v>
      </c>
      <c r="AO71">
        <v>195.11080000000001</v>
      </c>
      <c r="AP71">
        <v>51.430999999999997</v>
      </c>
      <c r="AQ71">
        <v>40.930300000000003</v>
      </c>
      <c r="AR71">
        <v>121.617</v>
      </c>
      <c r="AS71">
        <v>100742.0019</v>
      </c>
      <c r="AU71" s="1">
        <f t="shared" ref="AU71:AU134" si="8">+A71</f>
        <v>44106</v>
      </c>
      <c r="AV71" s="29">
        <f t="shared" ref="AV71:AV134" si="9">+(Y71*AH71+N71*W71+B71*K71+AJ71*AS71)/(K71+W71+AH71)</f>
        <v>9.5660932067783619</v>
      </c>
      <c r="AW71" s="30">
        <f t="shared" ref="AW71:AW134" si="10">+(AV71-$AW$1)/$AX$1</f>
        <v>0.6318798988650266</v>
      </c>
      <c r="AX71">
        <f t="shared" ca="1" si="3"/>
        <v>1.3065623078704283</v>
      </c>
      <c r="AY71">
        <f t="shared" ca="1" si="4"/>
        <v>-3.6018589469402673E-2</v>
      </c>
      <c r="AZ71">
        <f t="shared" ca="1" si="5"/>
        <v>-0.45334034821025188</v>
      </c>
      <c r="BA71">
        <f t="shared" ca="1" si="6"/>
        <v>-0.58673402517368045</v>
      </c>
      <c r="BB71">
        <f t="shared" ca="1" si="7"/>
        <v>-0.77928575472454809</v>
      </c>
    </row>
    <row r="72" spans="1:54" x14ac:dyDescent="0.25">
      <c r="A72" s="37">
        <v>44113</v>
      </c>
      <c r="B72" s="5">
        <v>9.5706000000000007</v>
      </c>
      <c r="C72">
        <v>-8.8455999999999992</v>
      </c>
      <c r="D72">
        <v>-1.2011000000000001</v>
      </c>
      <c r="E72">
        <v>54.4251</v>
      </c>
      <c r="F72">
        <v>6.8316999999999997</v>
      </c>
      <c r="G72">
        <v>0</v>
      </c>
      <c r="H72">
        <v>13.085100000000001</v>
      </c>
      <c r="I72">
        <v>-16.020499999999998</v>
      </c>
      <c r="J72">
        <v>61.06</v>
      </c>
      <c r="K72">
        <v>240156.79139999999</v>
      </c>
      <c r="M72" s="37">
        <v>44113</v>
      </c>
      <c r="N72" s="5">
        <v>7.3754999999999997</v>
      </c>
      <c r="O72">
        <v>2.7707999999999999</v>
      </c>
      <c r="P72">
        <v>0.28849999999999998</v>
      </c>
      <c r="Q72">
        <v>42.563699999999997</v>
      </c>
      <c r="R72">
        <v>3.5636999999999999</v>
      </c>
      <c r="S72" t="s">
        <v>33</v>
      </c>
      <c r="T72">
        <v>26.819400000000002</v>
      </c>
      <c r="U72">
        <v>11.735799999999999</v>
      </c>
      <c r="V72">
        <v>66.650000000000006</v>
      </c>
      <c r="W72">
        <v>102759.7023</v>
      </c>
      <c r="Y72" s="5">
        <v>3.1183999999999998</v>
      </c>
      <c r="Z72">
        <v>6.0420999999999996</v>
      </c>
      <c r="AA72">
        <v>0.54090000000000005</v>
      </c>
      <c r="AB72">
        <v>8.0347000000000008</v>
      </c>
      <c r="AC72">
        <v>-0.22020000000000001</v>
      </c>
      <c r="AD72" t="s">
        <v>33</v>
      </c>
      <c r="AE72">
        <v>8.59</v>
      </c>
      <c r="AF72">
        <v>6.5218999999999996</v>
      </c>
      <c r="AG72">
        <v>0.998</v>
      </c>
      <c r="AH72">
        <v>8246.6638999999996</v>
      </c>
      <c r="AJ72">
        <v>3.4093</v>
      </c>
      <c r="AK72">
        <v>20.652100000000001</v>
      </c>
      <c r="AL72">
        <v>1.2417</v>
      </c>
      <c r="AM72">
        <v>39.084099999999999</v>
      </c>
      <c r="AN72">
        <v>0.66010000000000002</v>
      </c>
      <c r="AO72">
        <v>195.11080000000001</v>
      </c>
      <c r="AP72">
        <v>51.430999999999997</v>
      </c>
      <c r="AQ72">
        <v>40.930300000000003</v>
      </c>
      <c r="AR72">
        <v>128.523</v>
      </c>
      <c r="AS72">
        <v>106462.3679</v>
      </c>
      <c r="AU72" s="1">
        <f t="shared" si="8"/>
        <v>44113</v>
      </c>
      <c r="AV72" s="29">
        <f t="shared" si="9"/>
        <v>9.8103324483653651</v>
      </c>
      <c r="AW72" s="30">
        <f t="shared" si="10"/>
        <v>0.70761738679022523</v>
      </c>
      <c r="AX72">
        <f t="shared" ca="1" si="3"/>
        <v>1.3065623078704283</v>
      </c>
      <c r="AY72">
        <f t="shared" ca="1" si="4"/>
        <v>0.71334480977275094</v>
      </c>
      <c r="AZ72">
        <f t="shared" ca="1" si="5"/>
        <v>-0.45109098660048907</v>
      </c>
      <c r="BA72">
        <f t="shared" ca="1" si="6"/>
        <v>-0.58673402517368045</v>
      </c>
      <c r="BB72">
        <f t="shared" ca="1" si="7"/>
        <v>-0.77928575472454809</v>
      </c>
    </row>
    <row r="73" spans="1:54" x14ac:dyDescent="0.25">
      <c r="A73" s="37">
        <v>44120</v>
      </c>
      <c r="B73" s="5">
        <v>9.5548999999999999</v>
      </c>
      <c r="C73">
        <v>-8.8455999999999992</v>
      </c>
      <c r="D73">
        <v>-1.2011000000000001</v>
      </c>
      <c r="E73">
        <v>54.4251</v>
      </c>
      <c r="F73">
        <v>6.8316999999999997</v>
      </c>
      <c r="G73">
        <v>0</v>
      </c>
      <c r="H73">
        <v>13.085100000000001</v>
      </c>
      <c r="I73">
        <v>-16.020499999999998</v>
      </c>
      <c r="J73">
        <v>60.7</v>
      </c>
      <c r="K73">
        <v>238740.86540000001</v>
      </c>
      <c r="M73" s="37">
        <v>44120</v>
      </c>
      <c r="N73" s="5">
        <v>7.9004000000000003</v>
      </c>
      <c r="O73">
        <v>2.7707999999999999</v>
      </c>
      <c r="P73">
        <v>0.28849999999999998</v>
      </c>
      <c r="Q73">
        <v>42.563699999999997</v>
      </c>
      <c r="R73">
        <v>3.5636999999999999</v>
      </c>
      <c r="S73" t="s">
        <v>33</v>
      </c>
      <c r="T73">
        <v>26.819400000000002</v>
      </c>
      <c r="U73">
        <v>11.735799999999999</v>
      </c>
      <c r="V73">
        <v>78.099999999999994</v>
      </c>
      <c r="W73">
        <v>120413.09450000001</v>
      </c>
      <c r="Y73" s="5">
        <v>3.2277999999999998</v>
      </c>
      <c r="Z73">
        <v>6.0420999999999996</v>
      </c>
      <c r="AA73">
        <v>0.54090000000000005</v>
      </c>
      <c r="AB73">
        <v>8.0347000000000008</v>
      </c>
      <c r="AC73">
        <v>-0.22020000000000001</v>
      </c>
      <c r="AD73" t="s">
        <v>33</v>
      </c>
      <c r="AE73">
        <v>8.59</v>
      </c>
      <c r="AF73">
        <v>6.5218999999999996</v>
      </c>
      <c r="AG73">
        <v>1.036</v>
      </c>
      <c r="AH73">
        <v>8561.4220999999998</v>
      </c>
      <c r="AJ73">
        <v>3.9089</v>
      </c>
      <c r="AK73">
        <v>20.652100000000001</v>
      </c>
      <c r="AL73">
        <v>1.2417</v>
      </c>
      <c r="AM73">
        <v>39.084099999999999</v>
      </c>
      <c r="AN73">
        <v>0.66010000000000002</v>
      </c>
      <c r="AO73">
        <v>195.11080000000001</v>
      </c>
      <c r="AP73">
        <v>51.430999999999997</v>
      </c>
      <c r="AQ73">
        <v>40.930300000000003</v>
      </c>
      <c r="AR73">
        <v>151.87700000000001</v>
      </c>
      <c r="AS73">
        <v>125808.3281</v>
      </c>
      <c r="AU73" s="1">
        <f t="shared" si="8"/>
        <v>44120</v>
      </c>
      <c r="AV73" s="29">
        <f t="shared" si="9"/>
        <v>10.203172405125903</v>
      </c>
      <c r="AW73" s="30">
        <f t="shared" si="10"/>
        <v>0.82943528668363065</v>
      </c>
      <c r="AX73">
        <f t="shared" ca="1" si="3"/>
        <v>1.3065623078704283</v>
      </c>
      <c r="AY73">
        <f t="shared" ca="1" si="4"/>
        <v>0.77014792571664992</v>
      </c>
      <c r="AZ73">
        <f t="shared" ca="1" si="5"/>
        <v>-0.44793529620480255</v>
      </c>
      <c r="BA73">
        <f t="shared" ca="1" si="6"/>
        <v>-0.58673402517368045</v>
      </c>
      <c r="BB73">
        <f t="shared" ca="1" si="7"/>
        <v>-0.77928575472454809</v>
      </c>
    </row>
    <row r="74" spans="1:54" x14ac:dyDescent="0.25">
      <c r="A74" s="37">
        <v>44127</v>
      </c>
      <c r="B74" s="5">
        <v>9.7011000000000003</v>
      </c>
      <c r="C74">
        <v>-8.8455999999999992</v>
      </c>
      <c r="D74">
        <v>-1.2011000000000001</v>
      </c>
      <c r="E74">
        <v>54.4251</v>
      </c>
      <c r="F74">
        <v>6.8316999999999997</v>
      </c>
      <c r="G74">
        <v>0</v>
      </c>
      <c r="H74">
        <v>13.085100000000001</v>
      </c>
      <c r="I74">
        <v>-16.020499999999998</v>
      </c>
      <c r="J74">
        <v>64.05</v>
      </c>
      <c r="K74">
        <v>251916.84390000001</v>
      </c>
      <c r="M74" s="37">
        <v>44127</v>
      </c>
      <c r="N74" s="5">
        <v>8.1928999999999998</v>
      </c>
      <c r="O74">
        <v>2.7707999999999999</v>
      </c>
      <c r="P74">
        <v>0.28849999999999998</v>
      </c>
      <c r="Q74">
        <v>42.563699999999997</v>
      </c>
      <c r="R74">
        <v>3.5636999999999999</v>
      </c>
      <c r="S74" t="s">
        <v>33</v>
      </c>
      <c r="T74">
        <v>26.819400000000002</v>
      </c>
      <c r="U74">
        <v>11.735799999999999</v>
      </c>
      <c r="V74">
        <v>85.45</v>
      </c>
      <c r="W74">
        <v>131745.18470000001</v>
      </c>
      <c r="Y74" s="5">
        <v>3.3919999999999999</v>
      </c>
      <c r="Z74">
        <v>6.0420999999999996</v>
      </c>
      <c r="AA74">
        <v>0.54090000000000005</v>
      </c>
      <c r="AB74">
        <v>8.0347000000000008</v>
      </c>
      <c r="AC74">
        <v>-0.22020000000000001</v>
      </c>
      <c r="AD74" t="s">
        <v>33</v>
      </c>
      <c r="AE74">
        <v>8.59</v>
      </c>
      <c r="AF74">
        <v>6.5218999999999996</v>
      </c>
      <c r="AG74">
        <v>1.093</v>
      </c>
      <c r="AH74">
        <v>9033.5593000000008</v>
      </c>
      <c r="AJ74">
        <v>4.2218</v>
      </c>
      <c r="AK74">
        <v>20.652100000000001</v>
      </c>
      <c r="AL74">
        <v>1.2417</v>
      </c>
      <c r="AM74">
        <v>39.084099999999999</v>
      </c>
      <c r="AN74">
        <v>0.66010000000000002</v>
      </c>
      <c r="AO74">
        <v>195.11080000000001</v>
      </c>
      <c r="AP74">
        <v>51.430999999999997</v>
      </c>
      <c r="AQ74">
        <v>40.930300000000003</v>
      </c>
      <c r="AR74">
        <v>166.50399999999999</v>
      </c>
      <c r="AS74">
        <v>137924.3811</v>
      </c>
      <c r="AU74" s="1">
        <f t="shared" si="8"/>
        <v>44127</v>
      </c>
      <c r="AV74" s="29">
        <f t="shared" si="9"/>
        <v>10.532780939758808</v>
      </c>
      <c r="AW74" s="30">
        <f t="shared" si="10"/>
        <v>0.9316454075863746</v>
      </c>
      <c r="AX74">
        <f t="shared" ca="1" si="3"/>
        <v>1.3065623078704283</v>
      </c>
      <c r="AY74">
        <f t="shared" ca="1" si="4"/>
        <v>0.86151135063670392</v>
      </c>
      <c r="AZ74">
        <f t="shared" ca="1" si="5"/>
        <v>-0.44218326688354931</v>
      </c>
      <c r="BA74">
        <f t="shared" ca="1" si="6"/>
        <v>-0.58673402517368045</v>
      </c>
      <c r="BB74">
        <f t="shared" ca="1" si="7"/>
        <v>-0.77928575472454809</v>
      </c>
    </row>
    <row r="75" spans="1:54" x14ac:dyDescent="0.25">
      <c r="A75" s="37">
        <v>44134</v>
      </c>
      <c r="B75" s="5">
        <v>9.1332000000000004</v>
      </c>
      <c r="C75">
        <v>-8.8455999999999992</v>
      </c>
      <c r="D75">
        <v>-1.2011000000000001</v>
      </c>
      <c r="E75">
        <v>54.4251</v>
      </c>
      <c r="F75">
        <v>6.8316999999999997</v>
      </c>
      <c r="G75">
        <v>0</v>
      </c>
      <c r="H75">
        <v>13.085100000000001</v>
      </c>
      <c r="I75">
        <v>-16.020499999999998</v>
      </c>
      <c r="J75">
        <v>51.04</v>
      </c>
      <c r="K75">
        <v>200746.84950000001</v>
      </c>
      <c r="M75" s="37">
        <v>44134</v>
      </c>
      <c r="N75" s="5">
        <v>7.5721999999999996</v>
      </c>
      <c r="O75">
        <v>2.7707999999999999</v>
      </c>
      <c r="P75">
        <v>0.28849999999999998</v>
      </c>
      <c r="Q75">
        <v>42.563699999999997</v>
      </c>
      <c r="R75">
        <v>3.5636999999999999</v>
      </c>
      <c r="S75" t="s">
        <v>33</v>
      </c>
      <c r="T75">
        <v>26.819400000000002</v>
      </c>
      <c r="U75">
        <v>11.735799999999999</v>
      </c>
      <c r="V75">
        <v>73.05</v>
      </c>
      <c r="W75">
        <v>112627.10060000001</v>
      </c>
      <c r="Y75" s="5">
        <v>2.8557999999999999</v>
      </c>
      <c r="Z75">
        <v>6.0420999999999996</v>
      </c>
      <c r="AA75">
        <v>0.54090000000000005</v>
      </c>
      <c r="AB75">
        <v>8.0347000000000008</v>
      </c>
      <c r="AC75">
        <v>-0.22020000000000001</v>
      </c>
      <c r="AD75" t="s">
        <v>33</v>
      </c>
      <c r="AE75">
        <v>8.59</v>
      </c>
      <c r="AF75">
        <v>6.5218999999999996</v>
      </c>
      <c r="AG75">
        <v>0.90700000000000003</v>
      </c>
      <c r="AH75">
        <v>7491.2443000000003</v>
      </c>
      <c r="AJ75">
        <v>3.7980999999999998</v>
      </c>
      <c r="AK75">
        <v>20.652100000000001</v>
      </c>
      <c r="AL75">
        <v>1.2417</v>
      </c>
      <c r="AM75">
        <v>39.084099999999999</v>
      </c>
      <c r="AN75">
        <v>0.66010000000000002</v>
      </c>
      <c r="AO75">
        <v>195.11080000000001</v>
      </c>
      <c r="AP75">
        <v>51.430999999999997</v>
      </c>
      <c r="AQ75">
        <v>40.930300000000003</v>
      </c>
      <c r="AR75">
        <v>146.69800000000001</v>
      </c>
      <c r="AS75">
        <v>121518.05349999999</v>
      </c>
      <c r="AU75" s="1">
        <f t="shared" si="8"/>
        <v>44134</v>
      </c>
      <c r="AV75" s="29">
        <f t="shared" si="9"/>
        <v>9.8771301057233352</v>
      </c>
      <c r="AW75" s="30">
        <f t="shared" si="10"/>
        <v>0.72833103925126375</v>
      </c>
      <c r="AX75">
        <f t="shared" ca="1" si="3"/>
        <v>1.3065623078704283</v>
      </c>
      <c r="AY75">
        <f t="shared" ca="1" si="4"/>
        <v>0.93816894131376194</v>
      </c>
      <c r="AZ75">
        <f t="shared" ca="1" si="5"/>
        <v>-0.44218326688354931</v>
      </c>
      <c r="BA75">
        <f t="shared" ca="1" si="6"/>
        <v>-0.58673402517368045</v>
      </c>
      <c r="BB75">
        <f t="shared" ca="1" si="7"/>
        <v>-0.77928575472454809</v>
      </c>
    </row>
    <row r="76" spans="1:54" x14ac:dyDescent="0.25">
      <c r="A76" s="37">
        <v>44141</v>
      </c>
      <c r="B76" s="5">
        <v>9.3297000000000008</v>
      </c>
      <c r="C76">
        <v>-8.8455999999999992</v>
      </c>
      <c r="D76">
        <v>-1.2011000000000001</v>
      </c>
      <c r="E76">
        <v>54.4251</v>
      </c>
      <c r="F76">
        <v>6.8316999999999997</v>
      </c>
      <c r="G76">
        <v>0</v>
      </c>
      <c r="H76">
        <v>13.085100000000001</v>
      </c>
      <c r="I76">
        <v>-16.020499999999998</v>
      </c>
      <c r="J76">
        <v>55.54</v>
      </c>
      <c r="K76">
        <v>218445.9252</v>
      </c>
      <c r="M76" s="37">
        <v>44141</v>
      </c>
      <c r="N76" s="5">
        <v>7.7710999999999997</v>
      </c>
      <c r="O76">
        <v>2.7707999999999999</v>
      </c>
      <c r="P76">
        <v>0.28849999999999998</v>
      </c>
      <c r="Q76">
        <v>42.563699999999997</v>
      </c>
      <c r="R76">
        <v>3.5636999999999999</v>
      </c>
      <c r="S76" t="s">
        <v>33</v>
      </c>
      <c r="T76">
        <v>26.819400000000002</v>
      </c>
      <c r="U76">
        <v>11.735799999999999</v>
      </c>
      <c r="V76">
        <v>78.599999999999994</v>
      </c>
      <c r="W76">
        <v>121183.985</v>
      </c>
      <c r="Y76" s="5">
        <v>3.1511999999999998</v>
      </c>
      <c r="Z76">
        <v>6.0420999999999996</v>
      </c>
      <c r="AA76">
        <v>0.54090000000000005</v>
      </c>
      <c r="AB76">
        <v>8.0347000000000008</v>
      </c>
      <c r="AC76">
        <v>-0.22020000000000001</v>
      </c>
      <c r="AD76" t="s">
        <v>33</v>
      </c>
      <c r="AE76">
        <v>8.59</v>
      </c>
      <c r="AF76">
        <v>6.5218999999999996</v>
      </c>
      <c r="AG76">
        <v>1.01</v>
      </c>
      <c r="AH76">
        <v>8341.0913999999993</v>
      </c>
      <c r="AJ76">
        <v>3.9426999999999999</v>
      </c>
      <c r="AK76">
        <v>20.652100000000001</v>
      </c>
      <c r="AL76">
        <v>1.2417</v>
      </c>
      <c r="AM76">
        <v>39.084099999999999</v>
      </c>
      <c r="AN76">
        <v>0.66010000000000002</v>
      </c>
      <c r="AO76">
        <v>195.11080000000001</v>
      </c>
      <c r="AP76">
        <v>51.430999999999997</v>
      </c>
      <c r="AQ76">
        <v>40.930300000000003</v>
      </c>
      <c r="AR76">
        <v>153.46</v>
      </c>
      <c r="AS76">
        <v>127119.2453</v>
      </c>
      <c r="AU76" s="1">
        <f t="shared" si="8"/>
        <v>44141</v>
      </c>
      <c r="AV76" s="29">
        <f t="shared" si="9"/>
        <v>10.079131001460814</v>
      </c>
      <c r="AW76" s="30">
        <f t="shared" si="10"/>
        <v>0.79097060651485096</v>
      </c>
      <c r="AX76">
        <f t="shared" ca="1" si="3"/>
        <v>1.3065623078704283</v>
      </c>
      <c r="AY76">
        <f t="shared" ca="1" si="4"/>
        <v>0.93816894131376194</v>
      </c>
      <c r="AZ76">
        <f t="shared" ca="1" si="5"/>
        <v>-0.44218326688354931</v>
      </c>
      <c r="BA76">
        <f t="shared" ca="1" si="6"/>
        <v>-0.58673402517368045</v>
      </c>
      <c r="BB76">
        <f t="shared" ca="1" si="7"/>
        <v>-0.77928575472454809</v>
      </c>
    </row>
    <row r="77" spans="1:54" x14ac:dyDescent="0.25">
      <c r="A77" s="37">
        <v>44148</v>
      </c>
      <c r="B77" s="5">
        <v>9.8467000000000002</v>
      </c>
      <c r="C77">
        <v>-8.8455999999999992</v>
      </c>
      <c r="D77">
        <v>-1.2011000000000001</v>
      </c>
      <c r="E77">
        <v>54.4251</v>
      </c>
      <c r="F77">
        <v>6.8316999999999997</v>
      </c>
      <c r="G77">
        <v>0</v>
      </c>
      <c r="H77">
        <v>13.085100000000001</v>
      </c>
      <c r="I77">
        <v>-16.020499999999998</v>
      </c>
      <c r="J77">
        <v>67.385000000000005</v>
      </c>
      <c r="K77">
        <v>265033.82559999998</v>
      </c>
      <c r="M77" s="37">
        <v>44148</v>
      </c>
      <c r="N77" s="5">
        <v>7.6890999999999998</v>
      </c>
      <c r="O77">
        <v>2.7707999999999999</v>
      </c>
      <c r="P77">
        <v>0.28849999999999998</v>
      </c>
      <c r="Q77">
        <v>42.563699999999997</v>
      </c>
      <c r="R77">
        <v>3.5636999999999999</v>
      </c>
      <c r="S77" t="s">
        <v>33</v>
      </c>
      <c r="T77">
        <v>26.819400000000002</v>
      </c>
      <c r="U77">
        <v>11.735799999999999</v>
      </c>
      <c r="V77">
        <v>78.349999999999994</v>
      </c>
      <c r="W77">
        <v>120798.5398</v>
      </c>
      <c r="Y77" s="5">
        <v>3.2168999999999999</v>
      </c>
      <c r="Z77">
        <v>6.0420999999999996</v>
      </c>
      <c r="AA77">
        <v>0.54090000000000005</v>
      </c>
      <c r="AB77">
        <v>8.0347000000000008</v>
      </c>
      <c r="AC77">
        <v>-0.22020000000000001</v>
      </c>
      <c r="AD77" t="s">
        <v>33</v>
      </c>
      <c r="AE77">
        <v>8.59</v>
      </c>
      <c r="AF77">
        <v>6.5218999999999996</v>
      </c>
      <c r="AG77">
        <v>1.0329999999999999</v>
      </c>
      <c r="AH77">
        <v>8529.9462999999996</v>
      </c>
      <c r="AJ77">
        <v>3.9026999999999998</v>
      </c>
      <c r="AK77">
        <v>20.652100000000001</v>
      </c>
      <c r="AL77">
        <v>1.2417</v>
      </c>
      <c r="AM77">
        <v>39.084099999999999</v>
      </c>
      <c r="AN77">
        <v>0.66010000000000002</v>
      </c>
      <c r="AO77">
        <v>195.11080000000001</v>
      </c>
      <c r="AP77">
        <v>51.430999999999997</v>
      </c>
      <c r="AQ77">
        <v>40.930300000000003</v>
      </c>
      <c r="AR77">
        <v>151.59</v>
      </c>
      <c r="AS77">
        <v>125569.9795</v>
      </c>
      <c r="AU77" s="1">
        <f t="shared" si="8"/>
        <v>44148</v>
      </c>
      <c r="AV77" s="29">
        <f t="shared" si="9"/>
        <v>10.285066411833846</v>
      </c>
      <c r="AW77" s="30">
        <f t="shared" si="10"/>
        <v>0.85483024903237959</v>
      </c>
      <c r="AX77">
        <f t="shared" ca="1" si="3"/>
        <v>1.3065623078704283</v>
      </c>
      <c r="AY77">
        <f t="shared" ca="1" si="4"/>
        <v>0.93816894131376194</v>
      </c>
      <c r="AZ77">
        <f t="shared" ca="1" si="5"/>
        <v>-0.43731288351286657</v>
      </c>
      <c r="BA77">
        <f t="shared" ca="1" si="6"/>
        <v>-0.58673402517368045</v>
      </c>
      <c r="BB77">
        <f t="shared" ca="1" si="7"/>
        <v>-0.77928575472454809</v>
      </c>
    </row>
    <row r="78" spans="1:54" x14ac:dyDescent="0.25">
      <c r="A78" s="37">
        <v>44155</v>
      </c>
      <c r="B78" s="5">
        <v>10.0806</v>
      </c>
      <c r="C78">
        <v>-8.8455999999999992</v>
      </c>
      <c r="D78">
        <v>-1.2011000000000001</v>
      </c>
      <c r="E78">
        <v>54.4251</v>
      </c>
      <c r="F78">
        <v>6.8316999999999997</v>
      </c>
      <c r="G78">
        <v>0</v>
      </c>
      <c r="H78">
        <v>13.085100000000001</v>
      </c>
      <c r="I78">
        <v>-16.020499999999998</v>
      </c>
      <c r="J78">
        <v>72.745000000000005</v>
      </c>
      <c r="K78">
        <v>286115.39130000002</v>
      </c>
      <c r="M78" s="37">
        <v>44155</v>
      </c>
      <c r="N78" s="5">
        <v>7.524</v>
      </c>
      <c r="O78">
        <v>2.7707999999999999</v>
      </c>
      <c r="P78">
        <v>0.28849999999999998</v>
      </c>
      <c r="Q78">
        <v>42.563699999999997</v>
      </c>
      <c r="R78">
        <v>3.5636999999999999</v>
      </c>
      <c r="S78" t="s">
        <v>33</v>
      </c>
      <c r="T78">
        <v>26.819400000000002</v>
      </c>
      <c r="U78">
        <v>11.735799999999999</v>
      </c>
      <c r="V78">
        <v>80.599999999999994</v>
      </c>
      <c r="W78">
        <v>117313.40119999999</v>
      </c>
      <c r="Y78" s="5">
        <v>3.0417999999999998</v>
      </c>
      <c r="Z78">
        <v>6.0420999999999996</v>
      </c>
      <c r="AA78">
        <v>0.54090000000000005</v>
      </c>
      <c r="AB78">
        <v>8.0347000000000008</v>
      </c>
      <c r="AC78">
        <v>-0.22020000000000001</v>
      </c>
      <c r="AD78" t="s">
        <v>33</v>
      </c>
      <c r="AE78">
        <v>8.59</v>
      </c>
      <c r="AF78">
        <v>6.5218999999999996</v>
      </c>
      <c r="AG78">
        <v>0.97199999999999998</v>
      </c>
      <c r="AH78">
        <v>8026.3332</v>
      </c>
      <c r="AJ78">
        <v>3.9735</v>
      </c>
      <c r="AK78">
        <v>20.652100000000001</v>
      </c>
      <c r="AL78">
        <v>1.2417</v>
      </c>
      <c r="AM78">
        <v>39.084099999999999</v>
      </c>
      <c r="AN78">
        <v>0.66010000000000002</v>
      </c>
      <c r="AO78">
        <v>195.11080000000001</v>
      </c>
      <c r="AP78">
        <v>51.430999999999997</v>
      </c>
      <c r="AQ78">
        <v>40.930300000000003</v>
      </c>
      <c r="AR78">
        <v>154.899</v>
      </c>
      <c r="AS78">
        <v>128310.98820000001</v>
      </c>
      <c r="AU78" s="1">
        <f t="shared" si="8"/>
        <v>44155</v>
      </c>
      <c r="AV78" s="29">
        <f t="shared" si="9"/>
        <v>10.453482743204628</v>
      </c>
      <c r="AW78" s="30">
        <f t="shared" si="10"/>
        <v>0.90705539426587845</v>
      </c>
      <c r="AX78">
        <f t="shared" ca="1" si="3"/>
        <v>1.3065623078704283</v>
      </c>
      <c r="AY78">
        <f t="shared" ca="1" si="4"/>
        <v>0.93816894131376194</v>
      </c>
      <c r="AZ78">
        <f t="shared" ca="1" si="5"/>
        <v>-0.43543552411411601</v>
      </c>
      <c r="BA78">
        <f t="shared" ca="1" si="6"/>
        <v>-0.58673402517368045</v>
      </c>
      <c r="BB78">
        <f t="shared" ca="1" si="7"/>
        <v>-0.77928575472454809</v>
      </c>
    </row>
    <row r="79" spans="1:54" x14ac:dyDescent="0.25">
      <c r="A79" s="37">
        <v>44162</v>
      </c>
      <c r="B79" s="5">
        <v>10.452500000000001</v>
      </c>
      <c r="C79">
        <v>-8.8455999999999992</v>
      </c>
      <c r="D79">
        <v>-1.2011000000000001</v>
      </c>
      <c r="E79">
        <v>54.4251</v>
      </c>
      <c r="F79">
        <v>6.8316999999999997</v>
      </c>
      <c r="G79">
        <v>0</v>
      </c>
      <c r="H79">
        <v>13.085100000000001</v>
      </c>
      <c r="I79">
        <v>-16.020499999999998</v>
      </c>
      <c r="J79">
        <v>81.265000000000001</v>
      </c>
      <c r="K79">
        <v>319625.64120000001</v>
      </c>
      <c r="M79" s="37">
        <v>44162</v>
      </c>
      <c r="N79" s="5">
        <v>7.5605000000000002</v>
      </c>
      <c r="O79">
        <v>2.7707999999999999</v>
      </c>
      <c r="P79">
        <v>0.28849999999999998</v>
      </c>
      <c r="Q79">
        <v>42.563699999999997</v>
      </c>
      <c r="R79">
        <v>3.5636999999999999</v>
      </c>
      <c r="S79" t="s">
        <v>33</v>
      </c>
      <c r="T79">
        <v>26.819400000000002</v>
      </c>
      <c r="U79">
        <v>11.735799999999999</v>
      </c>
      <c r="V79">
        <v>82.9</v>
      </c>
      <c r="W79">
        <v>120661.054</v>
      </c>
      <c r="Y79" s="5">
        <v>3.1183999999999998</v>
      </c>
      <c r="Z79">
        <v>6.0420999999999996</v>
      </c>
      <c r="AA79">
        <v>0.54090000000000005</v>
      </c>
      <c r="AB79">
        <v>8.0347000000000008</v>
      </c>
      <c r="AC79">
        <v>-0.22020000000000001</v>
      </c>
      <c r="AD79" t="s">
        <v>33</v>
      </c>
      <c r="AE79">
        <v>8.59</v>
      </c>
      <c r="AF79">
        <v>6.5218999999999996</v>
      </c>
      <c r="AG79">
        <v>0.998</v>
      </c>
      <c r="AH79">
        <v>8246.6638999999996</v>
      </c>
      <c r="AJ79">
        <v>4.0525000000000002</v>
      </c>
      <c r="AK79">
        <v>20.652100000000001</v>
      </c>
      <c r="AL79">
        <v>1.2417</v>
      </c>
      <c r="AM79">
        <v>39.084099999999999</v>
      </c>
      <c r="AN79">
        <v>0.66010000000000002</v>
      </c>
      <c r="AO79">
        <v>195.11080000000001</v>
      </c>
      <c r="AP79">
        <v>51.430999999999997</v>
      </c>
      <c r="AQ79">
        <v>40.930300000000003</v>
      </c>
      <c r="AR79">
        <v>158.59100000000001</v>
      </c>
      <c r="AS79">
        <v>131369.79500000001</v>
      </c>
      <c r="AU79" s="1">
        <f t="shared" si="8"/>
        <v>44162</v>
      </c>
      <c r="AV79" s="29">
        <f t="shared" si="9"/>
        <v>10.726598828696263</v>
      </c>
      <c r="AW79" s="30">
        <f t="shared" si="10"/>
        <v>0.99174746132559277</v>
      </c>
      <c r="AX79">
        <f t="shared" ca="1" si="3"/>
        <v>1.3065623078704283</v>
      </c>
      <c r="AY79">
        <f t="shared" ca="1" si="4"/>
        <v>0.93816894131376194</v>
      </c>
      <c r="AZ79">
        <f t="shared" ca="1" si="5"/>
        <v>-0.42809223526837037</v>
      </c>
      <c r="BA79">
        <f t="shared" ca="1" si="6"/>
        <v>-0.58673402517368045</v>
      </c>
      <c r="BB79">
        <f t="shared" ca="1" si="7"/>
        <v>-0.77928575472454809</v>
      </c>
    </row>
    <row r="80" spans="1:54" x14ac:dyDescent="0.25">
      <c r="A80" s="37">
        <v>44169</v>
      </c>
      <c r="B80" s="5">
        <v>10.3163</v>
      </c>
      <c r="C80">
        <v>-8.8455999999999992</v>
      </c>
      <c r="D80">
        <v>-1.2011000000000001</v>
      </c>
      <c r="E80">
        <v>54.4251</v>
      </c>
      <c r="F80">
        <v>6.8316999999999997</v>
      </c>
      <c r="G80">
        <v>0</v>
      </c>
      <c r="H80">
        <v>13.085100000000001</v>
      </c>
      <c r="I80">
        <v>-16.020499999999998</v>
      </c>
      <c r="J80">
        <v>78.144999999999996</v>
      </c>
      <c r="K80">
        <v>307354.28210000001</v>
      </c>
      <c r="M80" s="37">
        <v>44169</v>
      </c>
      <c r="N80" s="5">
        <v>7.4865000000000004</v>
      </c>
      <c r="O80">
        <v>2.7707999999999999</v>
      </c>
      <c r="P80">
        <v>0.28849999999999998</v>
      </c>
      <c r="Q80">
        <v>42.563699999999997</v>
      </c>
      <c r="R80">
        <v>3.5636999999999999</v>
      </c>
      <c r="S80" t="s">
        <v>33</v>
      </c>
      <c r="T80">
        <v>26.819400000000002</v>
      </c>
      <c r="U80">
        <v>11.735799999999999</v>
      </c>
      <c r="V80">
        <v>82.45</v>
      </c>
      <c r="W80">
        <v>120006.0785</v>
      </c>
      <c r="Y80" s="5">
        <v>3.2059000000000002</v>
      </c>
      <c r="Z80">
        <v>6.0420999999999996</v>
      </c>
      <c r="AA80">
        <v>0.54090000000000005</v>
      </c>
      <c r="AB80">
        <v>8.0347000000000008</v>
      </c>
      <c r="AC80">
        <v>-0.22020000000000001</v>
      </c>
      <c r="AD80" t="s">
        <v>33</v>
      </c>
      <c r="AE80">
        <v>8.59</v>
      </c>
      <c r="AF80">
        <v>6.5218999999999996</v>
      </c>
      <c r="AG80">
        <v>1.0289999999999999</v>
      </c>
      <c r="AH80">
        <v>8498.4704999999994</v>
      </c>
      <c r="AJ80">
        <v>4.1170999999999998</v>
      </c>
      <c r="AK80">
        <v>20.652100000000001</v>
      </c>
      <c r="AL80">
        <v>1.2417</v>
      </c>
      <c r="AM80">
        <v>39.084099999999999</v>
      </c>
      <c r="AN80">
        <v>0.66010000000000002</v>
      </c>
      <c r="AO80">
        <v>195.11080000000001</v>
      </c>
      <c r="AP80">
        <v>51.430999999999997</v>
      </c>
      <c r="AQ80">
        <v>40.930300000000003</v>
      </c>
      <c r="AR80">
        <v>161.613</v>
      </c>
      <c r="AS80">
        <v>133872.4552</v>
      </c>
      <c r="AU80" s="1">
        <f t="shared" si="8"/>
        <v>44169</v>
      </c>
      <c r="AV80" s="29">
        <f t="shared" si="9"/>
        <v>10.663076407718908</v>
      </c>
      <c r="AW80" s="30">
        <f t="shared" si="10"/>
        <v>0.97204944490328904</v>
      </c>
      <c r="AX80">
        <f t="shared" ca="1" si="3"/>
        <v>1.3065623078704283</v>
      </c>
      <c r="AY80">
        <f t="shared" ca="1" si="4"/>
        <v>0.96624152220334114</v>
      </c>
      <c r="AZ80">
        <f t="shared" ca="1" si="5"/>
        <v>-0.41237483621414794</v>
      </c>
      <c r="BA80">
        <f t="shared" ca="1" si="6"/>
        <v>-0.58673402517368045</v>
      </c>
      <c r="BB80">
        <f t="shared" ca="1" si="7"/>
        <v>-0.77928575472454809</v>
      </c>
    </row>
    <row r="81" spans="1:54" x14ac:dyDescent="0.25">
      <c r="A81" s="37">
        <v>44176</v>
      </c>
      <c r="B81" s="5">
        <v>10.2875</v>
      </c>
      <c r="C81">
        <v>-8.8455999999999992</v>
      </c>
      <c r="D81">
        <v>-1.2011000000000001</v>
      </c>
      <c r="E81">
        <v>54.4251</v>
      </c>
      <c r="F81">
        <v>6.8316999999999997</v>
      </c>
      <c r="G81">
        <v>0</v>
      </c>
      <c r="H81">
        <v>13.085100000000001</v>
      </c>
      <c r="I81">
        <v>-16.020499999999998</v>
      </c>
      <c r="J81">
        <v>77.484999999999999</v>
      </c>
      <c r="K81">
        <v>304758.41769999999</v>
      </c>
      <c r="M81" s="37">
        <v>44176</v>
      </c>
      <c r="N81" s="5">
        <v>7.3274999999999997</v>
      </c>
      <c r="O81">
        <v>2.7707999999999999</v>
      </c>
      <c r="P81">
        <v>0.28849999999999998</v>
      </c>
      <c r="Q81">
        <v>42.563699999999997</v>
      </c>
      <c r="R81">
        <v>3.5636999999999999</v>
      </c>
      <c r="S81" t="s">
        <v>33</v>
      </c>
      <c r="T81">
        <v>26.819400000000002</v>
      </c>
      <c r="U81">
        <v>11.735799999999999</v>
      </c>
      <c r="V81">
        <v>80</v>
      </c>
      <c r="W81">
        <v>116440.1004</v>
      </c>
      <c r="Y81" s="5">
        <v>3.0964999999999998</v>
      </c>
      <c r="Z81">
        <v>6.0420999999999996</v>
      </c>
      <c r="AA81">
        <v>0.54090000000000005</v>
      </c>
      <c r="AB81">
        <v>8.0347000000000008</v>
      </c>
      <c r="AC81">
        <v>-0.22020000000000001</v>
      </c>
      <c r="AD81" t="s">
        <v>33</v>
      </c>
      <c r="AE81">
        <v>8.59</v>
      </c>
      <c r="AF81">
        <v>6.5218999999999996</v>
      </c>
      <c r="AG81">
        <v>0.99099999999999999</v>
      </c>
      <c r="AH81">
        <v>8183.7123000000001</v>
      </c>
      <c r="AJ81">
        <v>3.9929999999999999</v>
      </c>
      <c r="AK81">
        <v>20.652100000000001</v>
      </c>
      <c r="AL81">
        <v>1.2417</v>
      </c>
      <c r="AM81">
        <v>39.084099999999999</v>
      </c>
      <c r="AN81">
        <v>0.66010000000000002</v>
      </c>
      <c r="AO81">
        <v>195.11080000000001</v>
      </c>
      <c r="AP81">
        <v>51.430999999999997</v>
      </c>
      <c r="AQ81">
        <v>40.930300000000003</v>
      </c>
      <c r="AR81">
        <v>155.81</v>
      </c>
      <c r="AS81">
        <v>129065.75870000001</v>
      </c>
      <c r="AU81" s="1">
        <f t="shared" si="8"/>
        <v>44176</v>
      </c>
      <c r="AV81" s="29">
        <f t="shared" si="9"/>
        <v>10.547985400272868</v>
      </c>
      <c r="AW81" s="30">
        <f t="shared" si="10"/>
        <v>0.93636024225876502</v>
      </c>
      <c r="AX81">
        <f t="shared" ca="1" si="3"/>
        <v>1.3065623078704283</v>
      </c>
      <c r="AY81">
        <f t="shared" ca="1" si="4"/>
        <v>0.97697394900886492</v>
      </c>
      <c r="AZ81">
        <f t="shared" ca="1" si="5"/>
        <v>-0.39733305512310174</v>
      </c>
      <c r="BA81">
        <f t="shared" ca="1" si="6"/>
        <v>-0.58673402517368045</v>
      </c>
      <c r="BB81">
        <f t="shared" ca="1" si="7"/>
        <v>-0.77928575472454809</v>
      </c>
    </row>
    <row r="82" spans="1:54" x14ac:dyDescent="0.25">
      <c r="A82" s="37">
        <v>44183</v>
      </c>
      <c r="B82" s="5">
        <v>10.2339</v>
      </c>
      <c r="C82">
        <v>-8.8455999999999992</v>
      </c>
      <c r="D82">
        <v>-1.2011000000000001</v>
      </c>
      <c r="E82">
        <v>54.4251</v>
      </c>
      <c r="F82">
        <v>6.8316999999999997</v>
      </c>
      <c r="G82">
        <v>0</v>
      </c>
      <c r="H82">
        <v>13.085100000000001</v>
      </c>
      <c r="I82">
        <v>-16.020499999999998</v>
      </c>
      <c r="J82">
        <v>76.254999999999995</v>
      </c>
      <c r="K82">
        <v>299920.6703</v>
      </c>
      <c r="M82" s="37">
        <v>44183</v>
      </c>
      <c r="N82" s="5">
        <v>7.3338000000000001</v>
      </c>
      <c r="O82">
        <v>2.7707999999999999</v>
      </c>
      <c r="P82">
        <v>0.28849999999999998</v>
      </c>
      <c r="Q82">
        <v>42.563699999999997</v>
      </c>
      <c r="R82">
        <v>3.5636999999999999</v>
      </c>
      <c r="S82" t="s">
        <v>33</v>
      </c>
      <c r="T82">
        <v>26.819400000000002</v>
      </c>
      <c r="U82">
        <v>11.735799999999999</v>
      </c>
      <c r="V82">
        <v>81.400000000000006</v>
      </c>
      <c r="W82">
        <v>118477.80220000001</v>
      </c>
      <c r="Y82" s="5">
        <v>3.0308000000000002</v>
      </c>
      <c r="Z82">
        <v>6.0420999999999996</v>
      </c>
      <c r="AA82">
        <v>0.54090000000000005</v>
      </c>
      <c r="AB82">
        <v>8.0347000000000008</v>
      </c>
      <c r="AC82">
        <v>-0.22020000000000001</v>
      </c>
      <c r="AD82" t="s">
        <v>33</v>
      </c>
      <c r="AE82">
        <v>8.59</v>
      </c>
      <c r="AF82">
        <v>6.5218999999999996</v>
      </c>
      <c r="AG82">
        <v>0.96799999999999997</v>
      </c>
      <c r="AH82">
        <v>7994.8573999999999</v>
      </c>
      <c r="AJ82">
        <v>3.9079000000000002</v>
      </c>
      <c r="AK82">
        <v>20.652100000000001</v>
      </c>
      <c r="AL82">
        <v>1.2417</v>
      </c>
      <c r="AM82">
        <v>39.084099999999999</v>
      </c>
      <c r="AN82">
        <v>0.66010000000000002</v>
      </c>
      <c r="AO82">
        <v>195.11080000000001</v>
      </c>
      <c r="AP82">
        <v>51.430999999999997</v>
      </c>
      <c r="AQ82">
        <v>40.930300000000003</v>
      </c>
      <c r="AR82">
        <v>151.82900000000001</v>
      </c>
      <c r="AS82">
        <v>125768.6033</v>
      </c>
      <c r="AU82" s="1">
        <f t="shared" si="8"/>
        <v>44183</v>
      </c>
      <c r="AV82" s="29">
        <f t="shared" si="9"/>
        <v>10.445690117258845</v>
      </c>
      <c r="AW82" s="30">
        <f t="shared" si="10"/>
        <v>0.90463893608479595</v>
      </c>
      <c r="AX82">
        <f t="shared" ca="1" si="3"/>
        <v>1.3065623078704283</v>
      </c>
      <c r="AY82">
        <f t="shared" ca="1" si="4"/>
        <v>0.97697394900886492</v>
      </c>
      <c r="AZ82">
        <f t="shared" ca="1" si="5"/>
        <v>-0.38847263560673023</v>
      </c>
      <c r="BA82">
        <f t="shared" ca="1" si="6"/>
        <v>-0.58673402517368045</v>
      </c>
      <c r="BB82">
        <f t="shared" ca="1" si="7"/>
        <v>-0.77928575472454809</v>
      </c>
    </row>
    <row r="83" spans="1:54" x14ac:dyDescent="0.25">
      <c r="A83" s="37">
        <v>44190</v>
      </c>
      <c r="B83" s="5">
        <v>10.1304</v>
      </c>
      <c r="C83">
        <v>-8.8455999999999992</v>
      </c>
      <c r="D83">
        <v>-1.2011000000000001</v>
      </c>
      <c r="E83">
        <v>54.4251</v>
      </c>
      <c r="F83">
        <v>6.8316999999999997</v>
      </c>
      <c r="G83">
        <v>0</v>
      </c>
      <c r="H83">
        <v>13.085100000000001</v>
      </c>
      <c r="I83">
        <v>-16.020499999999998</v>
      </c>
      <c r="J83">
        <v>73.885000000000005</v>
      </c>
      <c r="K83">
        <v>290599.15710000001</v>
      </c>
      <c r="M83" s="37">
        <v>44190</v>
      </c>
      <c r="N83" s="5">
        <v>7.0815999999999999</v>
      </c>
      <c r="O83">
        <v>2.7707999999999999</v>
      </c>
      <c r="P83">
        <v>0.28849999999999998</v>
      </c>
      <c r="Q83">
        <v>42.563699999999997</v>
      </c>
      <c r="R83">
        <v>3.5636999999999999</v>
      </c>
      <c r="S83" t="s">
        <v>33</v>
      </c>
      <c r="T83">
        <v>26.819400000000002</v>
      </c>
      <c r="U83">
        <v>11.735799999999999</v>
      </c>
      <c r="V83">
        <v>76.599999999999994</v>
      </c>
      <c r="W83">
        <v>111491.3961</v>
      </c>
      <c r="Y83" s="5">
        <v>3.0308000000000002</v>
      </c>
      <c r="Z83">
        <v>6.0420999999999996</v>
      </c>
      <c r="AA83">
        <v>0.54090000000000005</v>
      </c>
      <c r="AB83">
        <v>8.0347000000000008</v>
      </c>
      <c r="AC83">
        <v>-0.22020000000000001</v>
      </c>
      <c r="AD83" t="s">
        <v>33</v>
      </c>
      <c r="AE83">
        <v>8.59</v>
      </c>
      <c r="AF83">
        <v>6.5218999999999996</v>
      </c>
      <c r="AG83">
        <v>0.96799999999999997</v>
      </c>
      <c r="AH83">
        <v>7994.8573999999999</v>
      </c>
      <c r="AJ83">
        <v>3.8052999999999999</v>
      </c>
      <c r="AK83">
        <v>20.652100000000001</v>
      </c>
      <c r="AL83">
        <v>1.2417</v>
      </c>
      <c r="AM83">
        <v>39.084099999999999</v>
      </c>
      <c r="AN83">
        <v>0.66010000000000002</v>
      </c>
      <c r="AO83">
        <v>195.11080000000001</v>
      </c>
      <c r="AP83">
        <v>51.430999999999997</v>
      </c>
      <c r="AQ83">
        <v>40.930300000000003</v>
      </c>
      <c r="AR83">
        <v>147.03399999999999</v>
      </c>
      <c r="AS83">
        <v>121796.1269</v>
      </c>
      <c r="AU83" s="1">
        <f t="shared" si="8"/>
        <v>44190</v>
      </c>
      <c r="AV83" s="29">
        <f t="shared" si="9"/>
        <v>10.29328202881473</v>
      </c>
      <c r="AW83" s="30">
        <f t="shared" si="10"/>
        <v>0.85737787482684513</v>
      </c>
      <c r="AX83">
        <f t="shared" ca="1" si="3"/>
        <v>1.3065623078704283</v>
      </c>
      <c r="AY83">
        <f t="shared" ca="1" si="4"/>
        <v>0.97697394900886492</v>
      </c>
      <c r="AZ83">
        <f t="shared" ca="1" si="5"/>
        <v>-0.3759609050578519</v>
      </c>
      <c r="BA83">
        <f t="shared" ca="1" si="6"/>
        <v>-0.58673402517368045</v>
      </c>
      <c r="BB83">
        <f t="shared" ca="1" si="7"/>
        <v>-0.77928575472454809</v>
      </c>
    </row>
    <row r="84" spans="1:54" x14ac:dyDescent="0.25">
      <c r="A84" s="37">
        <v>44197</v>
      </c>
      <c r="B84" s="5">
        <v>6.8480999999999996</v>
      </c>
      <c r="C84">
        <v>-5.2655000000000003</v>
      </c>
      <c r="D84">
        <v>-0.23180000000000001</v>
      </c>
      <c r="E84">
        <v>51.462400000000002</v>
      </c>
      <c r="F84">
        <v>4.7710999999999997</v>
      </c>
      <c r="G84">
        <v>0</v>
      </c>
      <c r="H84">
        <v>20.077500000000001</v>
      </c>
      <c r="I84">
        <v>-8.7265999999999995</v>
      </c>
      <c r="J84">
        <v>69.385000000000005</v>
      </c>
      <c r="K84">
        <v>272900.08140000002</v>
      </c>
      <c r="M84" s="37">
        <v>44197</v>
      </c>
      <c r="N84" s="5">
        <v>7.5217999999999998</v>
      </c>
      <c r="O84">
        <v>3.1562000000000001</v>
      </c>
      <c r="P84">
        <v>-0.2535</v>
      </c>
      <c r="Q84">
        <v>47.8874</v>
      </c>
      <c r="R84">
        <v>3.6530999999999998</v>
      </c>
      <c r="S84" t="s">
        <v>33</v>
      </c>
      <c r="T84">
        <v>34.037100000000002</v>
      </c>
      <c r="U84">
        <v>15.170299999999999</v>
      </c>
      <c r="V84">
        <v>77.650000000000006</v>
      </c>
      <c r="W84">
        <v>113019.6725</v>
      </c>
      <c r="Y84" s="5">
        <v>2.3109999999999999</v>
      </c>
      <c r="Z84">
        <v>4.6585000000000001</v>
      </c>
      <c r="AA84">
        <v>0.16139999999999999</v>
      </c>
      <c r="AB84">
        <v>4.1731999999999996</v>
      </c>
      <c r="AC84">
        <v>-0.33300000000000002</v>
      </c>
      <c r="AD84" t="s">
        <v>33</v>
      </c>
      <c r="AE84">
        <v>10.618399999999999</v>
      </c>
      <c r="AF84">
        <v>7.6401000000000003</v>
      </c>
      <c r="AG84">
        <v>0.94899999999999995</v>
      </c>
      <c r="AH84">
        <v>7837.4782999999998</v>
      </c>
      <c r="AJ84">
        <v>4.4545000000000003</v>
      </c>
      <c r="AK84">
        <v>10.677300000000001</v>
      </c>
      <c r="AL84">
        <v>0.2878</v>
      </c>
      <c r="AM84">
        <v>39.918999999999997</v>
      </c>
      <c r="AN84">
        <v>1.0853999999999999</v>
      </c>
      <c r="AO84">
        <v>195.11080000000001</v>
      </c>
      <c r="AP84">
        <v>51.192</v>
      </c>
      <c r="AQ84">
        <v>38.009799999999998</v>
      </c>
      <c r="AR84">
        <v>146.88999999999999</v>
      </c>
      <c r="AS84">
        <v>121676.9526</v>
      </c>
      <c r="AU84" s="1">
        <f t="shared" si="8"/>
        <v>44197</v>
      </c>
      <c r="AV84" s="29">
        <f t="shared" si="9"/>
        <v>8.3276713406201157</v>
      </c>
      <c r="AW84" s="30">
        <f t="shared" si="10"/>
        <v>0.24785086026743314</v>
      </c>
      <c r="AX84">
        <f t="shared" ca="1" si="3"/>
        <v>1.3065623078704283</v>
      </c>
      <c r="AY84">
        <f t="shared" ca="1" si="4"/>
        <v>0.97697394900886492</v>
      </c>
      <c r="AZ84">
        <f t="shared" ca="1" si="5"/>
        <v>0.13230429937025751</v>
      </c>
      <c r="BA84">
        <f t="shared" ca="1" si="6"/>
        <v>-0.58673402517368045</v>
      </c>
      <c r="BB84">
        <f t="shared" ca="1" si="7"/>
        <v>-0.77928575472454809</v>
      </c>
    </row>
    <row r="85" spans="1:54" x14ac:dyDescent="0.25">
      <c r="A85" s="37">
        <v>44204</v>
      </c>
      <c r="B85" s="5">
        <v>6.8360000000000003</v>
      </c>
      <c r="C85">
        <v>-5.2655000000000003</v>
      </c>
      <c r="D85">
        <v>-0.23180000000000001</v>
      </c>
      <c r="E85">
        <v>51.462400000000002</v>
      </c>
      <c r="F85">
        <v>4.7710999999999997</v>
      </c>
      <c r="G85">
        <v>0</v>
      </c>
      <c r="H85">
        <v>20.077500000000001</v>
      </c>
      <c r="I85">
        <v>-8.7265999999999995</v>
      </c>
      <c r="J85">
        <v>68.97</v>
      </c>
      <c r="K85">
        <v>271267.8333</v>
      </c>
      <c r="M85" s="37">
        <v>44204</v>
      </c>
      <c r="N85" s="5">
        <v>7.3921999999999999</v>
      </c>
      <c r="O85">
        <v>3.1562000000000001</v>
      </c>
      <c r="P85">
        <v>-0.2535</v>
      </c>
      <c r="Q85">
        <v>47.8874</v>
      </c>
      <c r="R85">
        <v>3.6530999999999998</v>
      </c>
      <c r="S85" t="s">
        <v>33</v>
      </c>
      <c r="T85">
        <v>34.037100000000002</v>
      </c>
      <c r="U85">
        <v>15.170299999999999</v>
      </c>
      <c r="V85">
        <v>76.7</v>
      </c>
      <c r="W85">
        <v>111636.9463</v>
      </c>
      <c r="Y85" s="5">
        <v>2.2456</v>
      </c>
      <c r="Z85">
        <v>4.6585000000000001</v>
      </c>
      <c r="AA85">
        <v>0.16139999999999999</v>
      </c>
      <c r="AB85">
        <v>4.1731999999999996</v>
      </c>
      <c r="AC85">
        <v>-0.33300000000000002</v>
      </c>
      <c r="AD85" t="s">
        <v>33</v>
      </c>
      <c r="AE85">
        <v>10.618399999999999</v>
      </c>
      <c r="AF85">
        <v>7.6401000000000003</v>
      </c>
      <c r="AG85">
        <v>0.91800000000000004</v>
      </c>
      <c r="AH85">
        <v>7585.6718000000001</v>
      </c>
      <c r="AJ85">
        <v>4.5106000000000002</v>
      </c>
      <c r="AK85">
        <v>10.677300000000001</v>
      </c>
      <c r="AL85">
        <v>0.2878</v>
      </c>
      <c r="AM85">
        <v>39.918999999999997</v>
      </c>
      <c r="AN85">
        <v>1.0853999999999999</v>
      </c>
      <c r="AO85">
        <v>195.11080000000001</v>
      </c>
      <c r="AP85">
        <v>51.192</v>
      </c>
      <c r="AQ85">
        <v>38.009799999999998</v>
      </c>
      <c r="AR85">
        <v>149.33600000000001</v>
      </c>
      <c r="AS85">
        <v>123702.91559999999</v>
      </c>
      <c r="AU85" s="1">
        <f t="shared" si="8"/>
        <v>44204</v>
      </c>
      <c r="AV85" s="29">
        <f t="shared" si="9"/>
        <v>8.3347449006972045</v>
      </c>
      <c r="AW85" s="30">
        <f t="shared" si="10"/>
        <v>0.25004433936377174</v>
      </c>
      <c r="AX85">
        <f t="shared" ca="1" si="3"/>
        <v>1.3065623078704283</v>
      </c>
      <c r="AY85">
        <f t="shared" ca="1" si="4"/>
        <v>0.97697394900886492</v>
      </c>
      <c r="AZ85">
        <f t="shared" ca="1" si="5"/>
        <v>0.43986537956622984</v>
      </c>
      <c r="BA85">
        <f t="shared" ca="1" si="6"/>
        <v>-0.58673402517368045</v>
      </c>
      <c r="BB85">
        <f t="shared" ca="1" si="7"/>
        <v>-0.77928575472454809</v>
      </c>
    </row>
    <row r="86" spans="1:54" x14ac:dyDescent="0.25">
      <c r="A86" s="37">
        <v>44211</v>
      </c>
      <c r="B86" s="5">
        <v>6.6185</v>
      </c>
      <c r="C86">
        <v>-5.2655000000000003</v>
      </c>
      <c r="D86">
        <v>-0.23180000000000001</v>
      </c>
      <c r="E86">
        <v>51.462400000000002</v>
      </c>
      <c r="F86">
        <v>4.7710999999999997</v>
      </c>
      <c r="G86">
        <v>0</v>
      </c>
      <c r="H86">
        <v>20.077500000000001</v>
      </c>
      <c r="I86">
        <v>-8.7265999999999995</v>
      </c>
      <c r="J86">
        <v>61.54</v>
      </c>
      <c r="K86">
        <v>242044.69279999999</v>
      </c>
      <c r="M86" s="37">
        <v>44211</v>
      </c>
      <c r="N86" s="5">
        <v>7.3891</v>
      </c>
      <c r="O86">
        <v>3.1562000000000001</v>
      </c>
      <c r="P86">
        <v>-0.2535</v>
      </c>
      <c r="Q86">
        <v>47.8874</v>
      </c>
      <c r="R86">
        <v>3.6530999999999998</v>
      </c>
      <c r="S86" t="s">
        <v>33</v>
      </c>
      <c r="T86">
        <v>34.037100000000002</v>
      </c>
      <c r="U86">
        <v>15.170299999999999</v>
      </c>
      <c r="V86">
        <v>77.8</v>
      </c>
      <c r="W86">
        <v>113237.9976</v>
      </c>
      <c r="Y86" s="5">
        <v>2.2210999999999999</v>
      </c>
      <c r="Z86">
        <v>4.6585000000000001</v>
      </c>
      <c r="AA86">
        <v>0.16139999999999999</v>
      </c>
      <c r="AB86">
        <v>4.1731999999999996</v>
      </c>
      <c r="AC86">
        <v>-0.33300000000000002</v>
      </c>
      <c r="AD86" t="s">
        <v>33</v>
      </c>
      <c r="AE86">
        <v>10.618399999999999</v>
      </c>
      <c r="AF86">
        <v>7.6401000000000003</v>
      </c>
      <c r="AG86">
        <v>0.90700000000000003</v>
      </c>
      <c r="AH86">
        <v>7491.2443000000003</v>
      </c>
      <c r="AJ86">
        <v>4.5513000000000003</v>
      </c>
      <c r="AK86">
        <v>10.677300000000001</v>
      </c>
      <c r="AL86">
        <v>0.2878</v>
      </c>
      <c r="AM86">
        <v>39.918999999999997</v>
      </c>
      <c r="AN86">
        <v>1.0853999999999999</v>
      </c>
      <c r="AO86">
        <v>195.11080000000001</v>
      </c>
      <c r="AP86">
        <v>51.192</v>
      </c>
      <c r="AQ86">
        <v>38.009799999999998</v>
      </c>
      <c r="AR86">
        <v>151.11000000000001</v>
      </c>
      <c r="AS86">
        <v>125172.73179999999</v>
      </c>
      <c r="AU86" s="1">
        <f t="shared" si="8"/>
        <v>44211</v>
      </c>
      <c r="AV86" s="29">
        <f t="shared" si="9"/>
        <v>8.3386287022539793</v>
      </c>
      <c r="AW86" s="30">
        <f t="shared" si="10"/>
        <v>0.25124868872056955</v>
      </c>
      <c r="AX86">
        <f t="shared" ca="1" si="3"/>
        <v>1.3065623078704283</v>
      </c>
      <c r="AY86">
        <f t="shared" ca="1" si="4"/>
        <v>0.97697394900886492</v>
      </c>
      <c r="AZ86">
        <f t="shared" ca="1" si="5"/>
        <v>0.4409621191143992</v>
      </c>
      <c r="BA86">
        <f t="shared" ca="1" si="6"/>
        <v>-0.58673402517368045</v>
      </c>
      <c r="BB86">
        <f t="shared" ca="1" si="7"/>
        <v>-0.77928575472454809</v>
      </c>
    </row>
    <row r="87" spans="1:54" x14ac:dyDescent="0.25">
      <c r="A87" s="37">
        <v>44218</v>
      </c>
      <c r="B87" s="5">
        <v>6.4574999999999996</v>
      </c>
      <c r="C87">
        <v>-5.2655000000000003</v>
      </c>
      <c r="D87">
        <v>-0.23180000000000001</v>
      </c>
      <c r="E87">
        <v>51.462400000000002</v>
      </c>
      <c r="F87">
        <v>4.7710999999999997</v>
      </c>
      <c r="G87">
        <v>0</v>
      </c>
      <c r="H87">
        <v>20.077500000000001</v>
      </c>
      <c r="I87">
        <v>-8.7265999999999995</v>
      </c>
      <c r="J87">
        <v>56.04</v>
      </c>
      <c r="K87">
        <v>220412.48920000001</v>
      </c>
      <c r="M87" s="37">
        <v>44218</v>
      </c>
      <c r="N87" s="5">
        <v>7.1723999999999997</v>
      </c>
      <c r="O87">
        <v>3.1562000000000001</v>
      </c>
      <c r="P87">
        <v>-0.2535</v>
      </c>
      <c r="Q87">
        <v>47.8874</v>
      </c>
      <c r="R87">
        <v>3.6530999999999998</v>
      </c>
      <c r="S87" t="s">
        <v>33</v>
      </c>
      <c r="T87">
        <v>34.037100000000002</v>
      </c>
      <c r="U87">
        <v>15.170299999999999</v>
      </c>
      <c r="V87">
        <v>74.55</v>
      </c>
      <c r="W87">
        <v>108507.6186</v>
      </c>
      <c r="Y87" s="5">
        <v>2.1147999999999998</v>
      </c>
      <c r="Z87">
        <v>4.6585000000000001</v>
      </c>
      <c r="AA87">
        <v>0.16139999999999999</v>
      </c>
      <c r="AB87">
        <v>4.1731999999999996</v>
      </c>
      <c r="AC87">
        <v>-0.33300000000000002</v>
      </c>
      <c r="AD87" t="s">
        <v>33</v>
      </c>
      <c r="AE87">
        <v>10.618399999999999</v>
      </c>
      <c r="AF87">
        <v>7.6401000000000003</v>
      </c>
      <c r="AG87">
        <v>0.85699999999999998</v>
      </c>
      <c r="AH87">
        <v>7082.0586999999996</v>
      </c>
      <c r="AJ87">
        <v>4.4676999999999998</v>
      </c>
      <c r="AK87">
        <v>10.677300000000001</v>
      </c>
      <c r="AL87">
        <v>0.2878</v>
      </c>
      <c r="AM87">
        <v>39.918999999999997</v>
      </c>
      <c r="AN87">
        <v>1.0853999999999999</v>
      </c>
      <c r="AO87">
        <v>195.11080000000001</v>
      </c>
      <c r="AP87">
        <v>51.192</v>
      </c>
      <c r="AQ87">
        <v>38.009799999999998</v>
      </c>
      <c r="AR87">
        <v>147.465</v>
      </c>
      <c r="AS87">
        <v>122153.6498</v>
      </c>
      <c r="AU87" s="1">
        <f t="shared" si="8"/>
        <v>44218</v>
      </c>
      <c r="AV87" s="29">
        <f t="shared" si="9"/>
        <v>8.2210680972078212</v>
      </c>
      <c r="AW87" s="30">
        <f t="shared" si="10"/>
        <v>0.21479367499178367</v>
      </c>
      <c r="AX87">
        <f t="shared" ca="1" si="3"/>
        <v>1.3065623078704283</v>
      </c>
      <c r="AY87">
        <f t="shared" ca="1" si="4"/>
        <v>0.97697394900886492</v>
      </c>
      <c r="AZ87">
        <f t="shared" ca="1" si="5"/>
        <v>0.44156429379279805</v>
      </c>
      <c r="BA87">
        <f t="shared" ca="1" si="6"/>
        <v>-0.58673402517368045</v>
      </c>
      <c r="BB87">
        <f t="shared" ca="1" si="7"/>
        <v>-0.77928575472454809</v>
      </c>
    </row>
    <row r="88" spans="1:54" x14ac:dyDescent="0.25">
      <c r="A88" s="37">
        <v>44225</v>
      </c>
      <c r="B88" s="5">
        <v>6.5389999999999997</v>
      </c>
      <c r="C88">
        <v>-5.2655000000000003</v>
      </c>
      <c r="D88">
        <v>-0.23180000000000001</v>
      </c>
      <c r="E88">
        <v>51.462400000000002</v>
      </c>
      <c r="F88">
        <v>4.7710999999999997</v>
      </c>
      <c r="G88">
        <v>0</v>
      </c>
      <c r="H88">
        <v>20.077500000000001</v>
      </c>
      <c r="I88">
        <v>-8.7265999999999995</v>
      </c>
      <c r="J88">
        <v>58.825000000000003</v>
      </c>
      <c r="K88">
        <v>231366.25049999999</v>
      </c>
      <c r="M88" s="37">
        <v>44225</v>
      </c>
      <c r="N88" s="5">
        <v>7.2843</v>
      </c>
      <c r="O88">
        <v>3.1562000000000001</v>
      </c>
      <c r="P88">
        <v>-0.2535</v>
      </c>
      <c r="Q88">
        <v>47.8874</v>
      </c>
      <c r="R88">
        <v>3.6530999999999998</v>
      </c>
      <c r="S88" t="s">
        <v>33</v>
      </c>
      <c r="T88">
        <v>34.037100000000002</v>
      </c>
      <c r="U88">
        <v>15.170299999999999</v>
      </c>
      <c r="V88">
        <v>78.45</v>
      </c>
      <c r="W88">
        <v>114184.0735</v>
      </c>
      <c r="Y88" s="5">
        <v>2.2538</v>
      </c>
      <c r="Z88">
        <v>4.6585000000000001</v>
      </c>
      <c r="AA88">
        <v>0.16139999999999999</v>
      </c>
      <c r="AB88">
        <v>4.1731999999999996</v>
      </c>
      <c r="AC88">
        <v>-0.33300000000000002</v>
      </c>
      <c r="AD88" t="s">
        <v>33</v>
      </c>
      <c r="AE88">
        <v>10.618399999999999</v>
      </c>
      <c r="AF88">
        <v>7.6401000000000003</v>
      </c>
      <c r="AG88">
        <v>0.92200000000000004</v>
      </c>
      <c r="AH88">
        <v>7617.1476000000002</v>
      </c>
      <c r="AJ88">
        <v>4.4215</v>
      </c>
      <c r="AK88">
        <v>10.677300000000001</v>
      </c>
      <c r="AL88">
        <v>0.2878</v>
      </c>
      <c r="AM88">
        <v>39.918999999999997</v>
      </c>
      <c r="AN88">
        <v>1.0853999999999999</v>
      </c>
      <c r="AO88">
        <v>195.11080000000001</v>
      </c>
      <c r="AP88">
        <v>51.192</v>
      </c>
      <c r="AQ88">
        <v>38.009799999999998</v>
      </c>
      <c r="AR88">
        <v>145.45099999999999</v>
      </c>
      <c r="AS88">
        <v>120485.20970000001</v>
      </c>
      <c r="AU88" s="1">
        <f t="shared" si="8"/>
        <v>44225</v>
      </c>
      <c r="AV88" s="29">
        <f t="shared" si="9"/>
        <v>8.19596387926509</v>
      </c>
      <c r="AW88" s="30">
        <f t="shared" si="10"/>
        <v>0.20700897016321146</v>
      </c>
      <c r="AX88">
        <f t="shared" ca="1" si="3"/>
        <v>1.3065623078704283</v>
      </c>
      <c r="AY88">
        <f t="shared" ca="1" si="4"/>
        <v>0.97697394900886492</v>
      </c>
      <c r="AZ88">
        <f t="shared" ca="1" si="5"/>
        <v>0.44156429379279805</v>
      </c>
      <c r="BA88">
        <f t="shared" ca="1" si="6"/>
        <v>-0.58673402517368045</v>
      </c>
      <c r="BB88">
        <f t="shared" ca="1" si="7"/>
        <v>-0.77928575472454809</v>
      </c>
    </row>
    <row r="89" spans="1:54" x14ac:dyDescent="0.25">
      <c r="A89" s="37">
        <v>44232</v>
      </c>
      <c r="B89" s="5">
        <v>6.6948999999999996</v>
      </c>
      <c r="C89">
        <v>-5.2655000000000003</v>
      </c>
      <c r="D89">
        <v>-0.23180000000000001</v>
      </c>
      <c r="E89">
        <v>51.462400000000002</v>
      </c>
      <c r="F89">
        <v>4.7710999999999997</v>
      </c>
      <c r="G89">
        <v>0</v>
      </c>
      <c r="H89">
        <v>20.077500000000001</v>
      </c>
      <c r="I89">
        <v>-8.7265999999999995</v>
      </c>
      <c r="J89">
        <v>64.150000000000006</v>
      </c>
      <c r="K89">
        <v>252310.15669999999</v>
      </c>
      <c r="M89" s="37">
        <v>44232</v>
      </c>
      <c r="N89" s="5">
        <v>7.4813999999999998</v>
      </c>
      <c r="O89">
        <v>3.1562000000000001</v>
      </c>
      <c r="P89">
        <v>-0.2535</v>
      </c>
      <c r="Q89">
        <v>47.8874</v>
      </c>
      <c r="R89">
        <v>3.6530999999999998</v>
      </c>
      <c r="S89" t="s">
        <v>33</v>
      </c>
      <c r="T89">
        <v>34.037100000000002</v>
      </c>
      <c r="U89">
        <v>15.170299999999999</v>
      </c>
      <c r="V89">
        <v>84.2</v>
      </c>
      <c r="W89">
        <v>122553.20570000001</v>
      </c>
      <c r="Y89" s="5">
        <v>2.4171999999999998</v>
      </c>
      <c r="Z89">
        <v>4.6585000000000001</v>
      </c>
      <c r="AA89">
        <v>0.16139999999999999</v>
      </c>
      <c r="AB89">
        <v>4.1731999999999996</v>
      </c>
      <c r="AC89">
        <v>-0.33300000000000002</v>
      </c>
      <c r="AD89" t="s">
        <v>33</v>
      </c>
      <c r="AE89">
        <v>10.618399999999999</v>
      </c>
      <c r="AF89">
        <v>7.6401000000000003</v>
      </c>
      <c r="AG89">
        <v>0.998</v>
      </c>
      <c r="AH89">
        <v>8246.6638999999996</v>
      </c>
      <c r="AJ89">
        <v>4.5392000000000001</v>
      </c>
      <c r="AK89">
        <v>10.677300000000001</v>
      </c>
      <c r="AL89">
        <v>0.2878</v>
      </c>
      <c r="AM89">
        <v>39.918999999999997</v>
      </c>
      <c r="AN89">
        <v>1.0853999999999999</v>
      </c>
      <c r="AO89">
        <v>195.11080000000001</v>
      </c>
      <c r="AP89">
        <v>51.192</v>
      </c>
      <c r="AQ89">
        <v>38.009799999999998</v>
      </c>
      <c r="AR89">
        <v>150.583</v>
      </c>
      <c r="AS89">
        <v>124735.7594</v>
      </c>
      <c r="AU89" s="1">
        <f t="shared" si="8"/>
        <v>44232</v>
      </c>
      <c r="AV89" s="29">
        <f t="shared" si="9"/>
        <v>8.332319691791815</v>
      </c>
      <c r="AW89" s="30">
        <f t="shared" si="10"/>
        <v>0.24929229301366629</v>
      </c>
      <c r="AX89">
        <f t="shared" ca="1" si="3"/>
        <v>1.3065623078704283</v>
      </c>
      <c r="AY89">
        <f t="shared" ca="1" si="4"/>
        <v>0.97697394900886492</v>
      </c>
      <c r="AZ89">
        <f t="shared" ca="1" si="5"/>
        <v>0.44156429379279805</v>
      </c>
      <c r="BA89">
        <f t="shared" ca="1" si="6"/>
        <v>-0.58673402517368045</v>
      </c>
      <c r="BB89">
        <f t="shared" ca="1" si="7"/>
        <v>-0.77928575472454809</v>
      </c>
    </row>
    <row r="90" spans="1:54" x14ac:dyDescent="0.25">
      <c r="A90" s="37">
        <v>44239</v>
      </c>
      <c r="B90" s="5">
        <v>6.8220999999999998</v>
      </c>
      <c r="C90">
        <v>-5.2655000000000003</v>
      </c>
      <c r="D90">
        <v>-0.23180000000000001</v>
      </c>
      <c r="E90">
        <v>51.462400000000002</v>
      </c>
      <c r="F90">
        <v>4.7710999999999997</v>
      </c>
      <c r="G90">
        <v>0</v>
      </c>
      <c r="H90">
        <v>20.077500000000001</v>
      </c>
      <c r="I90">
        <v>-8.7265999999999995</v>
      </c>
      <c r="J90">
        <v>68.495000000000005</v>
      </c>
      <c r="K90">
        <v>269399.59759999998</v>
      </c>
      <c r="M90" s="37">
        <v>44239</v>
      </c>
      <c r="N90" s="5">
        <v>7.4518000000000004</v>
      </c>
      <c r="O90">
        <v>3.1562000000000001</v>
      </c>
      <c r="P90">
        <v>-0.2535</v>
      </c>
      <c r="Q90">
        <v>47.8874</v>
      </c>
      <c r="R90">
        <v>3.6530999999999998</v>
      </c>
      <c r="S90" t="s">
        <v>33</v>
      </c>
      <c r="T90">
        <v>34.037100000000002</v>
      </c>
      <c r="U90">
        <v>15.170299999999999</v>
      </c>
      <c r="V90">
        <v>84.55</v>
      </c>
      <c r="W90">
        <v>123062.6311</v>
      </c>
      <c r="Y90" s="5">
        <v>2.4499</v>
      </c>
      <c r="Z90">
        <v>4.6585000000000001</v>
      </c>
      <c r="AA90">
        <v>0.16139999999999999</v>
      </c>
      <c r="AB90">
        <v>4.1731999999999996</v>
      </c>
      <c r="AC90">
        <v>-0.33300000000000002</v>
      </c>
      <c r="AD90" t="s">
        <v>33</v>
      </c>
      <c r="AE90">
        <v>10.618399999999999</v>
      </c>
      <c r="AF90">
        <v>7.6401000000000003</v>
      </c>
      <c r="AG90">
        <v>1.0129999999999999</v>
      </c>
      <c r="AH90">
        <v>8372.5671999999995</v>
      </c>
      <c r="AJ90">
        <v>4.4028</v>
      </c>
      <c r="AK90">
        <v>10.677300000000001</v>
      </c>
      <c r="AL90">
        <v>0.2878</v>
      </c>
      <c r="AM90">
        <v>39.918999999999997</v>
      </c>
      <c r="AN90">
        <v>1.0853999999999999</v>
      </c>
      <c r="AO90">
        <v>195.11080000000001</v>
      </c>
      <c r="AP90">
        <v>51.192</v>
      </c>
      <c r="AQ90">
        <v>38.009799999999998</v>
      </c>
      <c r="AR90">
        <v>144.636</v>
      </c>
      <c r="AS90">
        <v>119809.8887</v>
      </c>
      <c r="AU90" s="1">
        <f t="shared" si="8"/>
        <v>44239</v>
      </c>
      <c r="AV90" s="29">
        <f t="shared" si="9"/>
        <v>8.2401030882398487</v>
      </c>
      <c r="AW90" s="30">
        <f t="shared" si="10"/>
        <v>0.22069633991195337</v>
      </c>
      <c r="AX90">
        <f t="shared" ca="1" si="3"/>
        <v>1.3065623078704283</v>
      </c>
      <c r="AY90">
        <f t="shared" ca="1" si="4"/>
        <v>0.97697394900886492</v>
      </c>
      <c r="AZ90">
        <f t="shared" ca="1" si="5"/>
        <v>0.44156429379279805</v>
      </c>
      <c r="BA90">
        <f t="shared" ca="1" si="6"/>
        <v>-0.58673402517368045</v>
      </c>
      <c r="BB90">
        <f t="shared" ca="1" si="7"/>
        <v>-0.77928575472454809</v>
      </c>
    </row>
    <row r="91" spans="1:54" x14ac:dyDescent="0.25">
      <c r="A91" s="37">
        <v>44246</v>
      </c>
      <c r="B91" s="5">
        <v>6.6925999999999997</v>
      </c>
      <c r="C91">
        <v>-5.2655000000000003</v>
      </c>
      <c r="D91">
        <v>-0.23180000000000001</v>
      </c>
      <c r="E91">
        <v>51.462400000000002</v>
      </c>
      <c r="F91">
        <v>4.7710999999999997</v>
      </c>
      <c r="G91">
        <v>0</v>
      </c>
      <c r="H91">
        <v>20.077500000000001</v>
      </c>
      <c r="I91">
        <v>-8.7265999999999995</v>
      </c>
      <c r="J91">
        <v>64.069999999999993</v>
      </c>
      <c r="K91">
        <v>251995.50649999999</v>
      </c>
      <c r="M91" s="37">
        <v>44246</v>
      </c>
      <c r="N91" s="5">
        <v>7.4306999999999999</v>
      </c>
      <c r="O91">
        <v>3.1562000000000001</v>
      </c>
      <c r="P91">
        <v>-0.2535</v>
      </c>
      <c r="Q91">
        <v>47.8874</v>
      </c>
      <c r="R91">
        <v>3.6530999999999998</v>
      </c>
      <c r="S91" t="s">
        <v>33</v>
      </c>
      <c r="T91">
        <v>34.037100000000002</v>
      </c>
      <c r="U91">
        <v>15.170299999999999</v>
      </c>
      <c r="V91">
        <v>85.25</v>
      </c>
      <c r="W91">
        <v>124081.482</v>
      </c>
      <c r="Y91" s="5">
        <v>2.4009</v>
      </c>
      <c r="Z91">
        <v>4.6585000000000001</v>
      </c>
      <c r="AA91">
        <v>0.16139999999999999</v>
      </c>
      <c r="AB91">
        <v>4.1731999999999996</v>
      </c>
      <c r="AC91">
        <v>-0.33300000000000002</v>
      </c>
      <c r="AD91" t="s">
        <v>33</v>
      </c>
      <c r="AE91">
        <v>10.618399999999999</v>
      </c>
      <c r="AF91">
        <v>7.6401000000000003</v>
      </c>
      <c r="AG91">
        <v>0.99099999999999999</v>
      </c>
      <c r="AH91">
        <v>8183.7123000000001</v>
      </c>
      <c r="AJ91">
        <v>4.3841000000000001</v>
      </c>
      <c r="AK91">
        <v>10.677300000000001</v>
      </c>
      <c r="AL91">
        <v>0.2878</v>
      </c>
      <c r="AM91">
        <v>39.918999999999997</v>
      </c>
      <c r="AN91">
        <v>1.0853999999999999</v>
      </c>
      <c r="AO91">
        <v>195.11080000000001</v>
      </c>
      <c r="AP91">
        <v>51.192</v>
      </c>
      <c r="AQ91">
        <v>38.009799999999998</v>
      </c>
      <c r="AR91">
        <v>143.821</v>
      </c>
      <c r="AS91">
        <v>119134.5677</v>
      </c>
      <c r="AU91" s="1">
        <f t="shared" si="8"/>
        <v>44246</v>
      </c>
      <c r="AV91" s="29">
        <f t="shared" si="9"/>
        <v>8.1987658942351551</v>
      </c>
      <c r="AW91" s="30">
        <f t="shared" si="10"/>
        <v>0.20787786237554637</v>
      </c>
      <c r="AX91">
        <f t="shared" ca="1" si="3"/>
        <v>1.3065623078704283</v>
      </c>
      <c r="AY91">
        <f t="shared" ca="1" si="4"/>
        <v>0.97697394900886492</v>
      </c>
      <c r="AZ91">
        <f t="shared" ca="1" si="5"/>
        <v>0.44156429379279805</v>
      </c>
      <c r="BA91">
        <f t="shared" ca="1" si="6"/>
        <v>-0.58673402517368045</v>
      </c>
      <c r="BB91">
        <f t="shared" ca="1" si="7"/>
        <v>-0.77928575472454809</v>
      </c>
    </row>
    <row r="92" spans="1:54" x14ac:dyDescent="0.25">
      <c r="A92" s="37">
        <v>44253</v>
      </c>
      <c r="B92" s="5">
        <v>6.6877000000000004</v>
      </c>
      <c r="C92">
        <v>-5.2655000000000003</v>
      </c>
      <c r="D92">
        <v>-0.23180000000000001</v>
      </c>
      <c r="E92">
        <v>51.462400000000002</v>
      </c>
      <c r="F92">
        <v>4.7710999999999997</v>
      </c>
      <c r="G92">
        <v>0</v>
      </c>
      <c r="H92">
        <v>20.077500000000001</v>
      </c>
      <c r="I92">
        <v>-8.7265999999999995</v>
      </c>
      <c r="J92">
        <v>63.905000000000001</v>
      </c>
      <c r="K92">
        <v>251346.5404</v>
      </c>
      <c r="M92" s="37">
        <v>44253</v>
      </c>
      <c r="N92" s="5">
        <v>7.0613000000000001</v>
      </c>
      <c r="O92">
        <v>3.1562000000000001</v>
      </c>
      <c r="P92">
        <v>-0.2535</v>
      </c>
      <c r="Q92">
        <v>47.8874</v>
      </c>
      <c r="R92">
        <v>3.6530999999999998</v>
      </c>
      <c r="S92" t="s">
        <v>33</v>
      </c>
      <c r="T92">
        <v>34.037100000000002</v>
      </c>
      <c r="U92">
        <v>15.170299999999999</v>
      </c>
      <c r="V92">
        <v>78</v>
      </c>
      <c r="W92">
        <v>113529.09789999999</v>
      </c>
      <c r="Y92" s="5">
        <v>2.36</v>
      </c>
      <c r="Z92">
        <v>4.6585000000000001</v>
      </c>
      <c r="AA92">
        <v>0.16139999999999999</v>
      </c>
      <c r="AB92">
        <v>4.1731999999999996</v>
      </c>
      <c r="AC92">
        <v>-0.33300000000000002</v>
      </c>
      <c r="AD92" t="s">
        <v>33</v>
      </c>
      <c r="AE92">
        <v>10.618399999999999</v>
      </c>
      <c r="AF92">
        <v>7.6401000000000003</v>
      </c>
      <c r="AG92">
        <v>0.97199999999999998</v>
      </c>
      <c r="AH92">
        <v>8026.3332</v>
      </c>
      <c r="AJ92">
        <v>4.1398999999999999</v>
      </c>
      <c r="AK92">
        <v>10.677300000000001</v>
      </c>
      <c r="AL92">
        <v>0.2878</v>
      </c>
      <c r="AM92">
        <v>39.918999999999997</v>
      </c>
      <c r="AN92">
        <v>1.0853999999999999</v>
      </c>
      <c r="AO92">
        <v>195.11080000000001</v>
      </c>
      <c r="AP92">
        <v>51.192</v>
      </c>
      <c r="AQ92">
        <v>38.009799999999998</v>
      </c>
      <c r="AR92">
        <v>133.17500000000001</v>
      </c>
      <c r="AS92">
        <v>110315.67</v>
      </c>
      <c r="AU92" s="1">
        <f t="shared" si="8"/>
        <v>44253</v>
      </c>
      <c r="AV92" s="29">
        <f t="shared" si="9"/>
        <v>7.932999801314673</v>
      </c>
      <c r="AW92" s="30">
        <f t="shared" si="10"/>
        <v>0.1254649948825802</v>
      </c>
      <c r="AX92">
        <f t="shared" ca="1" si="3"/>
        <v>1.3065623078704283</v>
      </c>
      <c r="AY92">
        <f t="shared" ca="1" si="4"/>
        <v>0.97697394900886492</v>
      </c>
      <c r="AZ92">
        <f t="shared" ca="1" si="5"/>
        <v>0.44156429379279805</v>
      </c>
      <c r="BA92">
        <f t="shared" ca="1" si="6"/>
        <v>-0.58673402517368045</v>
      </c>
      <c r="BB92">
        <f t="shared" ca="1" si="7"/>
        <v>-0.77928575472454809</v>
      </c>
    </row>
    <row r="93" spans="1:54" x14ac:dyDescent="0.25">
      <c r="A93" s="37">
        <v>44260</v>
      </c>
      <c r="B93" s="5">
        <v>6.6825999999999999</v>
      </c>
      <c r="C93">
        <v>-5.2655000000000003</v>
      </c>
      <c r="D93">
        <v>-0.23180000000000001</v>
      </c>
      <c r="E93">
        <v>51.462400000000002</v>
      </c>
      <c r="F93">
        <v>4.7710999999999997</v>
      </c>
      <c r="G93">
        <v>0</v>
      </c>
      <c r="H93">
        <v>20.077500000000001</v>
      </c>
      <c r="I93">
        <v>-8.7265999999999995</v>
      </c>
      <c r="J93">
        <v>63.73</v>
      </c>
      <c r="K93">
        <v>250658.24299999999</v>
      </c>
      <c r="M93" s="37">
        <v>44260</v>
      </c>
      <c r="N93" s="5">
        <v>7.1932</v>
      </c>
      <c r="O93">
        <v>3.1562000000000001</v>
      </c>
      <c r="P93">
        <v>-0.2535</v>
      </c>
      <c r="Q93">
        <v>47.8874</v>
      </c>
      <c r="R93">
        <v>3.6530999999999998</v>
      </c>
      <c r="S93" t="s">
        <v>33</v>
      </c>
      <c r="T93">
        <v>34.037100000000002</v>
      </c>
      <c r="U93">
        <v>15.170299999999999</v>
      </c>
      <c r="V93">
        <v>82.05</v>
      </c>
      <c r="W93">
        <v>119423.878</v>
      </c>
      <c r="Y93" s="5">
        <v>2.2292000000000001</v>
      </c>
      <c r="Z93">
        <v>4.6585000000000001</v>
      </c>
      <c r="AA93">
        <v>0.16139999999999999</v>
      </c>
      <c r="AB93">
        <v>4.1731999999999996</v>
      </c>
      <c r="AC93">
        <v>-0.33300000000000002</v>
      </c>
      <c r="AD93" t="s">
        <v>33</v>
      </c>
      <c r="AE93">
        <v>10.618399999999999</v>
      </c>
      <c r="AF93">
        <v>7.6401000000000003</v>
      </c>
      <c r="AG93">
        <v>0.91100000000000003</v>
      </c>
      <c r="AH93">
        <v>7522.7200999999995</v>
      </c>
      <c r="AJ93">
        <v>4.1002999999999998</v>
      </c>
      <c r="AK93">
        <v>10.677300000000001</v>
      </c>
      <c r="AL93">
        <v>0.2878</v>
      </c>
      <c r="AM93">
        <v>39.918999999999997</v>
      </c>
      <c r="AN93">
        <v>1.0853999999999999</v>
      </c>
      <c r="AO93">
        <v>195.11080000000001</v>
      </c>
      <c r="AP93">
        <v>51.192</v>
      </c>
      <c r="AQ93">
        <v>38.009799999999998</v>
      </c>
      <c r="AR93">
        <v>131.44800000000001</v>
      </c>
      <c r="AS93">
        <v>108885.5785</v>
      </c>
      <c r="AU93" s="1">
        <f t="shared" si="8"/>
        <v>44260</v>
      </c>
      <c r="AV93" s="29">
        <f t="shared" si="9"/>
        <v>7.93772079388701</v>
      </c>
      <c r="AW93" s="30">
        <f t="shared" si="10"/>
        <v>0.12692895339972521</v>
      </c>
      <c r="AX93">
        <f t="shared" ca="1" si="3"/>
        <v>1.3065623078704283</v>
      </c>
      <c r="AY93">
        <f t="shared" ca="1" si="4"/>
        <v>0.97697394900886492</v>
      </c>
      <c r="AZ93">
        <f t="shared" ca="1" si="5"/>
        <v>0.44156429379279805</v>
      </c>
      <c r="BA93">
        <f t="shared" ca="1" si="6"/>
        <v>-0.58673402517368045</v>
      </c>
      <c r="BB93">
        <f t="shared" ca="1" si="7"/>
        <v>-0.77928575472454809</v>
      </c>
    </row>
    <row r="94" spans="1:54" x14ac:dyDescent="0.25">
      <c r="A94" s="37">
        <v>44267</v>
      </c>
      <c r="B94" s="5">
        <v>6.7386999999999997</v>
      </c>
      <c r="C94">
        <v>-5.2655000000000003</v>
      </c>
      <c r="D94">
        <v>-0.23180000000000001</v>
      </c>
      <c r="E94">
        <v>51.462400000000002</v>
      </c>
      <c r="F94">
        <v>4.7710999999999997</v>
      </c>
      <c r="G94">
        <v>0</v>
      </c>
      <c r="H94">
        <v>20.077500000000001</v>
      </c>
      <c r="I94">
        <v>-8.7265999999999995</v>
      </c>
      <c r="J94">
        <v>65.644999999999996</v>
      </c>
      <c r="K94">
        <v>258190.18299999999</v>
      </c>
      <c r="M94" s="37">
        <v>44267</v>
      </c>
      <c r="N94" s="5">
        <v>7.3364000000000003</v>
      </c>
      <c r="O94">
        <v>3.1562000000000001</v>
      </c>
      <c r="P94">
        <v>-0.2535</v>
      </c>
      <c r="Q94">
        <v>47.8874</v>
      </c>
      <c r="R94">
        <v>3.6530999999999998</v>
      </c>
      <c r="S94" t="s">
        <v>33</v>
      </c>
      <c r="T94">
        <v>34.037100000000002</v>
      </c>
      <c r="U94">
        <v>15.170299999999999</v>
      </c>
      <c r="V94">
        <v>86.3</v>
      </c>
      <c r="W94">
        <v>125609.7583</v>
      </c>
      <c r="Y94" s="5">
        <v>2.2292000000000001</v>
      </c>
      <c r="Z94">
        <v>4.6585000000000001</v>
      </c>
      <c r="AA94">
        <v>0.16139999999999999</v>
      </c>
      <c r="AB94">
        <v>4.1731999999999996</v>
      </c>
      <c r="AC94">
        <v>-0.33300000000000002</v>
      </c>
      <c r="AD94" t="s">
        <v>33</v>
      </c>
      <c r="AE94">
        <v>10.618399999999999</v>
      </c>
      <c r="AF94">
        <v>7.6401000000000003</v>
      </c>
      <c r="AG94">
        <v>0.91100000000000003</v>
      </c>
      <c r="AH94">
        <v>7522.7200999999995</v>
      </c>
      <c r="AJ94">
        <v>4.1608000000000001</v>
      </c>
      <c r="AK94">
        <v>10.677300000000001</v>
      </c>
      <c r="AL94">
        <v>0.2878</v>
      </c>
      <c r="AM94">
        <v>39.918999999999997</v>
      </c>
      <c r="AN94">
        <v>1.0853999999999999</v>
      </c>
      <c r="AO94">
        <v>195.11080000000001</v>
      </c>
      <c r="AP94">
        <v>51.192</v>
      </c>
      <c r="AQ94">
        <v>38.009799999999998</v>
      </c>
      <c r="AR94">
        <v>134.08600000000001</v>
      </c>
      <c r="AS94">
        <v>111070.4406</v>
      </c>
      <c r="AU94" s="1">
        <f t="shared" si="8"/>
        <v>44267</v>
      </c>
      <c r="AV94" s="29">
        <f t="shared" si="9"/>
        <v>8.0248384865697435</v>
      </c>
      <c r="AW94" s="30">
        <f t="shared" si="10"/>
        <v>0.1539437572238655</v>
      </c>
      <c r="AX94">
        <f t="shared" ca="1" si="3"/>
        <v>1.3065623078704283</v>
      </c>
      <c r="AY94">
        <f t="shared" ca="1" si="4"/>
        <v>0.97697394900886492</v>
      </c>
      <c r="AZ94">
        <f t="shared" ca="1" si="5"/>
        <v>0.44156429379279805</v>
      </c>
      <c r="BA94">
        <f t="shared" ca="1" si="6"/>
        <v>-0.56501388478080383</v>
      </c>
      <c r="BB94">
        <f t="shared" ca="1" si="7"/>
        <v>-0.77928575472454809</v>
      </c>
    </row>
    <row r="95" spans="1:54" x14ac:dyDescent="0.25">
      <c r="A95" s="37">
        <v>44274</v>
      </c>
      <c r="B95" s="5">
        <v>6.7375999999999996</v>
      </c>
      <c r="C95">
        <v>-5.2655000000000003</v>
      </c>
      <c r="D95">
        <v>-0.23180000000000001</v>
      </c>
      <c r="E95">
        <v>51.462400000000002</v>
      </c>
      <c r="F95">
        <v>4.7710999999999997</v>
      </c>
      <c r="G95">
        <v>0</v>
      </c>
      <c r="H95">
        <v>20.077500000000001</v>
      </c>
      <c r="I95">
        <v>-8.7265999999999995</v>
      </c>
      <c r="J95">
        <v>65.61</v>
      </c>
      <c r="K95">
        <v>258052.52350000001</v>
      </c>
      <c r="M95" s="37">
        <v>44274</v>
      </c>
      <c r="N95" s="5">
        <v>7.2690000000000001</v>
      </c>
      <c r="O95">
        <v>3.1562000000000001</v>
      </c>
      <c r="P95">
        <v>-0.2535</v>
      </c>
      <c r="Q95">
        <v>47.8874</v>
      </c>
      <c r="R95">
        <v>3.6530999999999998</v>
      </c>
      <c r="S95" t="s">
        <v>33</v>
      </c>
      <c r="T95">
        <v>34.037100000000002</v>
      </c>
      <c r="U95">
        <v>15.170299999999999</v>
      </c>
      <c r="V95">
        <v>87.8</v>
      </c>
      <c r="W95">
        <v>124683.6764</v>
      </c>
      <c r="Y95" s="5">
        <v>2.3028</v>
      </c>
      <c r="Z95">
        <v>4.6585000000000001</v>
      </c>
      <c r="AA95">
        <v>0.16139999999999999</v>
      </c>
      <c r="AB95">
        <v>4.1731999999999996</v>
      </c>
      <c r="AC95">
        <v>-0.33300000000000002</v>
      </c>
      <c r="AD95" t="s">
        <v>33</v>
      </c>
      <c r="AE95">
        <v>10.618399999999999</v>
      </c>
      <c r="AF95">
        <v>7.6401000000000003</v>
      </c>
      <c r="AG95">
        <v>0.94499999999999995</v>
      </c>
      <c r="AH95">
        <v>7806.0024999999996</v>
      </c>
      <c r="AJ95">
        <v>4.0804999999999998</v>
      </c>
      <c r="AK95">
        <v>10.677300000000001</v>
      </c>
      <c r="AL95">
        <v>0.2878</v>
      </c>
      <c r="AM95">
        <v>39.918999999999997</v>
      </c>
      <c r="AN95">
        <v>1.0853999999999999</v>
      </c>
      <c r="AO95">
        <v>195.11080000000001</v>
      </c>
      <c r="AP95">
        <v>51.192</v>
      </c>
      <c r="AQ95">
        <v>38.009799999999998</v>
      </c>
      <c r="AR95">
        <v>130.58500000000001</v>
      </c>
      <c r="AS95">
        <v>108170.5328</v>
      </c>
      <c r="AU95" s="1">
        <f t="shared" si="8"/>
        <v>44274</v>
      </c>
      <c r="AV95" s="29">
        <f t="shared" si="9"/>
        <v>7.9488102147615676</v>
      </c>
      <c r="AW95" s="30">
        <f t="shared" si="10"/>
        <v>0.13036773282815323</v>
      </c>
      <c r="AX95">
        <f t="shared" ca="1" si="3"/>
        <v>1.3065623078704283</v>
      </c>
      <c r="AY95">
        <f t="shared" ca="1" si="4"/>
        <v>0.97697394900886492</v>
      </c>
      <c r="AZ95">
        <f t="shared" ca="1" si="5"/>
        <v>0.44156429379279805</v>
      </c>
      <c r="BA95">
        <f t="shared" ca="1" si="6"/>
        <v>-0.54371309879192098</v>
      </c>
      <c r="BB95">
        <f t="shared" ca="1" si="7"/>
        <v>-0.77743436430562096</v>
      </c>
    </row>
    <row r="96" spans="1:54" x14ac:dyDescent="0.25">
      <c r="A96" s="37">
        <v>44281</v>
      </c>
      <c r="B96" s="5">
        <v>6.5620000000000003</v>
      </c>
      <c r="C96">
        <v>-5.2655000000000003</v>
      </c>
      <c r="D96">
        <v>-0.23180000000000001</v>
      </c>
      <c r="E96">
        <v>51.462400000000002</v>
      </c>
      <c r="F96">
        <v>4.7710999999999997</v>
      </c>
      <c r="G96">
        <v>0</v>
      </c>
      <c r="H96">
        <v>20.077500000000001</v>
      </c>
      <c r="I96">
        <v>-8.7265999999999995</v>
      </c>
      <c r="J96">
        <v>59.61</v>
      </c>
      <c r="K96">
        <v>234453.75589999999</v>
      </c>
      <c r="M96" s="37">
        <v>44281</v>
      </c>
      <c r="N96" s="5">
        <v>6.9641000000000002</v>
      </c>
      <c r="O96">
        <v>3.1562000000000001</v>
      </c>
      <c r="P96">
        <v>-0.2535</v>
      </c>
      <c r="Q96">
        <v>47.8874</v>
      </c>
      <c r="R96">
        <v>3.6530999999999998</v>
      </c>
      <c r="S96" t="s">
        <v>33</v>
      </c>
      <c r="T96">
        <v>34.037100000000002</v>
      </c>
      <c r="U96">
        <v>15.170299999999999</v>
      </c>
      <c r="V96">
        <v>81.349999999999994</v>
      </c>
      <c r="W96">
        <v>115524.1124</v>
      </c>
      <c r="Y96" s="5">
        <v>2.1556999999999999</v>
      </c>
      <c r="Z96">
        <v>4.6585000000000001</v>
      </c>
      <c r="AA96">
        <v>0.16139999999999999</v>
      </c>
      <c r="AB96">
        <v>4.1731999999999996</v>
      </c>
      <c r="AC96">
        <v>-0.33300000000000002</v>
      </c>
      <c r="AD96" t="s">
        <v>33</v>
      </c>
      <c r="AE96">
        <v>10.618399999999999</v>
      </c>
      <c r="AF96">
        <v>7.6401000000000003</v>
      </c>
      <c r="AG96">
        <v>0.876</v>
      </c>
      <c r="AH96">
        <v>7239.4377999999997</v>
      </c>
      <c r="AJ96">
        <v>3.9639000000000002</v>
      </c>
      <c r="AK96">
        <v>10.677300000000001</v>
      </c>
      <c r="AL96">
        <v>0.2878</v>
      </c>
      <c r="AM96">
        <v>39.918999999999997</v>
      </c>
      <c r="AN96">
        <v>1.0853999999999999</v>
      </c>
      <c r="AO96">
        <v>195.11080000000001</v>
      </c>
      <c r="AP96">
        <v>51.192</v>
      </c>
      <c r="AQ96">
        <v>38.009799999999998</v>
      </c>
      <c r="AR96">
        <v>125.502</v>
      </c>
      <c r="AS96">
        <v>103959.7078</v>
      </c>
      <c r="AU96" s="1">
        <f t="shared" si="8"/>
        <v>44281</v>
      </c>
      <c r="AV96" s="29">
        <f t="shared" si="9"/>
        <v>7.7563402217105519</v>
      </c>
      <c r="AW96" s="30">
        <f t="shared" si="10"/>
        <v>7.0683655527775335E-2</v>
      </c>
      <c r="AX96">
        <f t="shared" ca="1" si="3"/>
        <v>1.3065623078704283</v>
      </c>
      <c r="AY96">
        <f t="shared" ca="1" si="4"/>
        <v>0.97697394900886492</v>
      </c>
      <c r="AZ96">
        <f t="shared" ca="1" si="5"/>
        <v>0.44156429379279805</v>
      </c>
      <c r="BA96">
        <f t="shared" ca="1" si="6"/>
        <v>-0.4978794062789218</v>
      </c>
      <c r="BB96">
        <f t="shared" ca="1" si="7"/>
        <v>-0.7253750160771979</v>
      </c>
    </row>
    <row r="97" spans="1:54" x14ac:dyDescent="0.25">
      <c r="A97" s="37">
        <v>44288</v>
      </c>
      <c r="B97" s="5">
        <v>6.3624999999999998</v>
      </c>
      <c r="C97">
        <v>-5.7605000000000004</v>
      </c>
      <c r="D97">
        <v>-0.57969999999999999</v>
      </c>
      <c r="E97">
        <v>50.511200000000002</v>
      </c>
      <c r="F97">
        <v>4.6757999999999997</v>
      </c>
      <c r="G97">
        <v>0</v>
      </c>
      <c r="H97">
        <v>19.671600000000002</v>
      </c>
      <c r="I97">
        <v>-9.0952000000000002</v>
      </c>
      <c r="J97">
        <v>59.81</v>
      </c>
      <c r="K97">
        <v>235240.38149999999</v>
      </c>
      <c r="M97" s="37">
        <v>44288</v>
      </c>
      <c r="N97" s="5">
        <v>6.4195000000000002</v>
      </c>
      <c r="O97">
        <v>4.7393999999999998</v>
      </c>
      <c r="P97">
        <v>-0.37490000000000001</v>
      </c>
      <c r="Q97">
        <v>46.539299999999997</v>
      </c>
      <c r="R97">
        <v>3.1406999999999998</v>
      </c>
      <c r="S97" t="s">
        <v>33</v>
      </c>
      <c r="T97">
        <v>38.660200000000003</v>
      </c>
      <c r="U97">
        <v>21.270600000000002</v>
      </c>
      <c r="V97">
        <v>86</v>
      </c>
      <c r="W97">
        <v>122127.519</v>
      </c>
      <c r="Y97" s="5">
        <v>0.76480000000000004</v>
      </c>
      <c r="Z97">
        <v>15.6722</v>
      </c>
      <c r="AA97">
        <v>0.7944</v>
      </c>
      <c r="AB97">
        <v>1.3340000000000001</v>
      </c>
      <c r="AC97">
        <v>-0.25340000000000001</v>
      </c>
      <c r="AD97" t="s">
        <v>33</v>
      </c>
      <c r="AE97">
        <v>17.6188</v>
      </c>
      <c r="AF97">
        <v>14.6587</v>
      </c>
      <c r="AG97">
        <v>0.90700000000000003</v>
      </c>
      <c r="AH97">
        <v>7491.2443000000003</v>
      </c>
      <c r="AJ97">
        <v>3.1665999999999999</v>
      </c>
      <c r="AK97">
        <v>12.8385</v>
      </c>
      <c r="AL97">
        <v>0.6351</v>
      </c>
      <c r="AM97">
        <v>38.247500000000002</v>
      </c>
      <c r="AN97">
        <v>0.61229999999999996</v>
      </c>
      <c r="AO97">
        <v>195.11080000000001</v>
      </c>
      <c r="AP97">
        <v>54.738300000000002</v>
      </c>
      <c r="AQ97">
        <v>41.622799999999998</v>
      </c>
      <c r="AR97">
        <v>133.41399999999999</v>
      </c>
      <c r="AS97">
        <v>110514.2939</v>
      </c>
      <c r="AU97" s="1">
        <f t="shared" si="8"/>
        <v>44288</v>
      </c>
      <c r="AV97" s="29">
        <f t="shared" si="9"/>
        <v>7.2257977901685573</v>
      </c>
      <c r="AW97" s="30">
        <f t="shared" si="10"/>
        <v>-9.3835161111293308E-2</v>
      </c>
      <c r="AX97">
        <f t="shared" ca="1" si="3"/>
        <v>1.3065623078704283</v>
      </c>
      <c r="AY97">
        <f t="shared" ca="1" si="4"/>
        <v>0.97697394900886492</v>
      </c>
      <c r="AZ97">
        <f t="shared" ca="1" si="5"/>
        <v>0.44156429379279805</v>
      </c>
      <c r="BA97">
        <f t="shared" ca="1" si="6"/>
        <v>-6.8042299721792265E-2</v>
      </c>
      <c r="BB97">
        <f t="shared" ca="1" si="7"/>
        <v>-0.67379589807037443</v>
      </c>
    </row>
    <row r="98" spans="1:54" x14ac:dyDescent="0.25">
      <c r="A98" s="37">
        <v>44295</v>
      </c>
      <c r="B98" s="5">
        <v>6.3792999999999997</v>
      </c>
      <c r="C98">
        <v>-5.7605000000000004</v>
      </c>
      <c r="D98">
        <v>-0.57969999999999999</v>
      </c>
      <c r="E98">
        <v>50.511200000000002</v>
      </c>
      <c r="F98">
        <v>4.6757999999999997</v>
      </c>
      <c r="G98">
        <v>0</v>
      </c>
      <c r="H98">
        <v>19.671600000000002</v>
      </c>
      <c r="I98">
        <v>-9.0952000000000002</v>
      </c>
      <c r="J98">
        <v>60.424999999999997</v>
      </c>
      <c r="K98">
        <v>237659.25520000001</v>
      </c>
      <c r="M98" s="37">
        <v>44295</v>
      </c>
      <c r="N98" s="5">
        <v>6.4229000000000003</v>
      </c>
      <c r="O98">
        <v>4.7393999999999998</v>
      </c>
      <c r="P98">
        <v>-0.37490000000000001</v>
      </c>
      <c r="Q98">
        <v>46.539299999999997</v>
      </c>
      <c r="R98">
        <v>3.1406999999999998</v>
      </c>
      <c r="S98" t="s">
        <v>33</v>
      </c>
      <c r="T98">
        <v>38.660200000000003</v>
      </c>
      <c r="U98">
        <v>21.270600000000002</v>
      </c>
      <c r="V98">
        <v>87</v>
      </c>
      <c r="W98">
        <v>123547.6064</v>
      </c>
      <c r="Y98" s="5">
        <v>0.78620000000000001</v>
      </c>
      <c r="Z98">
        <v>15.6722</v>
      </c>
      <c r="AA98">
        <v>0.7944</v>
      </c>
      <c r="AB98">
        <v>1.3340000000000001</v>
      </c>
      <c r="AC98">
        <v>-0.25340000000000001</v>
      </c>
      <c r="AD98" t="s">
        <v>33</v>
      </c>
      <c r="AE98">
        <v>17.6188</v>
      </c>
      <c r="AF98">
        <v>14.6587</v>
      </c>
      <c r="AG98">
        <v>0.92600000000000005</v>
      </c>
      <c r="AH98">
        <v>7648.6234000000004</v>
      </c>
      <c r="AJ98">
        <v>3.1575000000000002</v>
      </c>
      <c r="AK98">
        <v>12.8385</v>
      </c>
      <c r="AL98">
        <v>0.6351</v>
      </c>
      <c r="AM98">
        <v>38.247500000000002</v>
      </c>
      <c r="AN98">
        <v>0.61229999999999996</v>
      </c>
      <c r="AO98">
        <v>195.11080000000001</v>
      </c>
      <c r="AP98">
        <v>54.738300000000002</v>
      </c>
      <c r="AQ98">
        <v>41.622799999999998</v>
      </c>
      <c r="AR98">
        <v>132.935</v>
      </c>
      <c r="AS98">
        <v>110117.0462</v>
      </c>
      <c r="AU98" s="1">
        <f t="shared" si="8"/>
        <v>44295</v>
      </c>
      <c r="AV98" s="29">
        <f t="shared" si="9"/>
        <v>7.2205555759527353</v>
      </c>
      <c r="AW98" s="30">
        <f t="shared" si="10"/>
        <v>-9.5460748110713659E-2</v>
      </c>
      <c r="AX98">
        <f t="shared" ca="1" si="3"/>
        <v>1.3065623078704283</v>
      </c>
      <c r="AY98">
        <f t="shared" ca="1" si="4"/>
        <v>0.97697394900886492</v>
      </c>
      <c r="AZ98">
        <f t="shared" ca="1" si="5"/>
        <v>0.44156429379279805</v>
      </c>
      <c r="BA98">
        <f t="shared" ca="1" si="6"/>
        <v>2.9553951368008174E-2</v>
      </c>
      <c r="BB98">
        <f t="shared" ca="1" si="7"/>
        <v>-0.59765389460647056</v>
      </c>
    </row>
    <row r="99" spans="1:54" x14ac:dyDescent="0.25">
      <c r="A99" s="37">
        <v>44302</v>
      </c>
      <c r="B99" s="5">
        <v>6.3437999999999999</v>
      </c>
      <c r="C99">
        <v>-5.7605000000000004</v>
      </c>
      <c r="D99">
        <v>-0.57969999999999999</v>
      </c>
      <c r="E99">
        <v>50.511200000000002</v>
      </c>
      <c r="F99">
        <v>4.6757999999999997</v>
      </c>
      <c r="G99">
        <v>0</v>
      </c>
      <c r="H99">
        <v>19.671600000000002</v>
      </c>
      <c r="I99">
        <v>-9.0952000000000002</v>
      </c>
      <c r="J99">
        <v>59.13</v>
      </c>
      <c r="K99">
        <v>232565.85449999999</v>
      </c>
      <c r="M99" s="37">
        <v>44302</v>
      </c>
      <c r="N99" s="5">
        <v>6.4241000000000001</v>
      </c>
      <c r="O99">
        <v>4.7393999999999998</v>
      </c>
      <c r="P99">
        <v>-0.37490000000000001</v>
      </c>
      <c r="Q99">
        <v>46.539299999999997</v>
      </c>
      <c r="R99">
        <v>3.1406999999999998</v>
      </c>
      <c r="S99" t="s">
        <v>33</v>
      </c>
      <c r="T99">
        <v>38.660200000000003</v>
      </c>
      <c r="U99">
        <v>21.270600000000002</v>
      </c>
      <c r="V99">
        <v>87.7</v>
      </c>
      <c r="W99">
        <v>124541.6676</v>
      </c>
      <c r="Y99" s="5">
        <v>0.75619999999999998</v>
      </c>
      <c r="Z99">
        <v>15.6722</v>
      </c>
      <c r="AA99">
        <v>0.7944</v>
      </c>
      <c r="AB99">
        <v>1.3340000000000001</v>
      </c>
      <c r="AC99">
        <v>-0.25340000000000001</v>
      </c>
      <c r="AD99" t="s">
        <v>33</v>
      </c>
      <c r="AE99">
        <v>17.6188</v>
      </c>
      <c r="AF99">
        <v>14.6587</v>
      </c>
      <c r="AG99">
        <v>0.89900000000000002</v>
      </c>
      <c r="AH99">
        <v>7428.2927</v>
      </c>
      <c r="AJ99">
        <v>3.0196999999999998</v>
      </c>
      <c r="AK99">
        <v>12.8385</v>
      </c>
      <c r="AL99">
        <v>0.6351</v>
      </c>
      <c r="AM99">
        <v>38.247500000000002</v>
      </c>
      <c r="AN99">
        <v>0.61229999999999996</v>
      </c>
      <c r="AO99">
        <v>195.11080000000001</v>
      </c>
      <c r="AP99">
        <v>54.738300000000002</v>
      </c>
      <c r="AQ99">
        <v>41.622799999999998</v>
      </c>
      <c r="AR99">
        <v>125.741</v>
      </c>
      <c r="AS99">
        <v>104158.3316</v>
      </c>
      <c r="AU99" s="1">
        <f t="shared" si="8"/>
        <v>44302</v>
      </c>
      <c r="AV99" s="29">
        <f t="shared" si="9"/>
        <v>7.1201881354306913</v>
      </c>
      <c r="AW99" s="30">
        <f t="shared" si="10"/>
        <v>-0.12658423901753244</v>
      </c>
      <c r="AX99">
        <f t="shared" ca="1" si="3"/>
        <v>1.3065623078704283</v>
      </c>
      <c r="AY99">
        <f t="shared" ca="1" si="4"/>
        <v>0.97697394900886492</v>
      </c>
      <c r="AZ99">
        <f t="shared" ca="1" si="5"/>
        <v>0.44156429379279805</v>
      </c>
      <c r="BA99">
        <f t="shared" ca="1" si="6"/>
        <v>2.9553951368008174E-2</v>
      </c>
      <c r="BB99">
        <f t="shared" ca="1" si="7"/>
        <v>-0.59631476857473831</v>
      </c>
    </row>
    <row r="100" spans="1:54" x14ac:dyDescent="0.25">
      <c r="A100" s="37">
        <v>44309</v>
      </c>
      <c r="B100" s="5">
        <v>6.2900999999999998</v>
      </c>
      <c r="C100">
        <v>-5.7605000000000004</v>
      </c>
      <c r="D100">
        <v>-0.57969999999999999</v>
      </c>
      <c r="E100">
        <v>50.511200000000002</v>
      </c>
      <c r="F100">
        <v>4.6757999999999997</v>
      </c>
      <c r="G100">
        <v>0</v>
      </c>
      <c r="H100">
        <v>19.671600000000002</v>
      </c>
      <c r="I100">
        <v>-9.0952000000000002</v>
      </c>
      <c r="J100">
        <v>57.17</v>
      </c>
      <c r="K100">
        <v>224856.92379999999</v>
      </c>
      <c r="M100" s="37">
        <v>44309</v>
      </c>
      <c r="N100" s="5">
        <v>6.2827999999999999</v>
      </c>
      <c r="O100">
        <v>4.7393999999999998</v>
      </c>
      <c r="P100">
        <v>-0.37490000000000001</v>
      </c>
      <c r="Q100">
        <v>46.539299999999997</v>
      </c>
      <c r="R100">
        <v>3.1406999999999998</v>
      </c>
      <c r="S100" t="s">
        <v>33</v>
      </c>
      <c r="T100">
        <v>38.660200000000003</v>
      </c>
      <c r="U100">
        <v>21.270600000000002</v>
      </c>
      <c r="V100">
        <v>84.3</v>
      </c>
      <c r="W100">
        <v>119713.3703</v>
      </c>
      <c r="Y100" s="5">
        <v>0.76900000000000002</v>
      </c>
      <c r="Z100">
        <v>15.6722</v>
      </c>
      <c r="AA100">
        <v>0.7944</v>
      </c>
      <c r="AB100">
        <v>1.3340000000000001</v>
      </c>
      <c r="AC100">
        <v>-0.25340000000000001</v>
      </c>
      <c r="AD100" t="s">
        <v>33</v>
      </c>
      <c r="AE100">
        <v>17.6188</v>
      </c>
      <c r="AF100">
        <v>14.6587</v>
      </c>
      <c r="AG100">
        <v>0.91100000000000003</v>
      </c>
      <c r="AH100">
        <v>7522.7200999999995</v>
      </c>
      <c r="AJ100">
        <v>3.0802999999999998</v>
      </c>
      <c r="AK100">
        <v>12.8385</v>
      </c>
      <c r="AL100">
        <v>0.6351</v>
      </c>
      <c r="AM100">
        <v>38.247500000000002</v>
      </c>
      <c r="AN100">
        <v>0.61229999999999996</v>
      </c>
      <c r="AO100">
        <v>195.11080000000001</v>
      </c>
      <c r="AP100">
        <v>54.738300000000002</v>
      </c>
      <c r="AQ100">
        <v>41.622799999999998</v>
      </c>
      <c r="AR100">
        <v>128.90600000000001</v>
      </c>
      <c r="AS100">
        <v>106780.166</v>
      </c>
      <c r="AU100" s="1">
        <f t="shared" si="8"/>
        <v>44309</v>
      </c>
      <c r="AV100" s="29">
        <f t="shared" si="9"/>
        <v>7.1038263059123192</v>
      </c>
      <c r="AW100" s="30">
        <f t="shared" si="10"/>
        <v>-0.13165796860140208</v>
      </c>
      <c r="AX100">
        <f t="shared" ca="1" si="3"/>
        <v>1.3065623078704283</v>
      </c>
      <c r="AY100">
        <f t="shared" ca="1" si="4"/>
        <v>0.97697394900886492</v>
      </c>
      <c r="AZ100">
        <f t="shared" ca="1" si="5"/>
        <v>0.44156429379279805</v>
      </c>
      <c r="BA100">
        <f t="shared" ca="1" si="6"/>
        <v>2.9553951368008174E-2</v>
      </c>
      <c r="BB100">
        <f t="shared" ca="1" si="7"/>
        <v>-0.59068995953449821</v>
      </c>
    </row>
    <row r="101" spans="1:54" x14ac:dyDescent="0.25">
      <c r="A101" s="37">
        <v>44316</v>
      </c>
      <c r="B101" s="5">
        <v>6.3404999999999996</v>
      </c>
      <c r="C101">
        <v>-5.7605000000000004</v>
      </c>
      <c r="D101">
        <v>-0.57969999999999999</v>
      </c>
      <c r="E101">
        <v>50.511200000000002</v>
      </c>
      <c r="F101">
        <v>4.6757999999999997</v>
      </c>
      <c r="G101">
        <v>0</v>
      </c>
      <c r="H101">
        <v>19.671600000000002</v>
      </c>
      <c r="I101">
        <v>-9.0952000000000002</v>
      </c>
      <c r="J101">
        <v>59.01</v>
      </c>
      <c r="K101">
        <v>232093.87909999999</v>
      </c>
      <c r="M101" s="37">
        <v>44316</v>
      </c>
      <c r="N101" s="5">
        <v>6.2427000000000001</v>
      </c>
      <c r="O101">
        <v>4.7393999999999998</v>
      </c>
      <c r="P101">
        <v>-0.37490000000000001</v>
      </c>
      <c r="Q101">
        <v>46.539299999999997</v>
      </c>
      <c r="R101">
        <v>3.1406999999999998</v>
      </c>
      <c r="S101" t="s">
        <v>33</v>
      </c>
      <c r="T101">
        <v>38.660200000000003</v>
      </c>
      <c r="U101">
        <v>21.270600000000002</v>
      </c>
      <c r="V101">
        <v>84</v>
      </c>
      <c r="W101">
        <v>119287.3441</v>
      </c>
      <c r="Y101" s="5">
        <v>0.78620000000000001</v>
      </c>
      <c r="Z101">
        <v>15.6722</v>
      </c>
      <c r="AA101">
        <v>0.7944</v>
      </c>
      <c r="AB101">
        <v>1.3340000000000001</v>
      </c>
      <c r="AC101">
        <v>-0.25340000000000001</v>
      </c>
      <c r="AD101" t="s">
        <v>33</v>
      </c>
      <c r="AE101">
        <v>17.6188</v>
      </c>
      <c r="AF101">
        <v>14.6587</v>
      </c>
      <c r="AG101">
        <v>0.92600000000000005</v>
      </c>
      <c r="AH101">
        <v>7648.6234000000004</v>
      </c>
      <c r="AJ101">
        <v>3.1711999999999998</v>
      </c>
      <c r="AK101">
        <v>12.8385</v>
      </c>
      <c r="AL101">
        <v>0.6351</v>
      </c>
      <c r="AM101">
        <v>38.247500000000002</v>
      </c>
      <c r="AN101">
        <v>0.61229999999999996</v>
      </c>
      <c r="AO101">
        <v>195.11080000000001</v>
      </c>
      <c r="AP101">
        <v>54.738300000000002</v>
      </c>
      <c r="AQ101">
        <v>41.622799999999998</v>
      </c>
      <c r="AR101">
        <v>133.654</v>
      </c>
      <c r="AS101">
        <v>110712.91770000001</v>
      </c>
      <c r="AU101" s="1">
        <f t="shared" si="8"/>
        <v>44316</v>
      </c>
      <c r="AV101" s="29">
        <f t="shared" si="9"/>
        <v>7.1675726130952251</v>
      </c>
      <c r="AW101" s="30">
        <f t="shared" si="10"/>
        <v>-0.11189052607590805</v>
      </c>
      <c r="AX101">
        <f t="shared" ca="1" si="3"/>
        <v>1.3065623078704283</v>
      </c>
      <c r="AY101">
        <f t="shared" ca="1" si="4"/>
        <v>0.97697394900886492</v>
      </c>
      <c r="AZ101">
        <f t="shared" ca="1" si="5"/>
        <v>0.44156429379279805</v>
      </c>
      <c r="BA101">
        <f t="shared" ca="1" si="6"/>
        <v>2.9553951368008174E-2</v>
      </c>
      <c r="BB101">
        <f t="shared" ca="1" si="7"/>
        <v>-0.58251936166769092</v>
      </c>
    </row>
    <row r="102" spans="1:54" x14ac:dyDescent="0.25">
      <c r="A102" s="37">
        <v>44323</v>
      </c>
      <c r="B102" s="5">
        <v>6.4203000000000001</v>
      </c>
      <c r="C102">
        <v>-5.7605000000000004</v>
      </c>
      <c r="D102">
        <v>-0.57969999999999999</v>
      </c>
      <c r="E102">
        <v>50.511200000000002</v>
      </c>
      <c r="F102">
        <v>4.6757999999999997</v>
      </c>
      <c r="G102">
        <v>0</v>
      </c>
      <c r="H102">
        <v>19.671600000000002</v>
      </c>
      <c r="I102">
        <v>-9.0952000000000002</v>
      </c>
      <c r="J102">
        <v>61.92</v>
      </c>
      <c r="K102">
        <v>243539.28140000001</v>
      </c>
      <c r="M102" s="37">
        <v>44323</v>
      </c>
      <c r="N102" s="5">
        <v>6.4596</v>
      </c>
      <c r="O102">
        <v>4.7393999999999998</v>
      </c>
      <c r="P102">
        <v>-0.37490000000000001</v>
      </c>
      <c r="Q102">
        <v>46.539299999999997</v>
      </c>
      <c r="R102">
        <v>3.1406999999999998</v>
      </c>
      <c r="S102" t="s">
        <v>33</v>
      </c>
      <c r="T102">
        <v>38.660200000000003</v>
      </c>
      <c r="U102">
        <v>21.270600000000002</v>
      </c>
      <c r="V102">
        <v>90.85</v>
      </c>
      <c r="W102">
        <v>129014.943</v>
      </c>
      <c r="Y102" s="5">
        <v>0.84609999999999996</v>
      </c>
      <c r="Z102">
        <v>15.6722</v>
      </c>
      <c r="AA102">
        <v>0.7944</v>
      </c>
      <c r="AB102">
        <v>1.3340000000000001</v>
      </c>
      <c r="AC102">
        <v>-0.25340000000000001</v>
      </c>
      <c r="AD102" t="s">
        <v>33</v>
      </c>
      <c r="AE102">
        <v>17.6188</v>
      </c>
      <c r="AF102">
        <v>14.6587</v>
      </c>
      <c r="AG102">
        <v>0.97899999999999998</v>
      </c>
      <c r="AH102">
        <v>8089.2848000000004</v>
      </c>
      <c r="AJ102">
        <v>3.1812999999999998</v>
      </c>
      <c r="AK102">
        <v>12.8385</v>
      </c>
      <c r="AL102">
        <v>0.6351</v>
      </c>
      <c r="AM102">
        <v>38.247500000000002</v>
      </c>
      <c r="AN102">
        <v>0.61229999999999996</v>
      </c>
      <c r="AO102">
        <v>195.11080000000001</v>
      </c>
      <c r="AP102">
        <v>54.738300000000002</v>
      </c>
      <c r="AQ102">
        <v>41.622799999999998</v>
      </c>
      <c r="AR102">
        <v>134.18199999999999</v>
      </c>
      <c r="AS102">
        <v>111149.8901</v>
      </c>
      <c r="AU102" s="1">
        <f t="shared" si="8"/>
        <v>44323</v>
      </c>
      <c r="AV102" s="29">
        <f t="shared" si="9"/>
        <v>7.2441158111822839</v>
      </c>
      <c r="AW102" s="30">
        <f t="shared" si="10"/>
        <v>-8.8154825362107628E-2</v>
      </c>
      <c r="AX102">
        <f t="shared" ca="1" si="3"/>
        <v>1.3065623078704283</v>
      </c>
      <c r="AY102">
        <f t="shared" ca="1" si="4"/>
        <v>0.97697394900886492</v>
      </c>
      <c r="AZ102">
        <f t="shared" ca="1" si="5"/>
        <v>0.44156429379279805</v>
      </c>
      <c r="BA102">
        <f t="shared" ca="1" si="6"/>
        <v>2.9553951368008174E-2</v>
      </c>
      <c r="BB102">
        <f t="shared" ca="1" si="7"/>
        <v>-0.55633862101999043</v>
      </c>
    </row>
    <row r="103" spans="1:54" x14ac:dyDescent="0.25">
      <c r="A103" s="37">
        <v>44330</v>
      </c>
      <c r="B103" s="5">
        <v>6.6494999999999997</v>
      </c>
      <c r="C103">
        <v>-5.7605000000000004</v>
      </c>
      <c r="D103">
        <v>-0.57969999999999999</v>
      </c>
      <c r="E103">
        <v>50.511200000000002</v>
      </c>
      <c r="F103">
        <v>4.6757999999999997</v>
      </c>
      <c r="G103">
        <v>0</v>
      </c>
      <c r="H103">
        <v>19.671600000000002</v>
      </c>
      <c r="I103">
        <v>-9.0952000000000002</v>
      </c>
      <c r="J103">
        <v>70.28</v>
      </c>
      <c r="K103">
        <v>276420.23090000002</v>
      </c>
      <c r="M103" s="37">
        <v>44330</v>
      </c>
      <c r="N103" s="5">
        <v>6.6566000000000001</v>
      </c>
      <c r="O103">
        <v>4.7393999999999998</v>
      </c>
      <c r="P103">
        <v>-0.37490000000000001</v>
      </c>
      <c r="Q103">
        <v>46.539299999999997</v>
      </c>
      <c r="R103">
        <v>3.1406999999999998</v>
      </c>
      <c r="S103" t="s">
        <v>33</v>
      </c>
      <c r="T103">
        <v>38.660200000000003</v>
      </c>
      <c r="U103">
        <v>21.270600000000002</v>
      </c>
      <c r="V103">
        <v>99</v>
      </c>
      <c r="W103">
        <v>137818.4871</v>
      </c>
      <c r="Y103" s="5">
        <v>0.94869999999999999</v>
      </c>
      <c r="Z103">
        <v>15.6722</v>
      </c>
      <c r="AA103">
        <v>0.7944</v>
      </c>
      <c r="AB103">
        <v>1.3340000000000001</v>
      </c>
      <c r="AC103">
        <v>-0.25340000000000001</v>
      </c>
      <c r="AD103" t="s">
        <v>33</v>
      </c>
      <c r="AE103">
        <v>17.6188</v>
      </c>
      <c r="AF103">
        <v>14.6587</v>
      </c>
      <c r="AG103">
        <v>1.071</v>
      </c>
      <c r="AH103">
        <v>8844.7044000000005</v>
      </c>
      <c r="AJ103">
        <v>3.3264</v>
      </c>
      <c r="AK103">
        <v>12.8385</v>
      </c>
      <c r="AL103">
        <v>0.6351</v>
      </c>
      <c r="AM103">
        <v>38.247500000000002</v>
      </c>
      <c r="AN103">
        <v>0.61229999999999996</v>
      </c>
      <c r="AO103">
        <v>195.11080000000001</v>
      </c>
      <c r="AP103">
        <v>54.738300000000002</v>
      </c>
      <c r="AQ103">
        <v>41.622799999999998</v>
      </c>
      <c r="AR103">
        <v>141.75899999999999</v>
      </c>
      <c r="AS103">
        <v>117426.4028</v>
      </c>
      <c r="AU103" s="1">
        <f t="shared" si="8"/>
        <v>44330</v>
      </c>
      <c r="AV103" s="29">
        <f t="shared" si="9"/>
        <v>7.4558747918874024</v>
      </c>
      <c r="AW103" s="30">
        <f t="shared" si="10"/>
        <v>-2.2489319933926097E-2</v>
      </c>
      <c r="AX103">
        <f t="shared" ca="1" si="3"/>
        <v>1.3065623078704283</v>
      </c>
      <c r="AY103">
        <f t="shared" ca="1" si="4"/>
        <v>0.97697394900886492</v>
      </c>
      <c r="AZ103">
        <f t="shared" ca="1" si="5"/>
        <v>0.44156429379279805</v>
      </c>
      <c r="BA103">
        <f t="shared" ca="1" si="6"/>
        <v>3.0974035305304584E-2</v>
      </c>
      <c r="BB103">
        <f t="shared" ca="1" si="7"/>
        <v>-0.53339343238083115</v>
      </c>
    </row>
    <row r="104" spans="1:54" x14ac:dyDescent="0.25">
      <c r="A104" s="37">
        <v>44337</v>
      </c>
      <c r="B104" s="5">
        <v>6.7356999999999996</v>
      </c>
      <c r="C104">
        <v>-5.7605000000000004</v>
      </c>
      <c r="D104">
        <v>-0.57969999999999999</v>
      </c>
      <c r="E104">
        <v>50.511200000000002</v>
      </c>
      <c r="F104">
        <v>4.6757999999999997</v>
      </c>
      <c r="G104">
        <v>0</v>
      </c>
      <c r="H104">
        <v>19.671600000000002</v>
      </c>
      <c r="I104">
        <v>-9.0952000000000002</v>
      </c>
      <c r="J104">
        <v>73.424999999999997</v>
      </c>
      <c r="K104">
        <v>288789.91830000002</v>
      </c>
      <c r="M104" s="37">
        <v>44337</v>
      </c>
      <c r="N104" s="5">
        <v>6.5670000000000002</v>
      </c>
      <c r="O104">
        <v>4.7393999999999998</v>
      </c>
      <c r="P104">
        <v>-0.37490000000000001</v>
      </c>
      <c r="Q104">
        <v>46.539299999999997</v>
      </c>
      <c r="R104">
        <v>3.1406999999999998</v>
      </c>
      <c r="S104" t="s">
        <v>33</v>
      </c>
      <c r="T104">
        <v>38.660200000000003</v>
      </c>
      <c r="U104">
        <v>21.270600000000002</v>
      </c>
      <c r="V104">
        <v>96.8</v>
      </c>
      <c r="W104">
        <v>134755.85399999999</v>
      </c>
      <c r="Y104" s="5">
        <v>1.0001</v>
      </c>
      <c r="Z104">
        <v>15.6722</v>
      </c>
      <c r="AA104">
        <v>0.7944</v>
      </c>
      <c r="AB104">
        <v>1.3340000000000001</v>
      </c>
      <c r="AC104">
        <v>-0.25340000000000001</v>
      </c>
      <c r="AD104" t="s">
        <v>33</v>
      </c>
      <c r="AE104">
        <v>17.6188</v>
      </c>
      <c r="AF104">
        <v>14.6587</v>
      </c>
      <c r="AG104">
        <v>1.1160000000000001</v>
      </c>
      <c r="AH104">
        <v>9222.4141999999993</v>
      </c>
      <c r="AJ104">
        <v>3.3668</v>
      </c>
      <c r="AK104">
        <v>12.8385</v>
      </c>
      <c r="AL104">
        <v>0.6351</v>
      </c>
      <c r="AM104">
        <v>38.247500000000002</v>
      </c>
      <c r="AN104">
        <v>0.61229999999999996</v>
      </c>
      <c r="AO104">
        <v>195.11080000000001</v>
      </c>
      <c r="AP104">
        <v>54.738300000000002</v>
      </c>
      <c r="AQ104">
        <v>41.622799999999998</v>
      </c>
      <c r="AR104">
        <v>143.869</v>
      </c>
      <c r="AS104">
        <v>119174.2925</v>
      </c>
      <c r="AU104" s="1">
        <f t="shared" si="8"/>
        <v>44337</v>
      </c>
      <c r="AV104" s="29">
        <f t="shared" si="9"/>
        <v>7.4880811284905517</v>
      </c>
      <c r="AW104" s="30">
        <f t="shared" si="10"/>
        <v>-1.250228012105065E-2</v>
      </c>
      <c r="AX104">
        <f t="shared" ca="1" si="3"/>
        <v>1.3065623078704283</v>
      </c>
      <c r="AY104">
        <f t="shared" ca="1" si="4"/>
        <v>0.97697394900886492</v>
      </c>
      <c r="AZ104">
        <f t="shared" ca="1" si="5"/>
        <v>0.44156429379279805</v>
      </c>
      <c r="BA104">
        <f t="shared" ca="1" si="6"/>
        <v>4.7390411662349974E-2</v>
      </c>
      <c r="BB104">
        <f t="shared" ca="1" si="7"/>
        <v>-0.44896394578358556</v>
      </c>
    </row>
    <row r="105" spans="1:54" x14ac:dyDescent="0.25">
      <c r="A105" s="37">
        <v>44344</v>
      </c>
      <c r="B105" s="5">
        <v>6.8133999999999997</v>
      </c>
      <c r="C105">
        <v>-5.7605000000000004</v>
      </c>
      <c r="D105">
        <v>-0.57969999999999999</v>
      </c>
      <c r="E105">
        <v>50.511200000000002</v>
      </c>
      <c r="F105">
        <v>4.6757999999999997</v>
      </c>
      <c r="G105">
        <v>0</v>
      </c>
      <c r="H105">
        <v>19.671600000000002</v>
      </c>
      <c r="I105">
        <v>-9.0952000000000002</v>
      </c>
      <c r="J105">
        <v>76.260000000000005</v>
      </c>
      <c r="K105">
        <v>299940.33590000001</v>
      </c>
      <c r="M105" s="37">
        <v>44344</v>
      </c>
      <c r="N105" s="5">
        <v>6.6647999999999996</v>
      </c>
      <c r="O105">
        <v>4.7393999999999998</v>
      </c>
      <c r="P105">
        <v>-0.37490000000000001</v>
      </c>
      <c r="Q105">
        <v>46.539299999999997</v>
      </c>
      <c r="R105">
        <v>3.1406999999999998</v>
      </c>
      <c r="S105" t="s">
        <v>33</v>
      </c>
      <c r="T105">
        <v>38.660200000000003</v>
      </c>
      <c r="U105">
        <v>21.270600000000002</v>
      </c>
      <c r="V105">
        <v>100.35</v>
      </c>
      <c r="W105">
        <v>139697.83009999999</v>
      </c>
      <c r="Y105" s="5">
        <v>1.0386</v>
      </c>
      <c r="Z105">
        <v>15.6722</v>
      </c>
      <c r="AA105">
        <v>0.7944</v>
      </c>
      <c r="AB105">
        <v>1.3340000000000001</v>
      </c>
      <c r="AC105">
        <v>-0.25340000000000001</v>
      </c>
      <c r="AD105" t="s">
        <v>33</v>
      </c>
      <c r="AE105">
        <v>17.6188</v>
      </c>
      <c r="AF105">
        <v>14.6587</v>
      </c>
      <c r="AG105">
        <v>1.196</v>
      </c>
      <c r="AH105">
        <v>9505.6965999999993</v>
      </c>
      <c r="AJ105">
        <v>3.4218999999999999</v>
      </c>
      <c r="AK105">
        <v>12.8385</v>
      </c>
      <c r="AL105">
        <v>0.6351</v>
      </c>
      <c r="AM105">
        <v>38.247500000000002</v>
      </c>
      <c r="AN105">
        <v>0.61229999999999996</v>
      </c>
      <c r="AO105">
        <v>195.11080000000001</v>
      </c>
      <c r="AP105">
        <v>54.738300000000002</v>
      </c>
      <c r="AQ105">
        <v>41.622799999999998</v>
      </c>
      <c r="AR105">
        <v>146.74600000000001</v>
      </c>
      <c r="AS105">
        <v>121557.77830000001</v>
      </c>
      <c r="AU105" s="1">
        <f t="shared" si="8"/>
        <v>44344</v>
      </c>
      <c r="AV105" s="29">
        <f t="shared" si="9"/>
        <v>7.5710769841989372</v>
      </c>
      <c r="AW105" s="30">
        <f t="shared" si="10"/>
        <v>1.3234360636229962E-2</v>
      </c>
      <c r="AX105">
        <f t="shared" ca="1" si="3"/>
        <v>1.3065623078704283</v>
      </c>
      <c r="AY105">
        <f t="shared" ca="1" si="4"/>
        <v>0.97697394900886492</v>
      </c>
      <c r="AZ105">
        <f t="shared" ca="1" si="5"/>
        <v>0.44156429379279805</v>
      </c>
      <c r="BA105">
        <f t="shared" ca="1" si="6"/>
        <v>4.988717161556884E-2</v>
      </c>
      <c r="BB105">
        <f t="shared" ca="1" si="7"/>
        <v>-0.13115059564301512</v>
      </c>
    </row>
    <row r="106" spans="1:54" x14ac:dyDescent="0.25">
      <c r="A106" s="37">
        <v>44351</v>
      </c>
      <c r="B106" s="5">
        <v>7.1577999999999999</v>
      </c>
      <c r="C106">
        <v>-5.7605000000000004</v>
      </c>
      <c r="D106">
        <v>-0.57969999999999999</v>
      </c>
      <c r="E106">
        <v>50.511200000000002</v>
      </c>
      <c r="F106">
        <v>4.6757999999999997</v>
      </c>
      <c r="G106">
        <v>0</v>
      </c>
      <c r="H106">
        <v>19.671600000000002</v>
      </c>
      <c r="I106">
        <v>-9.0952000000000002</v>
      </c>
      <c r="J106">
        <v>88.825000000000003</v>
      </c>
      <c r="K106">
        <v>349360.08840000001</v>
      </c>
      <c r="M106" s="37">
        <v>44351</v>
      </c>
      <c r="N106" s="5">
        <v>7.0903</v>
      </c>
      <c r="O106">
        <v>4.7393999999999998</v>
      </c>
      <c r="P106">
        <v>-0.37490000000000001</v>
      </c>
      <c r="Q106">
        <v>46.539299999999997</v>
      </c>
      <c r="R106">
        <v>3.1406999999999998</v>
      </c>
      <c r="S106" t="s">
        <v>33</v>
      </c>
      <c r="T106">
        <v>38.660200000000003</v>
      </c>
      <c r="U106">
        <v>21.270600000000002</v>
      </c>
      <c r="V106">
        <v>113.8</v>
      </c>
      <c r="W106">
        <v>158421.65479999999</v>
      </c>
      <c r="Y106" s="5">
        <v>1.1113</v>
      </c>
      <c r="Z106">
        <v>15.6722</v>
      </c>
      <c r="AA106">
        <v>0.7944</v>
      </c>
      <c r="AB106">
        <v>1.3340000000000001</v>
      </c>
      <c r="AC106">
        <v>-0.25340000000000001</v>
      </c>
      <c r="AD106" t="s">
        <v>33</v>
      </c>
      <c r="AE106">
        <v>17.6188</v>
      </c>
      <c r="AF106">
        <v>14.6587</v>
      </c>
      <c r="AG106">
        <v>1.2629999999999999</v>
      </c>
      <c r="AH106">
        <v>10040.7855</v>
      </c>
      <c r="AJ106">
        <v>3.8892000000000002</v>
      </c>
      <c r="AK106">
        <v>12.8385</v>
      </c>
      <c r="AL106">
        <v>0.6351</v>
      </c>
      <c r="AM106">
        <v>38.247500000000002</v>
      </c>
      <c r="AN106">
        <v>0.61229999999999996</v>
      </c>
      <c r="AO106">
        <v>195.11080000000001</v>
      </c>
      <c r="AP106">
        <v>54.738300000000002</v>
      </c>
      <c r="AQ106">
        <v>41.622799999999998</v>
      </c>
      <c r="AR106">
        <v>171.15600000000001</v>
      </c>
      <c r="AS106">
        <v>141777.6833</v>
      </c>
      <c r="AU106" s="1">
        <f t="shared" si="8"/>
        <v>44351</v>
      </c>
      <c r="AV106" s="29">
        <f t="shared" si="9"/>
        <v>8.0847521275380725</v>
      </c>
      <c r="AW106" s="30">
        <f t="shared" si="10"/>
        <v>0.17252270723168836</v>
      </c>
      <c r="AX106">
        <f t="shared" ca="1" si="3"/>
        <v>1.3065623078704283</v>
      </c>
      <c r="AY106">
        <f t="shared" ca="1" si="4"/>
        <v>0.97697394900886492</v>
      </c>
      <c r="AZ106">
        <f t="shared" ca="1" si="5"/>
        <v>0.44156429379279805</v>
      </c>
      <c r="BA106">
        <f t="shared" ca="1" si="6"/>
        <v>5.6321331804888991E-2</v>
      </c>
      <c r="BB106">
        <f t="shared" ca="1" si="7"/>
        <v>-0.12511486772336999</v>
      </c>
    </row>
    <row r="107" spans="1:54" x14ac:dyDescent="0.25">
      <c r="A107" s="37">
        <v>44358</v>
      </c>
      <c r="B107" s="5">
        <v>7.1322999999999999</v>
      </c>
      <c r="C107">
        <v>-5.7605000000000004</v>
      </c>
      <c r="D107">
        <v>-0.57969999999999999</v>
      </c>
      <c r="E107">
        <v>50.511200000000002</v>
      </c>
      <c r="F107">
        <v>4.6757999999999997</v>
      </c>
      <c r="G107">
        <v>0</v>
      </c>
      <c r="H107">
        <v>19.671600000000002</v>
      </c>
      <c r="I107">
        <v>-9.0952000000000002</v>
      </c>
      <c r="J107">
        <v>87.894999999999996</v>
      </c>
      <c r="K107">
        <v>345702.2794</v>
      </c>
      <c r="M107" s="37">
        <v>44358</v>
      </c>
      <c r="N107" s="5">
        <v>6.9390999999999998</v>
      </c>
      <c r="O107">
        <v>4.7393999999999998</v>
      </c>
      <c r="P107">
        <v>-0.37490000000000001</v>
      </c>
      <c r="Q107">
        <v>46.539299999999997</v>
      </c>
      <c r="R107">
        <v>3.1406999999999998</v>
      </c>
      <c r="S107" t="s">
        <v>33</v>
      </c>
      <c r="T107">
        <v>38.660200000000003</v>
      </c>
      <c r="U107">
        <v>21.270600000000002</v>
      </c>
      <c r="V107">
        <v>109.85</v>
      </c>
      <c r="W107">
        <v>152922.8364</v>
      </c>
      <c r="Y107" s="5">
        <v>1.1455</v>
      </c>
      <c r="Z107">
        <v>15.6722</v>
      </c>
      <c r="AA107">
        <v>0.7944</v>
      </c>
      <c r="AB107">
        <v>1.3340000000000001</v>
      </c>
      <c r="AC107">
        <v>-0.25340000000000001</v>
      </c>
      <c r="AD107" t="s">
        <v>33</v>
      </c>
      <c r="AE107">
        <v>17.6188</v>
      </c>
      <c r="AF107">
        <v>14.6587</v>
      </c>
      <c r="AG107">
        <v>1.294</v>
      </c>
      <c r="AH107">
        <v>10292.592000000001</v>
      </c>
      <c r="AJ107">
        <v>3.8561999999999999</v>
      </c>
      <c r="AK107">
        <v>12.8385</v>
      </c>
      <c r="AL107">
        <v>0.6351</v>
      </c>
      <c r="AM107">
        <v>38.247500000000002</v>
      </c>
      <c r="AN107">
        <v>0.61229999999999996</v>
      </c>
      <c r="AO107">
        <v>195.11080000000001</v>
      </c>
      <c r="AP107">
        <v>54.738300000000002</v>
      </c>
      <c r="AQ107">
        <v>41.622799999999998</v>
      </c>
      <c r="AR107">
        <v>169.429</v>
      </c>
      <c r="AS107">
        <v>140347.59169999999</v>
      </c>
      <c r="AU107" s="1">
        <f t="shared" si="8"/>
        <v>44358</v>
      </c>
      <c r="AV107" s="29">
        <f t="shared" si="9"/>
        <v>8.0166158617548486</v>
      </c>
      <c r="AW107" s="30">
        <f t="shared" si="10"/>
        <v>0.15139395833166047</v>
      </c>
      <c r="AX107">
        <f t="shared" ca="1" si="3"/>
        <v>1.3065623078704283</v>
      </c>
      <c r="AY107">
        <f t="shared" ca="1" si="4"/>
        <v>0.97697394900886492</v>
      </c>
      <c r="AZ107">
        <f t="shared" ca="1" si="5"/>
        <v>0.44156429379279805</v>
      </c>
      <c r="BA107">
        <f t="shared" ca="1" si="6"/>
        <v>0.11176966004387898</v>
      </c>
      <c r="BB107">
        <f t="shared" ca="1" si="7"/>
        <v>-0.1102475482793886</v>
      </c>
    </row>
    <row r="108" spans="1:54" x14ac:dyDescent="0.25">
      <c r="A108" s="37">
        <v>44365</v>
      </c>
      <c r="B108" s="5">
        <v>7.0472999999999999</v>
      </c>
      <c r="C108">
        <v>-5.7605000000000004</v>
      </c>
      <c r="D108">
        <v>-0.57969999999999999</v>
      </c>
      <c r="E108">
        <v>50.511200000000002</v>
      </c>
      <c r="F108">
        <v>4.6757999999999997</v>
      </c>
      <c r="G108">
        <v>0</v>
      </c>
      <c r="H108">
        <v>19.671600000000002</v>
      </c>
      <c r="I108">
        <v>-9.0952000000000002</v>
      </c>
      <c r="J108">
        <v>84.795000000000002</v>
      </c>
      <c r="K108">
        <v>333509.58279999997</v>
      </c>
      <c r="M108" s="37">
        <v>44365</v>
      </c>
      <c r="N108" s="5">
        <v>6.9287999999999998</v>
      </c>
      <c r="O108">
        <v>4.7393999999999998</v>
      </c>
      <c r="P108">
        <v>-0.37490000000000001</v>
      </c>
      <c r="Q108">
        <v>46.539299999999997</v>
      </c>
      <c r="R108">
        <v>3.1406999999999998</v>
      </c>
      <c r="S108" t="s">
        <v>33</v>
      </c>
      <c r="T108">
        <v>38.660200000000003</v>
      </c>
      <c r="U108">
        <v>21.270600000000002</v>
      </c>
      <c r="V108">
        <v>110.05</v>
      </c>
      <c r="W108">
        <v>153201.25760000001</v>
      </c>
      <c r="Y108" s="5">
        <v>1.1113</v>
      </c>
      <c r="Z108">
        <v>15.6722</v>
      </c>
      <c r="AA108">
        <v>0.7944</v>
      </c>
      <c r="AB108">
        <v>1.3340000000000001</v>
      </c>
      <c r="AC108">
        <v>-0.25340000000000001</v>
      </c>
      <c r="AD108" t="s">
        <v>33</v>
      </c>
      <c r="AE108">
        <v>17.6188</v>
      </c>
      <c r="AF108">
        <v>14.6587</v>
      </c>
      <c r="AG108">
        <v>1.2629999999999999</v>
      </c>
      <c r="AH108">
        <v>10040.7855</v>
      </c>
      <c r="AJ108">
        <v>3.746</v>
      </c>
      <c r="AK108">
        <v>12.8385</v>
      </c>
      <c r="AL108">
        <v>0.6351</v>
      </c>
      <c r="AM108">
        <v>38.247500000000002</v>
      </c>
      <c r="AN108">
        <v>0.61229999999999996</v>
      </c>
      <c r="AO108">
        <v>195.11080000000001</v>
      </c>
      <c r="AP108">
        <v>54.738300000000002</v>
      </c>
      <c r="AQ108">
        <v>41.622799999999998</v>
      </c>
      <c r="AR108">
        <v>163.67500000000001</v>
      </c>
      <c r="AS108">
        <v>135580.62</v>
      </c>
      <c r="AU108" s="1">
        <f t="shared" si="8"/>
        <v>44365</v>
      </c>
      <c r="AV108" s="29">
        <f t="shared" si="9"/>
        <v>7.9131825222506436</v>
      </c>
      <c r="AW108" s="30">
        <f t="shared" si="10"/>
        <v>0.11931974596979417</v>
      </c>
      <c r="AX108">
        <f t="shared" ca="1" si="3"/>
        <v>1.3065623078704283</v>
      </c>
      <c r="AY108">
        <f t="shared" ca="1" si="4"/>
        <v>0.97697394900886492</v>
      </c>
      <c r="AZ108">
        <f t="shared" ca="1" si="5"/>
        <v>0.44156429379279805</v>
      </c>
      <c r="BA108">
        <f t="shared" ca="1" si="6"/>
        <v>0.12656296377043896</v>
      </c>
      <c r="BB108">
        <f t="shared" ca="1" si="7"/>
        <v>-9.5298189410771617E-2</v>
      </c>
    </row>
    <row r="109" spans="1:54" x14ac:dyDescent="0.25">
      <c r="A109" s="37">
        <v>44372</v>
      </c>
      <c r="B109" s="5">
        <v>7.0026999999999999</v>
      </c>
      <c r="C109">
        <v>-5.7605000000000004</v>
      </c>
      <c r="D109">
        <v>-0.57969999999999999</v>
      </c>
      <c r="E109">
        <v>50.511200000000002</v>
      </c>
      <c r="F109">
        <v>4.6757999999999997</v>
      </c>
      <c r="G109">
        <v>0</v>
      </c>
      <c r="H109">
        <v>19.671600000000002</v>
      </c>
      <c r="I109">
        <v>-9.0952000000000002</v>
      </c>
      <c r="J109">
        <v>83.165000000000006</v>
      </c>
      <c r="K109">
        <v>327098.58429999999</v>
      </c>
      <c r="M109" s="37">
        <v>44372</v>
      </c>
      <c r="N109" s="5">
        <v>6.7252000000000001</v>
      </c>
      <c r="O109">
        <v>4.7393999999999998</v>
      </c>
      <c r="P109">
        <v>-0.37490000000000001</v>
      </c>
      <c r="Q109">
        <v>46.539299999999997</v>
      </c>
      <c r="R109">
        <v>3.1406999999999998</v>
      </c>
      <c r="S109" t="s">
        <v>33</v>
      </c>
      <c r="T109">
        <v>38.660200000000003</v>
      </c>
      <c r="U109">
        <v>21.270600000000002</v>
      </c>
      <c r="V109">
        <v>104.35</v>
      </c>
      <c r="W109">
        <v>145266.25380000001</v>
      </c>
      <c r="Y109" s="5">
        <v>1.3038000000000001</v>
      </c>
      <c r="Z109">
        <v>15.6722</v>
      </c>
      <c r="AA109">
        <v>0.7944</v>
      </c>
      <c r="AB109">
        <v>1.3340000000000001</v>
      </c>
      <c r="AC109">
        <v>-0.25340000000000001</v>
      </c>
      <c r="AD109" t="s">
        <v>33</v>
      </c>
      <c r="AE109">
        <v>17.6188</v>
      </c>
      <c r="AF109">
        <v>14.6587</v>
      </c>
      <c r="AG109">
        <v>1.4410000000000001</v>
      </c>
      <c r="AH109">
        <v>11457.197200000001</v>
      </c>
      <c r="AJ109">
        <v>3.7166000000000001</v>
      </c>
      <c r="AK109">
        <v>12.8385</v>
      </c>
      <c r="AL109">
        <v>0.6351</v>
      </c>
      <c r="AM109">
        <v>38.247500000000002</v>
      </c>
      <c r="AN109">
        <v>0.61229999999999996</v>
      </c>
      <c r="AO109">
        <v>195.11080000000001</v>
      </c>
      <c r="AP109">
        <v>54.738300000000002</v>
      </c>
      <c r="AQ109">
        <v>41.622799999999998</v>
      </c>
      <c r="AR109">
        <v>162.13999999999999</v>
      </c>
      <c r="AS109">
        <v>134309.4276</v>
      </c>
      <c r="AU109" s="1">
        <f t="shared" si="8"/>
        <v>44372</v>
      </c>
      <c r="AV109" s="29">
        <f t="shared" si="9"/>
        <v>7.8161594610217415</v>
      </c>
      <c r="AW109" s="30">
        <f t="shared" si="10"/>
        <v>8.9233332007228008E-2</v>
      </c>
      <c r="AX109">
        <f t="shared" ca="1" si="3"/>
        <v>1.3065623078704283</v>
      </c>
      <c r="AY109">
        <f t="shared" ca="1" si="4"/>
        <v>0.97697394900886492</v>
      </c>
      <c r="AZ109">
        <f t="shared" ca="1" si="5"/>
        <v>0.44156429379279805</v>
      </c>
      <c r="BA109">
        <f t="shared" ca="1" si="6"/>
        <v>0.12656296377043896</v>
      </c>
      <c r="BB109">
        <f t="shared" ca="1" si="7"/>
        <v>-9.3267127536374742E-2</v>
      </c>
    </row>
    <row r="110" spans="1:54" x14ac:dyDescent="0.25">
      <c r="A110" s="37">
        <v>44379</v>
      </c>
      <c r="B110" s="5">
        <v>3.3298000000000001</v>
      </c>
      <c r="C110">
        <v>-4.2061000000000002</v>
      </c>
      <c r="D110">
        <v>-0.13739999999999999</v>
      </c>
      <c r="E110">
        <v>50.804000000000002</v>
      </c>
      <c r="F110">
        <v>2.2570000000000001</v>
      </c>
      <c r="G110">
        <v>0</v>
      </c>
      <c r="H110">
        <v>32.574100000000001</v>
      </c>
      <c r="I110">
        <v>6.1689999999999996</v>
      </c>
      <c r="J110">
        <v>79.405000000000001</v>
      </c>
      <c r="K110">
        <v>312310.0233</v>
      </c>
      <c r="M110" s="37">
        <v>44379</v>
      </c>
      <c r="N110" s="5">
        <v>4.6605999999999996</v>
      </c>
      <c r="O110">
        <v>7.3623000000000003</v>
      </c>
      <c r="P110">
        <v>-0.18090000000000001</v>
      </c>
      <c r="Q110">
        <v>49.137599999999999</v>
      </c>
      <c r="R110">
        <v>2.2000999999999999</v>
      </c>
      <c r="S110" t="s">
        <v>33</v>
      </c>
      <c r="T110">
        <v>43.506700000000002</v>
      </c>
      <c r="U110">
        <v>28.0152</v>
      </c>
      <c r="V110">
        <v>104.6</v>
      </c>
      <c r="W110">
        <v>145614.28030000001</v>
      </c>
      <c r="Y110" s="5">
        <v>1.2436</v>
      </c>
      <c r="Z110">
        <v>7.9512999999999998</v>
      </c>
      <c r="AA110">
        <v>0.46189999999999998</v>
      </c>
      <c r="AB110">
        <v>1.4535</v>
      </c>
      <c r="AC110">
        <v>-0.20300000000000001</v>
      </c>
      <c r="AD110" t="s">
        <v>33</v>
      </c>
      <c r="AE110">
        <v>18.267099999999999</v>
      </c>
      <c r="AF110">
        <v>15.4396</v>
      </c>
      <c r="AG110">
        <v>1.742</v>
      </c>
      <c r="AH110">
        <v>13849.3593</v>
      </c>
      <c r="AJ110">
        <v>3.7069000000000001</v>
      </c>
      <c r="AK110">
        <v>15.114699999999999</v>
      </c>
      <c r="AL110">
        <v>0.87160000000000004</v>
      </c>
      <c r="AM110">
        <v>52.176900000000003</v>
      </c>
      <c r="AN110">
        <v>1.0089999999999999</v>
      </c>
      <c r="AO110">
        <v>195.11080000000001</v>
      </c>
      <c r="AP110">
        <v>50.696899999999999</v>
      </c>
      <c r="AQ110">
        <v>39.349699999999999</v>
      </c>
      <c r="AR110">
        <v>152.405</v>
      </c>
      <c r="AS110">
        <v>126245.3005</v>
      </c>
      <c r="AU110" s="1">
        <f t="shared" si="8"/>
        <v>44379</v>
      </c>
      <c r="AV110" s="29">
        <f t="shared" si="9"/>
        <v>4.6712688123639001</v>
      </c>
      <c r="AW110" s="30">
        <f t="shared" si="10"/>
        <v>-0.88598308277166649</v>
      </c>
      <c r="AX110">
        <f t="shared" ca="1" si="3"/>
        <v>1.3065623078704283</v>
      </c>
      <c r="AY110">
        <f t="shared" ca="1" si="4"/>
        <v>0.97697394900886492</v>
      </c>
      <c r="AZ110">
        <f t="shared" ca="1" si="5"/>
        <v>0.44156429379279805</v>
      </c>
      <c r="BA110">
        <f t="shared" ca="1" si="6"/>
        <v>0.12656296377043896</v>
      </c>
      <c r="BB110">
        <f t="shared" ca="1" si="7"/>
        <v>-8.1588274819289444E-2</v>
      </c>
    </row>
    <row r="111" spans="1:54" x14ac:dyDescent="0.25">
      <c r="A111" s="37">
        <v>44386</v>
      </c>
      <c r="B111" s="5">
        <v>3.2646000000000002</v>
      </c>
      <c r="C111">
        <v>-4.2061000000000002</v>
      </c>
      <c r="D111">
        <v>-0.13739999999999999</v>
      </c>
      <c r="E111">
        <v>50.804000000000002</v>
      </c>
      <c r="F111">
        <v>2.2570000000000001</v>
      </c>
      <c r="G111">
        <v>0</v>
      </c>
      <c r="H111">
        <v>32.574100000000001</v>
      </c>
      <c r="I111">
        <v>6.1689999999999996</v>
      </c>
      <c r="J111">
        <v>74.48</v>
      </c>
      <c r="K111">
        <v>292939.36820000003</v>
      </c>
      <c r="M111" s="37">
        <v>44386</v>
      </c>
      <c r="N111" s="5">
        <v>4.7601000000000004</v>
      </c>
      <c r="O111">
        <v>7.3623000000000003</v>
      </c>
      <c r="P111">
        <v>-0.18090000000000001</v>
      </c>
      <c r="Q111">
        <v>49.137599999999999</v>
      </c>
      <c r="R111">
        <v>2.2000999999999999</v>
      </c>
      <c r="S111" t="s">
        <v>33</v>
      </c>
      <c r="T111">
        <v>43.506700000000002</v>
      </c>
      <c r="U111">
        <v>28.0152</v>
      </c>
      <c r="V111">
        <v>108.75</v>
      </c>
      <c r="W111">
        <v>151391.51990000001</v>
      </c>
      <c r="Y111" s="5">
        <v>1.3784000000000001</v>
      </c>
      <c r="Z111">
        <v>7.9512999999999998</v>
      </c>
      <c r="AA111">
        <v>0.46189999999999998</v>
      </c>
      <c r="AB111">
        <v>1.4535</v>
      </c>
      <c r="AC111">
        <v>-0.20300000000000001</v>
      </c>
      <c r="AD111" t="s">
        <v>33</v>
      </c>
      <c r="AE111">
        <v>18.267099999999999</v>
      </c>
      <c r="AF111">
        <v>15.4396</v>
      </c>
      <c r="AG111">
        <v>1.9039999999999999</v>
      </c>
      <c r="AH111">
        <v>15139.867700000001</v>
      </c>
      <c r="AJ111">
        <v>3.6398000000000001</v>
      </c>
      <c r="AK111">
        <v>15.114699999999999</v>
      </c>
      <c r="AL111">
        <v>0.87160000000000004</v>
      </c>
      <c r="AM111">
        <v>52.176900000000003</v>
      </c>
      <c r="AN111">
        <v>1.0089999999999999</v>
      </c>
      <c r="AO111">
        <v>195.11080000000001</v>
      </c>
      <c r="AP111">
        <v>50.696899999999999</v>
      </c>
      <c r="AQ111">
        <v>39.349699999999999</v>
      </c>
      <c r="AR111">
        <v>148.61600000000001</v>
      </c>
      <c r="AS111">
        <v>123107.0441</v>
      </c>
      <c r="AU111" s="1">
        <f t="shared" si="8"/>
        <v>44386</v>
      </c>
      <c r="AV111" s="29">
        <f t="shared" si="9"/>
        <v>4.6704222651085434</v>
      </c>
      <c r="AW111" s="30">
        <f t="shared" si="10"/>
        <v>-0.88624559325980123</v>
      </c>
      <c r="AX111">
        <f t="shared" ca="1" si="3"/>
        <v>1.3065623078704283</v>
      </c>
      <c r="AY111">
        <f t="shared" ca="1" si="4"/>
        <v>0.96131701809776515</v>
      </c>
      <c r="AZ111">
        <f t="shared" ca="1" si="5"/>
        <v>0.25064651404217064</v>
      </c>
      <c r="BA111">
        <f t="shared" ca="1" si="6"/>
        <v>0.1239286826543837</v>
      </c>
      <c r="BB111">
        <f t="shared" ca="1" si="7"/>
        <v>-9.3267127536374742E-2</v>
      </c>
    </row>
    <row r="112" spans="1:54" x14ac:dyDescent="0.25">
      <c r="A112" s="37">
        <v>44393</v>
      </c>
      <c r="B112" s="5">
        <v>3.2635000000000001</v>
      </c>
      <c r="C112">
        <v>-4.2061000000000002</v>
      </c>
      <c r="D112">
        <v>-0.13739999999999999</v>
      </c>
      <c r="E112">
        <v>50.804000000000002</v>
      </c>
      <c r="F112">
        <v>2.2570000000000001</v>
      </c>
      <c r="G112">
        <v>0</v>
      </c>
      <c r="H112">
        <v>32.574100000000001</v>
      </c>
      <c r="I112">
        <v>6.1689999999999996</v>
      </c>
      <c r="J112">
        <v>74.400000000000006</v>
      </c>
      <c r="K112">
        <v>292624.71799999999</v>
      </c>
      <c r="M112" s="37">
        <v>44393</v>
      </c>
      <c r="N112" s="5">
        <v>4.7877000000000001</v>
      </c>
      <c r="O112">
        <v>7.3623000000000003</v>
      </c>
      <c r="P112">
        <v>-0.18090000000000001</v>
      </c>
      <c r="Q112">
        <v>49.137599999999999</v>
      </c>
      <c r="R112">
        <v>2.2000999999999999</v>
      </c>
      <c r="S112" t="s">
        <v>33</v>
      </c>
      <c r="T112">
        <v>43.506700000000002</v>
      </c>
      <c r="U112">
        <v>28.0152</v>
      </c>
      <c r="V112">
        <v>110.25</v>
      </c>
      <c r="W112">
        <v>153479.67879999999</v>
      </c>
      <c r="Y112" s="5">
        <v>1.1877</v>
      </c>
      <c r="Z112">
        <v>7.9512999999999998</v>
      </c>
      <c r="AA112">
        <v>0.46189999999999998</v>
      </c>
      <c r="AB112">
        <v>1.4535</v>
      </c>
      <c r="AC112">
        <v>-0.20300000000000001</v>
      </c>
      <c r="AD112" t="s">
        <v>33</v>
      </c>
      <c r="AE112">
        <v>18.267099999999999</v>
      </c>
      <c r="AF112">
        <v>15.4396</v>
      </c>
      <c r="AG112">
        <v>1.675</v>
      </c>
      <c r="AH112">
        <v>13314.270399999999</v>
      </c>
      <c r="AJ112">
        <v>3.6661999999999999</v>
      </c>
      <c r="AK112">
        <v>15.114699999999999</v>
      </c>
      <c r="AL112">
        <v>0.87160000000000004</v>
      </c>
      <c r="AM112">
        <v>52.176900000000003</v>
      </c>
      <c r="AN112">
        <v>1.0089999999999999</v>
      </c>
      <c r="AO112">
        <v>195.11080000000001</v>
      </c>
      <c r="AP112">
        <v>50.696899999999999</v>
      </c>
      <c r="AQ112">
        <v>39.349699999999999</v>
      </c>
      <c r="AR112">
        <v>150.10300000000001</v>
      </c>
      <c r="AS112">
        <v>124338.51179999999</v>
      </c>
      <c r="AU112" s="1">
        <f t="shared" si="8"/>
        <v>44393</v>
      </c>
      <c r="AV112" s="29">
        <f t="shared" si="9"/>
        <v>4.7047688538046417</v>
      </c>
      <c r="AW112" s="30">
        <f t="shared" si="10"/>
        <v>-0.87559487091993571</v>
      </c>
      <c r="AX112">
        <f t="shared" ca="1" si="3"/>
        <v>1.303515897578005</v>
      </c>
      <c r="AY112">
        <f t="shared" ca="1" si="4"/>
        <v>0.9417050673180547</v>
      </c>
      <c r="AZ112">
        <f t="shared" ca="1" si="5"/>
        <v>0.24966831618871901</v>
      </c>
      <c r="BA112">
        <f t="shared" ca="1" si="6"/>
        <v>0.11179814247915262</v>
      </c>
      <c r="BB112">
        <f t="shared" ca="1" si="7"/>
        <v>-9.5298189410771617E-2</v>
      </c>
    </row>
    <row r="113" spans="1:54" x14ac:dyDescent="0.25">
      <c r="A113" s="37">
        <v>44400</v>
      </c>
      <c r="B113" s="5">
        <v>3.2919999999999998</v>
      </c>
      <c r="C113">
        <v>-4.2061000000000002</v>
      </c>
      <c r="D113">
        <v>-0.13739999999999999</v>
      </c>
      <c r="E113">
        <v>50.804000000000002</v>
      </c>
      <c r="F113">
        <v>2.2570000000000001</v>
      </c>
      <c r="G113">
        <v>0</v>
      </c>
      <c r="H113">
        <v>32.574100000000001</v>
      </c>
      <c r="I113">
        <v>6.1689999999999996</v>
      </c>
      <c r="J113">
        <v>76.545000000000002</v>
      </c>
      <c r="K113">
        <v>301061.27740000002</v>
      </c>
      <c r="M113" s="37">
        <v>44400</v>
      </c>
      <c r="N113" s="5">
        <v>4.9263000000000003</v>
      </c>
      <c r="O113">
        <v>7.3623000000000003</v>
      </c>
      <c r="P113">
        <v>-0.18090000000000001</v>
      </c>
      <c r="Q113">
        <v>49.137599999999999</v>
      </c>
      <c r="R113">
        <v>2.2000999999999999</v>
      </c>
      <c r="S113" t="s">
        <v>33</v>
      </c>
      <c r="T113">
        <v>43.506700000000002</v>
      </c>
      <c r="U113">
        <v>28.0152</v>
      </c>
      <c r="V113">
        <v>116</v>
      </c>
      <c r="W113">
        <v>161484.2879</v>
      </c>
      <c r="Y113" s="5">
        <v>1.3552999999999999</v>
      </c>
      <c r="Z113">
        <v>7.9512999999999998</v>
      </c>
      <c r="AA113">
        <v>0.46189999999999998</v>
      </c>
      <c r="AB113">
        <v>1.4535</v>
      </c>
      <c r="AC113">
        <v>-0.20300000000000001</v>
      </c>
      <c r="AD113" t="s">
        <v>33</v>
      </c>
      <c r="AE113">
        <v>18.267099999999999</v>
      </c>
      <c r="AF113">
        <v>15.4396</v>
      </c>
      <c r="AG113">
        <v>1.8759999999999999</v>
      </c>
      <c r="AH113">
        <v>14919.537</v>
      </c>
      <c r="AJ113">
        <v>3.7078000000000002</v>
      </c>
      <c r="AK113">
        <v>15.114699999999999</v>
      </c>
      <c r="AL113">
        <v>0.87160000000000004</v>
      </c>
      <c r="AM113">
        <v>52.176900000000003</v>
      </c>
      <c r="AN113">
        <v>1.0089999999999999</v>
      </c>
      <c r="AO113">
        <v>195.11080000000001</v>
      </c>
      <c r="AP113">
        <v>50.696899999999999</v>
      </c>
      <c r="AQ113">
        <v>39.349699999999999</v>
      </c>
      <c r="AR113">
        <v>152.453</v>
      </c>
      <c r="AS113">
        <v>126285.0252</v>
      </c>
      <c r="AU113" s="1">
        <f t="shared" si="8"/>
        <v>44400</v>
      </c>
      <c r="AV113" s="29">
        <f t="shared" si="9"/>
        <v>4.7649007784149209</v>
      </c>
      <c r="AW113" s="30">
        <f t="shared" si="10"/>
        <v>-0.85694823213864202</v>
      </c>
      <c r="AX113">
        <f t="shared" ca="1" si="3"/>
        <v>1.2367775218899684</v>
      </c>
      <c r="AY113">
        <f t="shared" ca="1" si="4"/>
        <v>0.93282411625447215</v>
      </c>
      <c r="AZ113">
        <f t="shared" ca="1" si="5"/>
        <v>0.24857157664054971</v>
      </c>
      <c r="BA113">
        <f t="shared" ca="1" si="6"/>
        <v>8.4595912887364844E-2</v>
      </c>
      <c r="BB113">
        <f t="shared" ca="1" si="7"/>
        <v>-0.1102475482793886</v>
      </c>
    </row>
    <row r="114" spans="1:54" x14ac:dyDescent="0.25">
      <c r="A114" s="37">
        <v>44407</v>
      </c>
      <c r="B114" s="5">
        <v>3.3228</v>
      </c>
      <c r="C114">
        <v>-4.2061000000000002</v>
      </c>
      <c r="D114">
        <v>-0.13739999999999999</v>
      </c>
      <c r="E114">
        <v>50.804000000000002</v>
      </c>
      <c r="F114">
        <v>2.2570000000000001</v>
      </c>
      <c r="G114">
        <v>0</v>
      </c>
      <c r="H114">
        <v>32.574100000000001</v>
      </c>
      <c r="I114">
        <v>6.1689999999999996</v>
      </c>
      <c r="J114">
        <v>78.875</v>
      </c>
      <c r="K114">
        <v>310225.46549999999</v>
      </c>
      <c r="M114" s="37">
        <v>44407</v>
      </c>
      <c r="N114" s="5">
        <v>4.8548999999999998</v>
      </c>
      <c r="O114">
        <v>7.3623000000000003</v>
      </c>
      <c r="P114">
        <v>-0.18090000000000001</v>
      </c>
      <c r="Q114">
        <v>49.137599999999999</v>
      </c>
      <c r="R114">
        <v>2.2000999999999999</v>
      </c>
      <c r="S114" t="s">
        <v>33</v>
      </c>
      <c r="T114">
        <v>43.506700000000002</v>
      </c>
      <c r="U114">
        <v>28.0152</v>
      </c>
      <c r="V114">
        <v>113.75</v>
      </c>
      <c r="W114">
        <v>158352.04949999999</v>
      </c>
      <c r="Y114" s="5">
        <v>1.2204999999999999</v>
      </c>
      <c r="Z114">
        <v>7.9512999999999998</v>
      </c>
      <c r="AA114">
        <v>0.46189999999999998</v>
      </c>
      <c r="AB114">
        <v>1.4535</v>
      </c>
      <c r="AC114">
        <v>-0.20300000000000001</v>
      </c>
      <c r="AD114" t="s">
        <v>33</v>
      </c>
      <c r="AE114">
        <v>18.267099999999999</v>
      </c>
      <c r="AF114">
        <v>15.4396</v>
      </c>
      <c r="AG114">
        <v>1.714</v>
      </c>
      <c r="AH114">
        <v>13629.0285</v>
      </c>
      <c r="AJ114">
        <v>3.7094999999999998</v>
      </c>
      <c r="AK114">
        <v>15.114699999999999</v>
      </c>
      <c r="AL114">
        <v>0.87160000000000004</v>
      </c>
      <c r="AM114">
        <v>52.176900000000003</v>
      </c>
      <c r="AN114">
        <v>1.0089999999999999</v>
      </c>
      <c r="AO114">
        <v>195.11080000000001</v>
      </c>
      <c r="AP114">
        <v>50.696899999999999</v>
      </c>
      <c r="AQ114">
        <v>39.349699999999999</v>
      </c>
      <c r="AR114">
        <v>152.54900000000001</v>
      </c>
      <c r="AS114">
        <v>126364.4748</v>
      </c>
      <c r="AU114" s="1">
        <f t="shared" si="8"/>
        <v>44407</v>
      </c>
      <c r="AV114" s="29">
        <f t="shared" si="9"/>
        <v>4.7385997167327938</v>
      </c>
      <c r="AW114" s="30">
        <f t="shared" si="10"/>
        <v>-0.86510407281611323</v>
      </c>
      <c r="AX114">
        <f t="shared" ca="1" si="3"/>
        <v>1.1852533008814436</v>
      </c>
      <c r="AY114">
        <f t="shared" ca="1" si="4"/>
        <v>0.91320289759600248</v>
      </c>
      <c r="AZ114">
        <f t="shared" ca="1" si="5"/>
        <v>0.23427360008969325</v>
      </c>
      <c r="BA114">
        <f t="shared" ca="1" si="6"/>
        <v>5.6321331804888991E-2</v>
      </c>
      <c r="BB114">
        <f t="shared" ca="1" si="7"/>
        <v>-0.12511486772336999</v>
      </c>
    </row>
    <row r="115" spans="1:54" x14ac:dyDescent="0.25">
      <c r="A115" s="37">
        <v>44414</v>
      </c>
      <c r="B115" s="5">
        <v>3.3201999999999998</v>
      </c>
      <c r="C115">
        <v>-4.2061000000000002</v>
      </c>
      <c r="D115">
        <v>-0.13739999999999999</v>
      </c>
      <c r="E115">
        <v>50.804000000000002</v>
      </c>
      <c r="F115">
        <v>2.2570000000000001</v>
      </c>
      <c r="G115">
        <v>0</v>
      </c>
      <c r="H115">
        <v>32.574100000000001</v>
      </c>
      <c r="I115">
        <v>6.1689999999999996</v>
      </c>
      <c r="J115">
        <v>78.674999999999997</v>
      </c>
      <c r="K115">
        <v>309438.83990000002</v>
      </c>
      <c r="M115" s="37">
        <v>44414</v>
      </c>
      <c r="N115" s="5">
        <v>4.7694000000000001</v>
      </c>
      <c r="O115">
        <v>7.3623000000000003</v>
      </c>
      <c r="P115">
        <v>-0.18090000000000001</v>
      </c>
      <c r="Q115">
        <v>49.137599999999999</v>
      </c>
      <c r="R115">
        <v>2.2000999999999999</v>
      </c>
      <c r="S115" t="s">
        <v>33</v>
      </c>
      <c r="T115">
        <v>43.506700000000002</v>
      </c>
      <c r="U115">
        <v>28.0152</v>
      </c>
      <c r="V115">
        <v>110.85</v>
      </c>
      <c r="W115">
        <v>154314.9423</v>
      </c>
      <c r="Y115" s="5">
        <v>1.4112</v>
      </c>
      <c r="Z115">
        <v>7.9512999999999998</v>
      </c>
      <c r="AA115">
        <v>0.46189999999999998</v>
      </c>
      <c r="AB115">
        <v>1.4535</v>
      </c>
      <c r="AC115">
        <v>-0.20300000000000001</v>
      </c>
      <c r="AD115" t="s">
        <v>33</v>
      </c>
      <c r="AE115">
        <v>18.267099999999999</v>
      </c>
      <c r="AF115">
        <v>15.4396</v>
      </c>
      <c r="AG115">
        <v>1.944</v>
      </c>
      <c r="AH115">
        <v>15454.625899999999</v>
      </c>
      <c r="AJ115">
        <v>3.9268000000000001</v>
      </c>
      <c r="AK115">
        <v>15.114699999999999</v>
      </c>
      <c r="AL115">
        <v>0.87160000000000004</v>
      </c>
      <c r="AM115">
        <v>52.176900000000003</v>
      </c>
      <c r="AN115">
        <v>1.0089999999999999</v>
      </c>
      <c r="AO115">
        <v>195.11080000000001</v>
      </c>
      <c r="AP115">
        <v>50.696899999999999</v>
      </c>
      <c r="AQ115">
        <v>39.349699999999999</v>
      </c>
      <c r="AR115">
        <v>164.82599999999999</v>
      </c>
      <c r="AS115">
        <v>136534.01439999999</v>
      </c>
      <c r="AU115" s="1">
        <f t="shared" si="8"/>
        <v>44414</v>
      </c>
      <c r="AV115" s="29">
        <f t="shared" si="9"/>
        <v>4.8441133724289509</v>
      </c>
      <c r="AW115" s="30">
        <f t="shared" si="10"/>
        <v>-0.83238476377999926</v>
      </c>
      <c r="AX115">
        <f t="shared" ca="1" si="3"/>
        <v>1.1542110790176183</v>
      </c>
      <c r="AY115">
        <f t="shared" ca="1" si="4"/>
        <v>0.9052430506300666</v>
      </c>
      <c r="AZ115">
        <f t="shared" ca="1" si="5"/>
        <v>0.21774500745186853</v>
      </c>
      <c r="BA115">
        <f t="shared" ca="1" si="6"/>
        <v>6.8002004469098105E-3</v>
      </c>
      <c r="BB115">
        <f t="shared" ca="1" si="7"/>
        <v>-0.13115059564301512</v>
      </c>
    </row>
    <row r="116" spans="1:54" x14ac:dyDescent="0.25">
      <c r="A116" s="37">
        <v>44421</v>
      </c>
      <c r="B116" s="5">
        <v>3.4209000000000001</v>
      </c>
      <c r="C116">
        <v>-4.2061000000000002</v>
      </c>
      <c r="D116">
        <v>-0.13739999999999999</v>
      </c>
      <c r="E116">
        <v>50.804000000000002</v>
      </c>
      <c r="F116">
        <v>2.2570000000000001</v>
      </c>
      <c r="G116">
        <v>0</v>
      </c>
      <c r="H116">
        <v>32.574100000000001</v>
      </c>
      <c r="I116">
        <v>6.1689999999999996</v>
      </c>
      <c r="J116">
        <v>86.284999999999997</v>
      </c>
      <c r="K116">
        <v>339369.94339999999</v>
      </c>
      <c r="M116" s="37">
        <v>44421</v>
      </c>
      <c r="N116" s="5">
        <v>4.9122000000000003</v>
      </c>
      <c r="O116">
        <v>7.3623000000000003</v>
      </c>
      <c r="P116">
        <v>-0.18090000000000001</v>
      </c>
      <c r="Q116">
        <v>49.137599999999999</v>
      </c>
      <c r="R116">
        <v>2.2000999999999999</v>
      </c>
      <c r="S116" t="s">
        <v>33</v>
      </c>
      <c r="T116">
        <v>43.506700000000002</v>
      </c>
      <c r="U116">
        <v>28.0152</v>
      </c>
      <c r="V116">
        <v>117.15</v>
      </c>
      <c r="W116">
        <v>162560.69399999999</v>
      </c>
      <c r="Y116" s="5">
        <v>1.2995000000000001</v>
      </c>
      <c r="Z116">
        <v>7.9512999999999998</v>
      </c>
      <c r="AA116">
        <v>0.46189999999999998</v>
      </c>
      <c r="AB116">
        <v>1.4535</v>
      </c>
      <c r="AC116">
        <v>-0.20300000000000001</v>
      </c>
      <c r="AD116" t="s">
        <v>33</v>
      </c>
      <c r="AE116">
        <v>18.267099999999999</v>
      </c>
      <c r="AF116">
        <v>15.4396</v>
      </c>
      <c r="AG116">
        <v>1.8089999999999999</v>
      </c>
      <c r="AH116">
        <v>14384.4481</v>
      </c>
      <c r="AJ116">
        <v>3.9209000000000001</v>
      </c>
      <c r="AK116">
        <v>15.114699999999999</v>
      </c>
      <c r="AL116">
        <v>0.87160000000000004</v>
      </c>
      <c r="AM116">
        <v>52.176900000000003</v>
      </c>
      <c r="AN116">
        <v>1.0089999999999999</v>
      </c>
      <c r="AO116">
        <v>195.11080000000001</v>
      </c>
      <c r="AP116">
        <v>50.696899999999999</v>
      </c>
      <c r="AQ116">
        <v>39.349699999999999</v>
      </c>
      <c r="AR116">
        <v>164.49</v>
      </c>
      <c r="AS116">
        <v>136255.94099999999</v>
      </c>
      <c r="AU116" s="1">
        <f t="shared" si="8"/>
        <v>44421</v>
      </c>
      <c r="AV116" s="29">
        <f t="shared" si="9"/>
        <v>4.8660592347087439</v>
      </c>
      <c r="AW116" s="30">
        <f t="shared" si="10"/>
        <v>-0.82557945080644168</v>
      </c>
      <c r="AX116">
        <f t="shared" ca="1" si="3"/>
        <v>1.0174435797007346</v>
      </c>
      <c r="AY116">
        <f t="shared" ca="1" si="4"/>
        <v>0.86919314014133287</v>
      </c>
      <c r="AZ116">
        <f t="shared" ca="1" si="5"/>
        <v>0.21133576868366502</v>
      </c>
      <c r="BA116">
        <f t="shared" ca="1" si="6"/>
        <v>-1.4999040074269512E-2</v>
      </c>
      <c r="BB116">
        <f t="shared" ca="1" si="7"/>
        <v>-0.76231208426213914</v>
      </c>
    </row>
    <row r="117" spans="1:54" x14ac:dyDescent="0.25">
      <c r="A117" s="37">
        <v>44428</v>
      </c>
      <c r="B117" s="5">
        <v>3.3408000000000002</v>
      </c>
      <c r="C117">
        <v>-4.2061000000000002</v>
      </c>
      <c r="D117">
        <v>-0.13739999999999999</v>
      </c>
      <c r="E117">
        <v>50.804000000000002</v>
      </c>
      <c r="F117">
        <v>2.2570000000000001</v>
      </c>
      <c r="G117">
        <v>0</v>
      </c>
      <c r="H117">
        <v>32.574100000000001</v>
      </c>
      <c r="I117">
        <v>6.1689999999999996</v>
      </c>
      <c r="J117">
        <v>80.234999999999999</v>
      </c>
      <c r="K117">
        <v>315574.51949999999</v>
      </c>
      <c r="M117" s="37">
        <v>44428</v>
      </c>
      <c r="N117" s="5">
        <v>4.7573999999999996</v>
      </c>
      <c r="O117">
        <v>7.3623000000000003</v>
      </c>
      <c r="P117">
        <v>-0.18090000000000001</v>
      </c>
      <c r="Q117">
        <v>49.137599999999999</v>
      </c>
      <c r="R117">
        <v>2.2000999999999999</v>
      </c>
      <c r="S117" t="s">
        <v>33</v>
      </c>
      <c r="T117">
        <v>43.506700000000002</v>
      </c>
      <c r="U117">
        <v>28.0152</v>
      </c>
      <c r="V117">
        <v>111.55</v>
      </c>
      <c r="W117">
        <v>154789.9737</v>
      </c>
      <c r="Y117" s="5">
        <v>1.2928999999999999</v>
      </c>
      <c r="Z117">
        <v>7.9512999999999998</v>
      </c>
      <c r="AA117">
        <v>0.46189999999999998</v>
      </c>
      <c r="AB117">
        <v>1.4535</v>
      </c>
      <c r="AC117">
        <v>-0.20300000000000001</v>
      </c>
      <c r="AD117" t="s">
        <v>33</v>
      </c>
      <c r="AE117">
        <v>18.267099999999999</v>
      </c>
      <c r="AF117">
        <v>15.4396</v>
      </c>
      <c r="AG117">
        <v>1.8009999999999999</v>
      </c>
      <c r="AH117">
        <v>14321.496499999999</v>
      </c>
      <c r="AJ117">
        <v>3.8647999999999998</v>
      </c>
      <c r="AK117">
        <v>15.114699999999999</v>
      </c>
      <c r="AL117">
        <v>0.87160000000000004</v>
      </c>
      <c r="AM117">
        <v>52.176900000000003</v>
      </c>
      <c r="AN117">
        <v>1.0089999999999999</v>
      </c>
      <c r="AO117">
        <v>195.11080000000001</v>
      </c>
      <c r="AP117">
        <v>50.696899999999999</v>
      </c>
      <c r="AQ117">
        <v>39.349699999999999</v>
      </c>
      <c r="AR117">
        <v>161.32499999999999</v>
      </c>
      <c r="AS117">
        <v>133634.1066</v>
      </c>
      <c r="AU117" s="1">
        <f t="shared" si="8"/>
        <v>44428</v>
      </c>
      <c r="AV117" s="29">
        <f t="shared" si="9"/>
        <v>4.798270597996841</v>
      </c>
      <c r="AW117" s="30">
        <f t="shared" si="10"/>
        <v>-0.84660040149836613</v>
      </c>
      <c r="AX117">
        <f t="shared" ca="1" si="3"/>
        <v>0.9897776596833624</v>
      </c>
      <c r="AY117">
        <f t="shared" ca="1" si="4"/>
        <v>0.85546715548099594</v>
      </c>
      <c r="AZ117">
        <f t="shared" ca="1" si="5"/>
        <v>0.2074434162693789</v>
      </c>
      <c r="BA117">
        <f t="shared" ca="1" si="6"/>
        <v>-3.890569629097148E-2</v>
      </c>
      <c r="BB117">
        <f t="shared" ca="1" si="7"/>
        <v>-0.83170423248264347</v>
      </c>
    </row>
    <row r="118" spans="1:54" x14ac:dyDescent="0.25">
      <c r="A118" s="37">
        <v>44435</v>
      </c>
      <c r="B118" s="5">
        <v>3.4645000000000001</v>
      </c>
      <c r="C118">
        <v>-4.2061000000000002</v>
      </c>
      <c r="D118">
        <v>-0.13739999999999999</v>
      </c>
      <c r="E118">
        <v>50.804000000000002</v>
      </c>
      <c r="F118">
        <v>2.2570000000000001</v>
      </c>
      <c r="G118">
        <v>0</v>
      </c>
      <c r="H118">
        <v>32.574100000000001</v>
      </c>
      <c r="I118">
        <v>6.1689999999999996</v>
      </c>
      <c r="J118">
        <v>89.575000000000003</v>
      </c>
      <c r="K118">
        <v>352309.93430000002</v>
      </c>
      <c r="M118" s="37">
        <v>44435</v>
      </c>
      <c r="N118" s="5">
        <v>5.0685000000000002</v>
      </c>
      <c r="O118">
        <v>7.3623000000000003</v>
      </c>
      <c r="P118">
        <v>-0.18090000000000001</v>
      </c>
      <c r="Q118">
        <v>49.137599999999999</v>
      </c>
      <c r="R118">
        <v>2.2000999999999999</v>
      </c>
      <c r="S118" t="s">
        <v>33</v>
      </c>
      <c r="T118">
        <v>43.506700000000002</v>
      </c>
      <c r="U118">
        <v>28.0152</v>
      </c>
      <c r="V118">
        <v>124.15</v>
      </c>
      <c r="W118">
        <v>172274.0944</v>
      </c>
      <c r="Y118" s="5">
        <v>1.3717999999999999</v>
      </c>
      <c r="Z118">
        <v>7.9512999999999998</v>
      </c>
      <c r="AA118">
        <v>0.46189999999999998</v>
      </c>
      <c r="AB118">
        <v>1.4535</v>
      </c>
      <c r="AC118">
        <v>-0.20300000000000001</v>
      </c>
      <c r="AD118" t="s">
        <v>33</v>
      </c>
      <c r="AE118">
        <v>18.267099999999999</v>
      </c>
      <c r="AF118">
        <v>15.4396</v>
      </c>
      <c r="AG118">
        <v>1.8959999999999999</v>
      </c>
      <c r="AH118">
        <v>15076.9161</v>
      </c>
      <c r="AJ118">
        <v>4.1322000000000001</v>
      </c>
      <c r="AK118">
        <v>15.114699999999999</v>
      </c>
      <c r="AL118">
        <v>0.87160000000000004</v>
      </c>
      <c r="AM118">
        <v>52.176900000000003</v>
      </c>
      <c r="AN118">
        <v>1.0089999999999999</v>
      </c>
      <c r="AO118">
        <v>195.11080000000001</v>
      </c>
      <c r="AP118">
        <v>50.696899999999999</v>
      </c>
      <c r="AQ118">
        <v>39.349699999999999</v>
      </c>
      <c r="AR118">
        <v>176.43100000000001</v>
      </c>
      <c r="AS118">
        <v>146147.40729999999</v>
      </c>
      <c r="AU118" s="1">
        <f t="shared" si="8"/>
        <v>44435</v>
      </c>
      <c r="AV118" s="29">
        <f t="shared" si="9"/>
        <v>5.0371290918730756</v>
      </c>
      <c r="AW118" s="30">
        <f t="shared" si="10"/>
        <v>-0.77253145918494093</v>
      </c>
      <c r="AX118">
        <f t="shared" ca="1" si="3"/>
        <v>0.97061845466255248</v>
      </c>
      <c r="AY118">
        <f t="shared" ca="1" si="4"/>
        <v>0.83578402727081791</v>
      </c>
      <c r="AZ118">
        <f t="shared" ca="1" si="5"/>
        <v>0.1897658386974499</v>
      </c>
      <c r="BA118">
        <f t="shared" ca="1" si="6"/>
        <v>-8.9574909299404051E-2</v>
      </c>
      <c r="BB118">
        <f t="shared" ca="1" si="7"/>
        <v>-0.84517883772652946</v>
      </c>
    </row>
    <row r="119" spans="1:54" x14ac:dyDescent="0.25">
      <c r="A119" s="37">
        <v>44442</v>
      </c>
      <c r="B119" s="5">
        <v>3.4337</v>
      </c>
      <c r="C119">
        <v>-4.2061000000000002</v>
      </c>
      <c r="D119">
        <v>-0.13739999999999999</v>
      </c>
      <c r="E119">
        <v>50.804000000000002</v>
      </c>
      <c r="F119">
        <v>2.2570000000000001</v>
      </c>
      <c r="G119">
        <v>0</v>
      </c>
      <c r="H119">
        <v>32.574100000000001</v>
      </c>
      <c r="I119">
        <v>6.1689999999999996</v>
      </c>
      <c r="J119">
        <v>87.245000000000005</v>
      </c>
      <c r="K119">
        <v>343145.7463</v>
      </c>
      <c r="M119" s="37">
        <v>44442</v>
      </c>
      <c r="N119" s="5">
        <v>4.9389000000000003</v>
      </c>
      <c r="O119">
        <v>7.3623000000000003</v>
      </c>
      <c r="P119">
        <v>-0.18090000000000001</v>
      </c>
      <c r="Q119">
        <v>49.137599999999999</v>
      </c>
      <c r="R119">
        <v>2.2000999999999999</v>
      </c>
      <c r="S119" t="s">
        <v>33</v>
      </c>
      <c r="T119">
        <v>43.506700000000002</v>
      </c>
      <c r="U119">
        <v>28.0152</v>
      </c>
      <c r="V119">
        <v>119.7</v>
      </c>
      <c r="W119">
        <v>166099.147</v>
      </c>
      <c r="Y119" s="5">
        <v>1.5033000000000001</v>
      </c>
      <c r="Z119">
        <v>7.9512999999999998</v>
      </c>
      <c r="AA119">
        <v>0.46189999999999998</v>
      </c>
      <c r="AB119">
        <v>1.4535</v>
      </c>
      <c r="AC119">
        <v>-0.20300000000000001</v>
      </c>
      <c r="AD119" t="s">
        <v>33</v>
      </c>
      <c r="AE119">
        <v>18.267099999999999</v>
      </c>
      <c r="AF119">
        <v>15.4396</v>
      </c>
      <c r="AG119">
        <v>2.0550000000000002</v>
      </c>
      <c r="AH119">
        <v>16335.9488</v>
      </c>
      <c r="AJ119">
        <v>4.0898000000000003</v>
      </c>
      <c r="AK119">
        <v>15.114699999999999</v>
      </c>
      <c r="AL119">
        <v>0.87160000000000004</v>
      </c>
      <c r="AM119">
        <v>52.176900000000003</v>
      </c>
      <c r="AN119">
        <v>1.0089999999999999</v>
      </c>
      <c r="AO119">
        <v>195.11080000000001</v>
      </c>
      <c r="AP119">
        <v>50.696899999999999</v>
      </c>
      <c r="AQ119">
        <v>39.349699999999999</v>
      </c>
      <c r="AR119">
        <v>174.03299999999999</v>
      </c>
      <c r="AS119">
        <v>144161.1691</v>
      </c>
      <c r="AU119" s="1">
        <f t="shared" si="8"/>
        <v>44442</v>
      </c>
      <c r="AV119" s="29">
        <f t="shared" si="9"/>
        <v>4.971175884123479</v>
      </c>
      <c r="AW119" s="30">
        <f t="shared" si="10"/>
        <v>-0.79298325162871919</v>
      </c>
      <c r="AX119">
        <f t="shared" ca="1" si="3"/>
        <v>0.95560161247220798</v>
      </c>
      <c r="AY119">
        <f t="shared" ca="1" si="4"/>
        <v>0.80058677655704591</v>
      </c>
      <c r="AZ119">
        <f t="shared" ca="1" si="5"/>
        <v>0.16323323222777691</v>
      </c>
      <c r="BA119">
        <f t="shared" ca="1" si="6"/>
        <v>-9.4241557861148392E-2</v>
      </c>
      <c r="BB119">
        <f t="shared" ca="1" si="7"/>
        <v>-0.84517883772652946</v>
      </c>
    </row>
    <row r="120" spans="1:54" x14ac:dyDescent="0.25">
      <c r="A120" s="37">
        <v>44449</v>
      </c>
      <c r="B120" s="5">
        <v>3.5066999999999999</v>
      </c>
      <c r="C120">
        <v>-4.2061000000000002</v>
      </c>
      <c r="D120">
        <v>-0.13739999999999999</v>
      </c>
      <c r="E120">
        <v>50.804000000000002</v>
      </c>
      <c r="F120">
        <v>2.2570000000000001</v>
      </c>
      <c r="G120">
        <v>0</v>
      </c>
      <c r="H120">
        <v>32.574100000000001</v>
      </c>
      <c r="I120">
        <v>6.1689999999999996</v>
      </c>
      <c r="J120">
        <v>92.76</v>
      </c>
      <c r="K120">
        <v>364836.94679999998</v>
      </c>
      <c r="M120" s="37">
        <v>44449</v>
      </c>
      <c r="N120" s="5">
        <v>4.9459999999999997</v>
      </c>
      <c r="O120">
        <v>7.3623000000000003</v>
      </c>
      <c r="P120">
        <v>-0.18090000000000001</v>
      </c>
      <c r="Q120">
        <v>49.137599999999999</v>
      </c>
      <c r="R120">
        <v>2.2000999999999999</v>
      </c>
      <c r="S120" t="s">
        <v>33</v>
      </c>
      <c r="T120">
        <v>43.506700000000002</v>
      </c>
      <c r="U120">
        <v>28.0152</v>
      </c>
      <c r="V120">
        <v>120.45</v>
      </c>
      <c r="W120">
        <v>167139.86850000001</v>
      </c>
      <c r="Y120" s="5">
        <v>1.4703999999999999</v>
      </c>
      <c r="Z120">
        <v>7.9512999999999998</v>
      </c>
      <c r="AA120">
        <v>0.46189999999999998</v>
      </c>
      <c r="AB120">
        <v>1.4535</v>
      </c>
      <c r="AC120">
        <v>-0.20300000000000001</v>
      </c>
      <c r="AD120" t="s">
        <v>33</v>
      </c>
      <c r="AE120">
        <v>18.267099999999999</v>
      </c>
      <c r="AF120">
        <v>15.4396</v>
      </c>
      <c r="AG120">
        <v>2.0150000000000001</v>
      </c>
      <c r="AH120">
        <v>16021.1906</v>
      </c>
      <c r="AJ120">
        <v>4.1119000000000003</v>
      </c>
      <c r="AK120">
        <v>15.114699999999999</v>
      </c>
      <c r="AL120">
        <v>0.87160000000000004</v>
      </c>
      <c r="AM120">
        <v>52.176900000000003</v>
      </c>
      <c r="AN120">
        <v>1.0089999999999999</v>
      </c>
      <c r="AO120">
        <v>195.11080000000001</v>
      </c>
      <c r="AP120">
        <v>50.696899999999999</v>
      </c>
      <c r="AQ120">
        <v>39.349699999999999</v>
      </c>
      <c r="AR120">
        <v>175.28</v>
      </c>
      <c r="AS120">
        <v>145194.01300000001</v>
      </c>
      <c r="AU120" s="1">
        <f t="shared" si="8"/>
        <v>44449</v>
      </c>
      <c r="AV120" s="29">
        <f t="shared" si="9"/>
        <v>4.9756172509778471</v>
      </c>
      <c r="AW120" s="30">
        <f t="shared" si="10"/>
        <v>-0.7916060037863234</v>
      </c>
      <c r="AX120">
        <f t="shared" ca="1" si="3"/>
        <v>0.935888758791526</v>
      </c>
      <c r="AY120">
        <f t="shared" ca="1" si="4"/>
        <v>0.74399093106716052</v>
      </c>
      <c r="AZ120">
        <f t="shared" ca="1" si="5"/>
        <v>0.15266885777776298</v>
      </c>
      <c r="BA120">
        <f t="shared" ca="1" si="6"/>
        <v>-9.9568192602012259E-2</v>
      </c>
      <c r="BB120">
        <f t="shared" ca="1" si="7"/>
        <v>-0.84517883772652946</v>
      </c>
    </row>
    <row r="121" spans="1:54" x14ac:dyDescent="0.25">
      <c r="A121" s="37">
        <v>44456</v>
      </c>
      <c r="B121" s="5">
        <v>3.5105</v>
      </c>
      <c r="C121">
        <v>-4.2061000000000002</v>
      </c>
      <c r="D121">
        <v>-0.13739999999999999</v>
      </c>
      <c r="E121">
        <v>50.804000000000002</v>
      </c>
      <c r="F121">
        <v>2.2570000000000001</v>
      </c>
      <c r="G121">
        <v>0</v>
      </c>
      <c r="H121">
        <v>32.574100000000001</v>
      </c>
      <c r="I121">
        <v>6.1689999999999996</v>
      </c>
      <c r="J121">
        <v>93.215000000000003</v>
      </c>
      <c r="K121">
        <v>365974.01500000001</v>
      </c>
      <c r="M121" s="37">
        <v>44456</v>
      </c>
      <c r="N121" s="5">
        <v>5.1561000000000003</v>
      </c>
      <c r="O121">
        <v>7.3623000000000003</v>
      </c>
      <c r="P121">
        <v>-0.18090000000000001</v>
      </c>
      <c r="Q121">
        <v>49.137599999999999</v>
      </c>
      <c r="R121">
        <v>2.2000999999999999</v>
      </c>
      <c r="S121" t="s">
        <v>33</v>
      </c>
      <c r="T121">
        <v>43.506700000000002</v>
      </c>
      <c r="U121">
        <v>28.0152</v>
      </c>
      <c r="V121">
        <v>129.19999999999999</v>
      </c>
      <c r="W121">
        <v>179281.61900000001</v>
      </c>
      <c r="Y121" s="5">
        <v>1.4715</v>
      </c>
      <c r="Z121">
        <v>7.9512999999999998</v>
      </c>
      <c r="AA121">
        <v>0.46189999999999998</v>
      </c>
      <c r="AB121">
        <v>1.4535</v>
      </c>
      <c r="AC121">
        <v>-0.20300000000000001</v>
      </c>
      <c r="AD121" t="s">
        <v>33</v>
      </c>
      <c r="AE121">
        <v>18.267099999999999</v>
      </c>
      <c r="AF121">
        <v>15.4396</v>
      </c>
      <c r="AG121">
        <v>2.0350000000000001</v>
      </c>
      <c r="AH121">
        <v>16031.725</v>
      </c>
      <c r="AJ121">
        <v>4.0993000000000004</v>
      </c>
      <c r="AK121">
        <v>15.114699999999999</v>
      </c>
      <c r="AL121">
        <v>0.87160000000000004</v>
      </c>
      <c r="AM121">
        <v>52.176900000000003</v>
      </c>
      <c r="AN121">
        <v>1.0089999999999999</v>
      </c>
      <c r="AO121">
        <v>195.11080000000001</v>
      </c>
      <c r="AP121">
        <v>50.696899999999999</v>
      </c>
      <c r="AQ121">
        <v>39.349699999999999</v>
      </c>
      <c r="AR121">
        <v>184.24799999999999</v>
      </c>
      <c r="AS121">
        <v>144605.39920000001</v>
      </c>
      <c r="AU121" s="1">
        <f t="shared" si="8"/>
        <v>44456</v>
      </c>
      <c r="AV121" s="29">
        <f t="shared" si="9"/>
        <v>5.0339942390568959</v>
      </c>
      <c r="AW121" s="30">
        <f t="shared" si="10"/>
        <v>-0.77350356291311317</v>
      </c>
      <c r="AX121">
        <f t="shared" ca="1" si="3"/>
        <v>0.92918640625432491</v>
      </c>
      <c r="AY121">
        <f t="shared" ca="1" si="4"/>
        <v>0.71279579990548481</v>
      </c>
      <c r="AZ121">
        <f t="shared" ca="1" si="5"/>
        <v>0.14088084557990685</v>
      </c>
      <c r="BA121">
        <f t="shared" ca="1" si="6"/>
        <v>-0.11556395431131414</v>
      </c>
      <c r="BB121">
        <f t="shared" ca="1" si="7"/>
        <v>-0.84517883772652946</v>
      </c>
    </row>
    <row r="122" spans="1:54" x14ac:dyDescent="0.25">
      <c r="A122" s="37">
        <v>44463</v>
      </c>
      <c r="B122" s="5">
        <v>3.4205999999999999</v>
      </c>
      <c r="C122">
        <v>-4.2061000000000002</v>
      </c>
      <c r="D122">
        <v>-0.13739999999999999</v>
      </c>
      <c r="E122">
        <v>50.804000000000002</v>
      </c>
      <c r="F122">
        <v>2.2570000000000001</v>
      </c>
      <c r="G122">
        <v>0</v>
      </c>
      <c r="H122">
        <v>32.574100000000001</v>
      </c>
      <c r="I122">
        <v>6.1689999999999996</v>
      </c>
      <c r="J122">
        <v>86.41</v>
      </c>
      <c r="K122">
        <v>339256.7144</v>
      </c>
      <c r="M122" s="37">
        <v>44463</v>
      </c>
      <c r="N122" s="5">
        <v>5.0875000000000004</v>
      </c>
      <c r="O122">
        <v>7.3623000000000003</v>
      </c>
      <c r="P122">
        <v>-0.18090000000000001</v>
      </c>
      <c r="Q122">
        <v>49.137599999999999</v>
      </c>
      <c r="R122">
        <v>2.2000999999999999</v>
      </c>
      <c r="S122" t="s">
        <v>33</v>
      </c>
      <c r="T122">
        <v>43.506700000000002</v>
      </c>
      <c r="U122">
        <v>28.0152</v>
      </c>
      <c r="V122">
        <v>126.9</v>
      </c>
      <c r="W122">
        <v>176090.07310000001</v>
      </c>
      <c r="Y122" s="5">
        <v>1.4160999999999999</v>
      </c>
      <c r="Z122">
        <v>7.9512999999999998</v>
      </c>
      <c r="AA122">
        <v>0.46189999999999998</v>
      </c>
      <c r="AB122">
        <v>1.4535</v>
      </c>
      <c r="AC122">
        <v>-0.20300000000000001</v>
      </c>
      <c r="AD122" t="s">
        <v>33</v>
      </c>
      <c r="AE122">
        <v>18.267099999999999</v>
      </c>
      <c r="AF122">
        <v>15.4396</v>
      </c>
      <c r="AG122">
        <v>1.9670000000000001</v>
      </c>
      <c r="AH122">
        <v>15501.492899999999</v>
      </c>
      <c r="AJ122">
        <v>3.9376000000000002</v>
      </c>
      <c r="AK122">
        <v>15.114699999999999</v>
      </c>
      <c r="AL122">
        <v>0.87160000000000004</v>
      </c>
      <c r="AM122">
        <v>52.176900000000003</v>
      </c>
      <c r="AN122">
        <v>1.0089999999999999</v>
      </c>
      <c r="AO122">
        <v>195.11080000000001</v>
      </c>
      <c r="AP122">
        <v>50.696899999999999</v>
      </c>
      <c r="AQ122">
        <v>39.349699999999999</v>
      </c>
      <c r="AR122">
        <v>174.60900000000001</v>
      </c>
      <c r="AS122">
        <v>137040.15059999999</v>
      </c>
      <c r="AU122" s="1">
        <f t="shared" si="8"/>
        <v>44463</v>
      </c>
      <c r="AV122" s="29">
        <f t="shared" si="9"/>
        <v>4.9315045784805758</v>
      </c>
      <c r="AW122" s="30">
        <f t="shared" si="10"/>
        <v>-0.80528514469300772</v>
      </c>
      <c r="AX122">
        <f t="shared" ca="1" si="3"/>
        <v>0.90681374844777018</v>
      </c>
      <c r="AY122">
        <f t="shared" ca="1" si="4"/>
        <v>0.65081427084632626</v>
      </c>
      <c r="AZ122">
        <f t="shared" ca="1" si="5"/>
        <v>0.12864834311393922</v>
      </c>
      <c r="BA122">
        <f t="shared" ca="1" si="6"/>
        <v>-0.12785267141349985</v>
      </c>
      <c r="BB122">
        <f t="shared" ca="1" si="7"/>
        <v>-0.84517883772652946</v>
      </c>
    </row>
    <row r="123" spans="1:54" x14ac:dyDescent="0.25">
      <c r="A123" s="37">
        <v>44470</v>
      </c>
      <c r="B123" s="5">
        <v>2.73</v>
      </c>
      <c r="C123">
        <v>-0.4118</v>
      </c>
      <c r="D123">
        <v>0.16889999999999999</v>
      </c>
      <c r="E123">
        <v>50.055399999999999</v>
      </c>
      <c r="F123">
        <v>1.7797000000000001</v>
      </c>
      <c r="G123">
        <v>0</v>
      </c>
      <c r="H123">
        <v>35.255600000000001</v>
      </c>
      <c r="I123">
        <v>11.1165</v>
      </c>
      <c r="J123">
        <v>91.265000000000001</v>
      </c>
      <c r="K123">
        <v>358318.06550000003</v>
      </c>
      <c r="M123" s="37">
        <v>44470</v>
      </c>
      <c r="N123" s="5">
        <v>4.5317999999999996</v>
      </c>
      <c r="O123">
        <v>9.2469999999999999</v>
      </c>
      <c r="P123">
        <v>-2.3E-3</v>
      </c>
      <c r="Q123">
        <v>45.457799999999999</v>
      </c>
      <c r="R123">
        <v>1.6466000000000001</v>
      </c>
      <c r="S123" t="s">
        <v>33</v>
      </c>
      <c r="T123">
        <v>44.054200000000002</v>
      </c>
      <c r="U123">
        <v>29.8307</v>
      </c>
      <c r="V123">
        <v>134.55000000000001</v>
      </c>
      <c r="W123">
        <v>186705.43220000001</v>
      </c>
      <c r="Y123" s="5">
        <v>1.1903999999999999</v>
      </c>
      <c r="Z123">
        <v>9.1320999999999994</v>
      </c>
      <c r="AA123">
        <v>0.50209999999999999</v>
      </c>
      <c r="AB123">
        <v>1.2719</v>
      </c>
      <c r="AC123">
        <v>-0.25890000000000002</v>
      </c>
      <c r="AD123" t="s">
        <v>33</v>
      </c>
      <c r="AE123">
        <v>16.638200000000001</v>
      </c>
      <c r="AF123">
        <v>13.243</v>
      </c>
      <c r="AG123">
        <v>1.96</v>
      </c>
      <c r="AH123">
        <v>15439.1126</v>
      </c>
      <c r="AJ123">
        <v>3.8860999999999999</v>
      </c>
      <c r="AK123">
        <v>17.0611</v>
      </c>
      <c r="AL123">
        <v>0.89500000000000002</v>
      </c>
      <c r="AM123">
        <v>48.839599999999997</v>
      </c>
      <c r="AN123">
        <v>0.97509999999999997</v>
      </c>
      <c r="AO123">
        <v>195.11080000000001</v>
      </c>
      <c r="AP123">
        <v>48.149500000000003</v>
      </c>
      <c r="AQ123">
        <v>35.4816</v>
      </c>
      <c r="AR123">
        <v>188.56399999999999</v>
      </c>
      <c r="AS123">
        <v>147992.82399999999</v>
      </c>
      <c r="AU123" s="1">
        <f t="shared" si="8"/>
        <v>44470</v>
      </c>
      <c r="AV123" s="29">
        <f t="shared" si="9"/>
        <v>4.3139606193358935</v>
      </c>
      <c r="AW123" s="30">
        <f t="shared" si="10"/>
        <v>-0.99678274288850022</v>
      </c>
      <c r="AX123">
        <f t="shared" ref="AX123:AX186" ca="1" si="11">+_xlfn.PERCENTILE.INC(OFFSET(AW123,-52,0,52,1),0.9)</f>
        <v>0.89991282995900079</v>
      </c>
      <c r="AY123">
        <f t="shared" ref="AY123:AY186" ca="1" si="12">+_xlfn.PERCENTILE.INC(OFFSET(AW123,-52,0,52,1),0.75)</f>
        <v>0.34640649125668382</v>
      </c>
      <c r="AZ123">
        <f t="shared" ref="AZ123:AZ186" ca="1" si="13">+_xlfn.PERCENTILE.INC(OFFSET(AW123,-52,0,52,1),0.5)</f>
        <v>0.12619697414115272</v>
      </c>
      <c r="BA123">
        <f t="shared" ref="BA123:BA186" ca="1" si="14">+_xlfn.PERCENTILE.INC(OFFSET(AW123,-52,0,52,1),0.25)</f>
        <v>-0.29187634124728679</v>
      </c>
      <c r="BB123">
        <f t="shared" ref="BB123:BB186" ca="1" si="15">+_xlfn.PERCENTILE.INC(OFFSET(AW123,-52,0,52,1),0.1)</f>
        <v>-0.84517883772652946</v>
      </c>
    </row>
    <row r="124" spans="1:54" x14ac:dyDescent="0.25">
      <c r="A124" s="37">
        <v>44477</v>
      </c>
      <c r="B124" s="5">
        <v>2.7543000000000002</v>
      </c>
      <c r="C124">
        <v>-0.4118</v>
      </c>
      <c r="D124">
        <v>0.16889999999999999</v>
      </c>
      <c r="E124">
        <v>50.055399999999999</v>
      </c>
      <c r="F124">
        <v>1.7797000000000001</v>
      </c>
      <c r="G124">
        <v>0</v>
      </c>
      <c r="H124">
        <v>35.255600000000001</v>
      </c>
      <c r="I124">
        <v>11.1165</v>
      </c>
      <c r="J124">
        <v>93.644999999999996</v>
      </c>
      <c r="K124">
        <v>367662.25</v>
      </c>
      <c r="M124" s="37">
        <v>44477</v>
      </c>
      <c r="N124" s="5">
        <v>4.6215999999999999</v>
      </c>
      <c r="O124">
        <v>9.2469999999999999</v>
      </c>
      <c r="P124">
        <v>-2.3E-3</v>
      </c>
      <c r="Q124">
        <v>45.457799999999999</v>
      </c>
      <c r="R124">
        <v>1.6466000000000001</v>
      </c>
      <c r="S124" t="s">
        <v>33</v>
      </c>
      <c r="T124">
        <v>44.054200000000002</v>
      </c>
      <c r="U124">
        <v>29.8307</v>
      </c>
      <c r="V124">
        <v>139</v>
      </c>
      <c r="W124">
        <v>192710.43119999999</v>
      </c>
      <c r="Y124" s="5">
        <v>1.3104</v>
      </c>
      <c r="Z124">
        <v>9.1320999999999994</v>
      </c>
      <c r="AA124">
        <v>0.50209999999999999</v>
      </c>
      <c r="AB124">
        <v>1.2719</v>
      </c>
      <c r="AC124">
        <v>-0.25890000000000002</v>
      </c>
      <c r="AD124" t="s">
        <v>33</v>
      </c>
      <c r="AE124">
        <v>16.638200000000001</v>
      </c>
      <c r="AF124">
        <v>13.243</v>
      </c>
      <c r="AG124">
        <v>2.1219999999999999</v>
      </c>
      <c r="AH124">
        <v>16717.907800000001</v>
      </c>
      <c r="AJ124">
        <v>3.9801000000000002</v>
      </c>
      <c r="AK124">
        <v>17.0611</v>
      </c>
      <c r="AL124">
        <v>0.89500000000000002</v>
      </c>
      <c r="AM124">
        <v>48.839599999999997</v>
      </c>
      <c r="AN124">
        <v>0.97509999999999997</v>
      </c>
      <c r="AO124">
        <v>195.11080000000001</v>
      </c>
      <c r="AP124">
        <v>48.149500000000003</v>
      </c>
      <c r="AQ124">
        <v>35.4816</v>
      </c>
      <c r="AR124">
        <v>194.654</v>
      </c>
      <c r="AS124">
        <v>152772.8567</v>
      </c>
      <c r="AU124" s="1">
        <f t="shared" si="8"/>
        <v>44477</v>
      </c>
      <c r="AV124" s="29">
        <f t="shared" si="9"/>
        <v>4.3896766047274935</v>
      </c>
      <c r="AW124" s="30">
        <f t="shared" si="10"/>
        <v>-0.97330355710295946</v>
      </c>
      <c r="AX124">
        <f t="shared" ca="1" si="11"/>
        <v>0.89991282995900079</v>
      </c>
      <c r="AY124">
        <f t="shared" ca="1" si="12"/>
        <v>0.25034542670297122</v>
      </c>
      <c r="AZ124">
        <f t="shared" ca="1" si="13"/>
        <v>0.12239237042618718</v>
      </c>
      <c r="BA124">
        <f t="shared" ca="1" si="14"/>
        <v>-0.77277448511698399</v>
      </c>
      <c r="BB124">
        <f t="shared" ca="1" si="15"/>
        <v>-0.85591344907461442</v>
      </c>
    </row>
    <row r="125" spans="1:54" x14ac:dyDescent="0.25">
      <c r="A125" s="37">
        <v>44484</v>
      </c>
      <c r="B125" s="5">
        <v>2.7210000000000001</v>
      </c>
      <c r="C125">
        <v>-0.4118</v>
      </c>
      <c r="D125">
        <v>0.16889999999999999</v>
      </c>
      <c r="E125">
        <v>50.055399999999999</v>
      </c>
      <c r="F125">
        <v>1.7797000000000001</v>
      </c>
      <c r="G125">
        <v>0</v>
      </c>
      <c r="H125">
        <v>35.255600000000001</v>
      </c>
      <c r="I125">
        <v>11.1165</v>
      </c>
      <c r="J125">
        <v>90.38</v>
      </c>
      <c r="K125">
        <v>354843.4423</v>
      </c>
      <c r="M125" s="37">
        <v>44484</v>
      </c>
      <c r="N125" s="5">
        <v>4.9127000000000001</v>
      </c>
      <c r="O125">
        <v>9.2469999999999999</v>
      </c>
      <c r="P125">
        <v>-2.3E-3</v>
      </c>
      <c r="Q125">
        <v>45.457799999999999</v>
      </c>
      <c r="R125">
        <v>1.6466000000000001</v>
      </c>
      <c r="S125" t="s">
        <v>33</v>
      </c>
      <c r="T125">
        <v>44.054200000000002</v>
      </c>
      <c r="U125">
        <v>29.8307</v>
      </c>
      <c r="V125">
        <v>152.5</v>
      </c>
      <c r="W125">
        <v>211426.91200000001</v>
      </c>
      <c r="Y125" s="5">
        <v>1.3339000000000001</v>
      </c>
      <c r="Z125">
        <v>9.1320999999999994</v>
      </c>
      <c r="AA125">
        <v>0.50209999999999999</v>
      </c>
      <c r="AB125">
        <v>1.2719</v>
      </c>
      <c r="AC125">
        <v>-0.25890000000000002</v>
      </c>
      <c r="AD125" t="s">
        <v>33</v>
      </c>
      <c r="AE125">
        <v>16.638200000000001</v>
      </c>
      <c r="AF125">
        <v>13.243</v>
      </c>
      <c r="AG125">
        <v>2.1539999999999999</v>
      </c>
      <c r="AH125">
        <v>16967.428800000002</v>
      </c>
      <c r="AJ125">
        <v>4.1673999999999998</v>
      </c>
      <c r="AK125">
        <v>17.0611</v>
      </c>
      <c r="AL125">
        <v>0.89500000000000002</v>
      </c>
      <c r="AM125">
        <v>48.839599999999997</v>
      </c>
      <c r="AN125">
        <v>0.97509999999999997</v>
      </c>
      <c r="AO125">
        <v>195.11080000000001</v>
      </c>
      <c r="AP125">
        <v>48.149500000000003</v>
      </c>
      <c r="AQ125">
        <v>35.4816</v>
      </c>
      <c r="AR125">
        <v>206.78700000000001</v>
      </c>
      <c r="AS125">
        <v>162295.28409999999</v>
      </c>
      <c r="AU125" s="1">
        <f t="shared" si="8"/>
        <v>44484</v>
      </c>
      <c r="AV125" s="29">
        <f t="shared" si="9"/>
        <v>4.6347961254284522</v>
      </c>
      <c r="AW125" s="30">
        <f t="shared" si="10"/>
        <v>-0.89729309859231843</v>
      </c>
      <c r="AX125">
        <f t="shared" ca="1" si="11"/>
        <v>0.89991282995900079</v>
      </c>
      <c r="AY125">
        <f t="shared" ca="1" si="12"/>
        <v>0.24948030460119264</v>
      </c>
      <c r="AZ125">
        <f t="shared" ca="1" si="13"/>
        <v>0.10427653898851108</v>
      </c>
      <c r="BA125">
        <f t="shared" ca="1" si="14"/>
        <v>-0.77802917313141573</v>
      </c>
      <c r="BB125">
        <f t="shared" ca="1" si="15"/>
        <v>-0.86428848874836606</v>
      </c>
    </row>
    <row r="126" spans="1:54" x14ac:dyDescent="0.25">
      <c r="A126" s="37">
        <v>44491</v>
      </c>
      <c r="B126" s="5">
        <v>2.7223000000000002</v>
      </c>
      <c r="C126">
        <v>-0.4118</v>
      </c>
      <c r="D126">
        <v>0.16889999999999999</v>
      </c>
      <c r="E126">
        <v>50.055399999999999</v>
      </c>
      <c r="F126">
        <v>1.7797000000000001</v>
      </c>
      <c r="G126">
        <v>0</v>
      </c>
      <c r="H126">
        <v>35.255600000000001</v>
      </c>
      <c r="I126">
        <v>11.1165</v>
      </c>
      <c r="J126">
        <v>90.51</v>
      </c>
      <c r="K126">
        <v>355353.83889999997</v>
      </c>
      <c r="M126" s="37">
        <v>44491</v>
      </c>
      <c r="N126" s="5">
        <v>5.1250999999999998</v>
      </c>
      <c r="O126">
        <v>9.2469999999999999</v>
      </c>
      <c r="P126">
        <v>-2.3E-3</v>
      </c>
      <c r="Q126">
        <v>45.457799999999999</v>
      </c>
      <c r="R126">
        <v>1.6466000000000001</v>
      </c>
      <c r="S126" t="s">
        <v>33</v>
      </c>
      <c r="T126">
        <v>44.054200000000002</v>
      </c>
      <c r="U126">
        <v>29.8307</v>
      </c>
      <c r="V126">
        <v>162.5</v>
      </c>
      <c r="W126">
        <v>225290.9718</v>
      </c>
      <c r="Y126" s="5">
        <v>1.3191999999999999</v>
      </c>
      <c r="Z126">
        <v>9.1320999999999994</v>
      </c>
      <c r="AA126">
        <v>0.50209999999999999</v>
      </c>
      <c r="AB126">
        <v>1.2719</v>
      </c>
      <c r="AC126">
        <v>-0.25890000000000002</v>
      </c>
      <c r="AD126" t="s">
        <v>33</v>
      </c>
      <c r="AE126">
        <v>16.638200000000001</v>
      </c>
      <c r="AF126">
        <v>13.243</v>
      </c>
      <c r="AG126">
        <v>2.1339999999999999</v>
      </c>
      <c r="AH126">
        <v>16811.478200000001</v>
      </c>
      <c r="AJ126">
        <v>4.4221000000000004</v>
      </c>
      <c r="AK126">
        <v>17.0611</v>
      </c>
      <c r="AL126">
        <v>0.89500000000000002</v>
      </c>
      <c r="AM126">
        <v>48.839599999999997</v>
      </c>
      <c r="AN126">
        <v>0.97509999999999997</v>
      </c>
      <c r="AO126">
        <v>195.11080000000001</v>
      </c>
      <c r="AP126">
        <v>48.149500000000003</v>
      </c>
      <c r="AQ126">
        <v>35.4816</v>
      </c>
      <c r="AR126">
        <v>223.28399999999999</v>
      </c>
      <c r="AS126">
        <v>175242.77429999999</v>
      </c>
      <c r="AU126" s="1">
        <f t="shared" si="8"/>
        <v>44491</v>
      </c>
      <c r="AV126" s="29">
        <f t="shared" si="9"/>
        <v>4.8859428609541569</v>
      </c>
      <c r="AW126" s="30">
        <f t="shared" si="10"/>
        <v>-0.81941362793176376</v>
      </c>
      <c r="AX126">
        <f t="shared" ca="1" si="11"/>
        <v>0.89991282995900079</v>
      </c>
      <c r="AY126">
        <f t="shared" ca="1" si="12"/>
        <v>0.24821121845399141</v>
      </c>
      <c r="AZ126">
        <f t="shared" ca="1" si="13"/>
        <v>7.9958493767501665E-2</v>
      </c>
      <c r="BA126">
        <f t="shared" ca="1" si="14"/>
        <v>-0.79195031574692232</v>
      </c>
      <c r="BB126">
        <f t="shared" ca="1" si="15"/>
        <v>-0.87454579110955344</v>
      </c>
    </row>
    <row r="127" spans="1:54" x14ac:dyDescent="0.25">
      <c r="A127" s="37">
        <v>44498</v>
      </c>
      <c r="B127" s="5">
        <v>2.6989000000000001</v>
      </c>
      <c r="C127">
        <v>-0.4118</v>
      </c>
      <c r="D127">
        <v>0.16889999999999999</v>
      </c>
      <c r="E127">
        <v>50.055399999999999</v>
      </c>
      <c r="F127">
        <v>1.7797000000000001</v>
      </c>
      <c r="G127">
        <v>0</v>
      </c>
      <c r="H127">
        <v>35.255600000000001</v>
      </c>
      <c r="I127">
        <v>11.1165</v>
      </c>
      <c r="J127">
        <v>88.215000000000003</v>
      </c>
      <c r="K127">
        <v>346343.37530000001</v>
      </c>
      <c r="M127" s="37">
        <v>44498</v>
      </c>
      <c r="N127" s="5">
        <v>4.8784000000000001</v>
      </c>
      <c r="O127">
        <v>9.2469999999999999</v>
      </c>
      <c r="P127">
        <v>-2.3E-3</v>
      </c>
      <c r="Q127">
        <v>45.457799999999999</v>
      </c>
      <c r="R127">
        <v>1.6466000000000001</v>
      </c>
      <c r="S127" t="s">
        <v>33</v>
      </c>
      <c r="T127">
        <v>44.054200000000002</v>
      </c>
      <c r="U127">
        <v>29.8307</v>
      </c>
      <c r="V127">
        <v>152.15</v>
      </c>
      <c r="W127">
        <v>210941.66990000001</v>
      </c>
      <c r="Y127" s="5">
        <v>1.2402</v>
      </c>
      <c r="Z127">
        <v>9.1320999999999994</v>
      </c>
      <c r="AA127">
        <v>0.50209999999999999</v>
      </c>
      <c r="AB127">
        <v>1.2719</v>
      </c>
      <c r="AC127">
        <v>-0.25890000000000002</v>
      </c>
      <c r="AD127" t="s">
        <v>33</v>
      </c>
      <c r="AE127">
        <v>16.638200000000001</v>
      </c>
      <c r="AF127">
        <v>13.243</v>
      </c>
      <c r="AG127">
        <v>2.0270000000000001</v>
      </c>
      <c r="AH127">
        <v>15969.344800000001</v>
      </c>
      <c r="AJ127">
        <v>4.1925999999999997</v>
      </c>
      <c r="AK127">
        <v>17.0611</v>
      </c>
      <c r="AL127">
        <v>0.89500000000000002</v>
      </c>
      <c r="AM127">
        <v>48.839599999999997</v>
      </c>
      <c r="AN127">
        <v>0.97509999999999997</v>
      </c>
      <c r="AO127">
        <v>195.11080000000001</v>
      </c>
      <c r="AP127">
        <v>48.149500000000003</v>
      </c>
      <c r="AQ127">
        <v>35.4816</v>
      </c>
      <c r="AR127">
        <v>208.41800000000001</v>
      </c>
      <c r="AS127">
        <v>163574.9779</v>
      </c>
      <c r="AU127" s="1">
        <f t="shared" si="8"/>
        <v>44498</v>
      </c>
      <c r="AV127" s="29">
        <f t="shared" si="9"/>
        <v>4.6565951493225022</v>
      </c>
      <c r="AW127" s="30">
        <f t="shared" si="10"/>
        <v>-0.89053331954031623</v>
      </c>
      <c r="AX127">
        <f t="shared" ca="1" si="11"/>
        <v>0.85712311224739857</v>
      </c>
      <c r="AY127">
        <f t="shared" ca="1" si="12"/>
        <v>0.22748497000082329</v>
      </c>
      <c r="AZ127">
        <f t="shared" ca="1" si="13"/>
        <v>4.1959008082002647E-2</v>
      </c>
      <c r="BA127">
        <f t="shared" ca="1" si="14"/>
        <v>-0.79605872489479135</v>
      </c>
      <c r="BB127">
        <f t="shared" ca="1" si="15"/>
        <v>-0.87454579110955344</v>
      </c>
    </row>
    <row r="128" spans="1:54" x14ac:dyDescent="0.25">
      <c r="A128" s="37">
        <v>44505</v>
      </c>
      <c r="B128" s="5">
        <v>2.7364999999999999</v>
      </c>
      <c r="C128">
        <v>-0.4118</v>
      </c>
      <c r="D128">
        <v>0.16889999999999999</v>
      </c>
      <c r="E128">
        <v>50.055399999999999</v>
      </c>
      <c r="F128">
        <v>1.7797000000000001</v>
      </c>
      <c r="G128">
        <v>0</v>
      </c>
      <c r="H128">
        <v>35.255600000000001</v>
      </c>
      <c r="I128">
        <v>11.1165</v>
      </c>
      <c r="J128">
        <v>91.9</v>
      </c>
      <c r="K128">
        <v>360811.1568</v>
      </c>
      <c r="M128" s="37">
        <v>44505</v>
      </c>
      <c r="N128" s="5">
        <v>5.0185000000000004</v>
      </c>
      <c r="O128">
        <v>9.2469999999999999</v>
      </c>
      <c r="P128">
        <v>-2.3E-3</v>
      </c>
      <c r="Q128">
        <v>45.457799999999999</v>
      </c>
      <c r="R128">
        <v>1.6466000000000001</v>
      </c>
      <c r="S128" t="s">
        <v>33</v>
      </c>
      <c r="T128">
        <v>44.054200000000002</v>
      </c>
      <c r="U128">
        <v>29.8307</v>
      </c>
      <c r="V128">
        <v>158.94999999999999</v>
      </c>
      <c r="W128">
        <v>220369.23050000001</v>
      </c>
      <c r="Y128" s="5">
        <v>1.3250999999999999</v>
      </c>
      <c r="Z128">
        <v>9.1320999999999994</v>
      </c>
      <c r="AA128">
        <v>0.50209999999999999</v>
      </c>
      <c r="AB128">
        <v>1.2719</v>
      </c>
      <c r="AC128">
        <v>-0.25890000000000002</v>
      </c>
      <c r="AD128" t="s">
        <v>33</v>
      </c>
      <c r="AE128">
        <v>16.638200000000001</v>
      </c>
      <c r="AF128">
        <v>13.243</v>
      </c>
      <c r="AG128">
        <v>2.1419999999999999</v>
      </c>
      <c r="AH128">
        <v>16873.858400000001</v>
      </c>
      <c r="AJ128">
        <v>4.3680000000000003</v>
      </c>
      <c r="AK128">
        <v>17.0611</v>
      </c>
      <c r="AL128">
        <v>0.89500000000000002</v>
      </c>
      <c r="AM128">
        <v>48.839599999999997</v>
      </c>
      <c r="AN128">
        <v>0.97509999999999997</v>
      </c>
      <c r="AO128">
        <v>195.11080000000001</v>
      </c>
      <c r="AP128">
        <v>48.149500000000003</v>
      </c>
      <c r="AQ128">
        <v>35.4816</v>
      </c>
      <c r="AR128">
        <v>219.78299999999999</v>
      </c>
      <c r="AS128">
        <v>172495.19639999999</v>
      </c>
      <c r="AU128" s="1">
        <f t="shared" si="8"/>
        <v>44505</v>
      </c>
      <c r="AV128" s="29">
        <f t="shared" si="9"/>
        <v>4.797393049405267</v>
      </c>
      <c r="AW128" s="30">
        <f t="shared" si="10"/>
        <v>-0.84687252536112567</v>
      </c>
      <c r="AX128">
        <f t="shared" ca="1" si="11"/>
        <v>0.85712311224739857</v>
      </c>
      <c r="AY128">
        <f t="shared" ca="1" si="12"/>
        <v>0.21626934122182609</v>
      </c>
      <c r="AZ128">
        <f t="shared" ca="1" si="13"/>
        <v>3.6604025758965597E-4</v>
      </c>
      <c r="BA128">
        <f t="shared" ca="1" si="14"/>
        <v>-0.80881726550269673</v>
      </c>
      <c r="BB128">
        <f t="shared" ca="1" si="15"/>
        <v>-0.88494426158649342</v>
      </c>
    </row>
    <row r="129" spans="1:54" x14ac:dyDescent="0.25">
      <c r="A129" s="37">
        <v>44512</v>
      </c>
      <c r="B129" s="5">
        <v>2.7660999999999998</v>
      </c>
      <c r="C129">
        <v>-0.4118</v>
      </c>
      <c r="D129">
        <v>0.16889999999999999</v>
      </c>
      <c r="E129">
        <v>50.055399999999999</v>
      </c>
      <c r="F129">
        <v>1.7797000000000001</v>
      </c>
      <c r="G129">
        <v>0</v>
      </c>
      <c r="H129">
        <v>35.255600000000001</v>
      </c>
      <c r="I129">
        <v>11.1165</v>
      </c>
      <c r="J129">
        <v>94.8</v>
      </c>
      <c r="K129">
        <v>372196.9278</v>
      </c>
      <c r="M129" s="37">
        <v>44512</v>
      </c>
      <c r="N129" s="5">
        <v>5.1082000000000001</v>
      </c>
      <c r="O129">
        <v>9.2469999999999999</v>
      </c>
      <c r="P129">
        <v>-2.3E-3</v>
      </c>
      <c r="Q129">
        <v>45.457799999999999</v>
      </c>
      <c r="R129">
        <v>1.6466000000000001</v>
      </c>
      <c r="S129" t="s">
        <v>33</v>
      </c>
      <c r="T129">
        <v>44.054200000000002</v>
      </c>
      <c r="U129">
        <v>29.8307</v>
      </c>
      <c r="V129">
        <v>163.6</v>
      </c>
      <c r="W129">
        <v>226816.0183</v>
      </c>
      <c r="Y129" s="5">
        <v>1.4948999999999999</v>
      </c>
      <c r="Z129">
        <v>9.1320999999999994</v>
      </c>
      <c r="AA129">
        <v>0.50209999999999999</v>
      </c>
      <c r="AB129">
        <v>1.2719</v>
      </c>
      <c r="AC129">
        <v>-0.25890000000000002</v>
      </c>
      <c r="AD129" t="s">
        <v>33</v>
      </c>
      <c r="AE129">
        <v>16.638200000000001</v>
      </c>
      <c r="AF129">
        <v>13.243</v>
      </c>
      <c r="AG129">
        <v>2.371</v>
      </c>
      <c r="AH129">
        <v>18682.8858</v>
      </c>
      <c r="AJ129">
        <v>4.4546000000000001</v>
      </c>
      <c r="AK129">
        <v>17.0611</v>
      </c>
      <c r="AL129">
        <v>0.89500000000000002</v>
      </c>
      <c r="AM129">
        <v>48.839599999999997</v>
      </c>
      <c r="AN129">
        <v>0.97509999999999997</v>
      </c>
      <c r="AO129">
        <v>195.11080000000001</v>
      </c>
      <c r="AP129">
        <v>48.149500000000003</v>
      </c>
      <c r="AQ129">
        <v>35.4816</v>
      </c>
      <c r="AR129">
        <v>225.39400000000001</v>
      </c>
      <c r="AS129">
        <v>176898.8486</v>
      </c>
      <c r="AU129" s="1">
        <f t="shared" si="8"/>
        <v>44512</v>
      </c>
      <c r="AV129" s="29">
        <f t="shared" si="9"/>
        <v>4.8633939367587615</v>
      </c>
      <c r="AW129" s="30">
        <f t="shared" si="10"/>
        <v>-0.82640594768709108</v>
      </c>
      <c r="AX129">
        <f t="shared" ca="1" si="11"/>
        <v>0.85712311224739857</v>
      </c>
      <c r="AY129">
        <f t="shared" ca="1" si="12"/>
        <v>0.20960681552960569</v>
      </c>
      <c r="AZ129">
        <f t="shared" ca="1" si="13"/>
        <v>-1.7495800027488372E-2</v>
      </c>
      <c r="BA129">
        <f t="shared" ca="1" si="14"/>
        <v>-0.82095508365043324</v>
      </c>
      <c r="BB129">
        <f t="shared" ca="1" si="15"/>
        <v>-0.88494426158649342</v>
      </c>
    </row>
    <row r="130" spans="1:54" x14ac:dyDescent="0.25">
      <c r="A130" s="37">
        <v>44519</v>
      </c>
      <c r="B130" s="5">
        <v>2.6593</v>
      </c>
      <c r="C130">
        <v>-0.4118</v>
      </c>
      <c r="D130">
        <v>0.16889999999999999</v>
      </c>
      <c r="E130">
        <v>50.055399999999999</v>
      </c>
      <c r="F130">
        <v>1.7797000000000001</v>
      </c>
      <c r="G130">
        <v>0</v>
      </c>
      <c r="H130">
        <v>35.255600000000001</v>
      </c>
      <c r="I130">
        <v>11.1165</v>
      </c>
      <c r="J130">
        <v>84.224999999999994</v>
      </c>
      <c r="K130">
        <v>331099.2499</v>
      </c>
      <c r="M130" s="37">
        <v>44519</v>
      </c>
      <c r="N130" s="5">
        <v>4.8895</v>
      </c>
      <c r="O130">
        <v>9.2469999999999999</v>
      </c>
      <c r="P130">
        <v>-2.3E-3</v>
      </c>
      <c r="Q130">
        <v>45.457799999999999</v>
      </c>
      <c r="R130">
        <v>1.6466000000000001</v>
      </c>
      <c r="S130" t="s">
        <v>33</v>
      </c>
      <c r="T130">
        <v>44.054200000000002</v>
      </c>
      <c r="U130">
        <v>29.8307</v>
      </c>
      <c r="V130">
        <v>154.25</v>
      </c>
      <c r="W130">
        <v>213853.12239999999</v>
      </c>
      <c r="Y130" s="5">
        <v>1.4157999999999999</v>
      </c>
      <c r="Z130">
        <v>9.1320999999999994</v>
      </c>
      <c r="AA130">
        <v>0.50209999999999999</v>
      </c>
      <c r="AB130">
        <v>1.2719</v>
      </c>
      <c r="AC130">
        <v>-0.25890000000000002</v>
      </c>
      <c r="AD130" t="s">
        <v>33</v>
      </c>
      <c r="AE130">
        <v>16.638200000000001</v>
      </c>
      <c r="AF130">
        <v>13.243</v>
      </c>
      <c r="AG130">
        <v>2.2639999999999998</v>
      </c>
      <c r="AH130">
        <v>17840.752400000001</v>
      </c>
      <c r="AJ130">
        <v>4.0349000000000004</v>
      </c>
      <c r="AK130">
        <v>17.0611</v>
      </c>
      <c r="AL130">
        <v>0.89500000000000002</v>
      </c>
      <c r="AM130">
        <v>48.839599999999997</v>
      </c>
      <c r="AN130">
        <v>0.97509999999999997</v>
      </c>
      <c r="AO130">
        <v>195.11080000000001</v>
      </c>
      <c r="AP130">
        <v>48.149500000000003</v>
      </c>
      <c r="AQ130">
        <v>35.4816</v>
      </c>
      <c r="AR130">
        <v>198.203</v>
      </c>
      <c r="AS130">
        <v>155558.07260000001</v>
      </c>
      <c r="AU130" s="1">
        <f t="shared" si="8"/>
        <v>44519</v>
      </c>
      <c r="AV130" s="29">
        <f t="shared" si="9"/>
        <v>4.5825849116232646</v>
      </c>
      <c r="AW130" s="30">
        <f t="shared" si="10"/>
        <v>-0.91348356065499126</v>
      </c>
      <c r="AX130">
        <f t="shared" ca="1" si="11"/>
        <v>0.79676495621621668</v>
      </c>
      <c r="AY130">
        <f t="shared" ca="1" si="12"/>
        <v>0.20722619321629518</v>
      </c>
      <c r="AZ130">
        <f t="shared" ca="1" si="13"/>
        <v>-5.5322072648016862E-2</v>
      </c>
      <c r="BA130">
        <f t="shared" ca="1" si="14"/>
        <v>-0.82578607502660406</v>
      </c>
      <c r="BB130">
        <f t="shared" ca="1" si="15"/>
        <v>-0.88494426158649342</v>
      </c>
    </row>
    <row r="131" spans="1:54" x14ac:dyDescent="0.25">
      <c r="A131" s="37">
        <v>44526</v>
      </c>
      <c r="B131" s="5">
        <v>2.5739999999999998</v>
      </c>
      <c r="C131">
        <v>-0.4118</v>
      </c>
      <c r="D131">
        <v>0.16889999999999999</v>
      </c>
      <c r="E131">
        <v>50.055399999999999</v>
      </c>
      <c r="F131">
        <v>1.7797000000000001</v>
      </c>
      <c r="G131">
        <v>0</v>
      </c>
      <c r="H131">
        <v>35.255600000000001</v>
      </c>
      <c r="I131">
        <v>11.1165</v>
      </c>
      <c r="J131">
        <v>75.87</v>
      </c>
      <c r="K131">
        <v>298254.67599999998</v>
      </c>
      <c r="M131" s="37">
        <v>44526</v>
      </c>
      <c r="N131" s="5">
        <v>4.6026999999999996</v>
      </c>
      <c r="O131">
        <v>9.2469999999999999</v>
      </c>
      <c r="P131">
        <v>-2.3E-3</v>
      </c>
      <c r="Q131">
        <v>45.457799999999999</v>
      </c>
      <c r="R131">
        <v>1.6466000000000001</v>
      </c>
      <c r="S131" t="s">
        <v>33</v>
      </c>
      <c r="T131">
        <v>44.054200000000002</v>
      </c>
      <c r="U131">
        <v>29.8307</v>
      </c>
      <c r="V131">
        <v>142</v>
      </c>
      <c r="W131">
        <v>196869.64920000001</v>
      </c>
      <c r="Y131" s="5">
        <v>1.3455999999999999</v>
      </c>
      <c r="Z131">
        <v>9.1320999999999994</v>
      </c>
      <c r="AA131">
        <v>0.50209999999999999</v>
      </c>
      <c r="AB131">
        <v>1.2719</v>
      </c>
      <c r="AC131">
        <v>-0.25890000000000002</v>
      </c>
      <c r="AD131" t="s">
        <v>33</v>
      </c>
      <c r="AE131">
        <v>16.638200000000001</v>
      </c>
      <c r="AF131">
        <v>13.243</v>
      </c>
      <c r="AG131">
        <v>2.169</v>
      </c>
      <c r="AH131">
        <v>17092.189299999998</v>
      </c>
      <c r="AJ131">
        <v>3.7713000000000001</v>
      </c>
      <c r="AK131">
        <v>17.0611</v>
      </c>
      <c r="AL131">
        <v>0.89500000000000002</v>
      </c>
      <c r="AM131">
        <v>48.839599999999997</v>
      </c>
      <c r="AN131">
        <v>0.97509999999999997</v>
      </c>
      <c r="AO131">
        <v>195.11080000000001</v>
      </c>
      <c r="AP131">
        <v>48.149500000000003</v>
      </c>
      <c r="AQ131">
        <v>35.4816</v>
      </c>
      <c r="AR131">
        <v>181.131</v>
      </c>
      <c r="AS131">
        <v>142158.9258</v>
      </c>
      <c r="AU131" s="1">
        <f t="shared" si="8"/>
        <v>44526</v>
      </c>
      <c r="AV131" s="29">
        <f t="shared" si="9"/>
        <v>4.3594117213658485</v>
      </c>
      <c r="AW131" s="30">
        <f t="shared" si="10"/>
        <v>-0.98268856101660618</v>
      </c>
      <c r="AX131">
        <f t="shared" ca="1" si="11"/>
        <v>0.25112825378488979</v>
      </c>
      <c r="AY131">
        <f t="shared" ca="1" si="12"/>
        <v>0.18114427296456914</v>
      </c>
      <c r="AZ131">
        <f t="shared" ca="1" si="13"/>
        <v>-9.0994993236700461E-2</v>
      </c>
      <c r="BA131">
        <f t="shared" ca="1" si="14"/>
        <v>-0.82790065171031813</v>
      </c>
      <c r="BB131">
        <f t="shared" ca="1" si="15"/>
        <v>-0.88621934221098775</v>
      </c>
    </row>
    <row r="132" spans="1:54" x14ac:dyDescent="0.25">
      <c r="A132" s="37">
        <v>44533</v>
      </c>
      <c r="B132" s="5">
        <v>2.6795</v>
      </c>
      <c r="C132">
        <v>-0.4118</v>
      </c>
      <c r="D132">
        <v>0.16889999999999999</v>
      </c>
      <c r="E132">
        <v>50.055399999999999</v>
      </c>
      <c r="F132">
        <v>1.7797000000000001</v>
      </c>
      <c r="G132">
        <v>0</v>
      </c>
      <c r="H132">
        <v>35.255600000000001</v>
      </c>
      <c r="I132">
        <v>11.1165</v>
      </c>
      <c r="J132">
        <v>86.2</v>
      </c>
      <c r="K132">
        <v>338863.22759999998</v>
      </c>
      <c r="M132" s="37">
        <v>44533</v>
      </c>
      <c r="N132" s="5">
        <v>5.0254000000000003</v>
      </c>
      <c r="O132">
        <v>9.2469999999999999</v>
      </c>
      <c r="P132">
        <v>-2.3E-3</v>
      </c>
      <c r="Q132">
        <v>45.457799999999999</v>
      </c>
      <c r="R132">
        <v>1.6466000000000001</v>
      </c>
      <c r="S132" t="s">
        <v>33</v>
      </c>
      <c r="T132">
        <v>44.054200000000002</v>
      </c>
      <c r="U132">
        <v>29.8307</v>
      </c>
      <c r="V132">
        <v>162</v>
      </c>
      <c r="W132">
        <v>224597.76879999999</v>
      </c>
      <c r="Y132" s="5">
        <v>1.3983000000000001</v>
      </c>
      <c r="Z132">
        <v>9.1320999999999994</v>
      </c>
      <c r="AA132">
        <v>0.50209999999999999</v>
      </c>
      <c r="AB132">
        <v>1.2719</v>
      </c>
      <c r="AC132">
        <v>-0.25890000000000002</v>
      </c>
      <c r="AD132" t="s">
        <v>33</v>
      </c>
      <c r="AE132">
        <v>16.638200000000001</v>
      </c>
      <c r="AF132">
        <v>13.243</v>
      </c>
      <c r="AG132">
        <v>2.2410000000000001</v>
      </c>
      <c r="AH132">
        <v>17653.6116</v>
      </c>
      <c r="AJ132">
        <v>3.9542000000000002</v>
      </c>
      <c r="AK132">
        <v>17.0611</v>
      </c>
      <c r="AL132">
        <v>0.89500000000000002</v>
      </c>
      <c r="AM132">
        <v>48.839599999999997</v>
      </c>
      <c r="AN132">
        <v>0.97509999999999997</v>
      </c>
      <c r="AO132">
        <v>195.11080000000001</v>
      </c>
      <c r="AP132">
        <v>48.149500000000003</v>
      </c>
      <c r="AQ132">
        <v>35.4816</v>
      </c>
      <c r="AR132">
        <v>192.976</v>
      </c>
      <c r="AS132">
        <v>151455.52489999999</v>
      </c>
      <c r="AU132" s="1">
        <f t="shared" si="8"/>
        <v>44533</v>
      </c>
      <c r="AV132" s="29">
        <f t="shared" si="9"/>
        <v>4.5778372987339875</v>
      </c>
      <c r="AW132" s="30">
        <f t="shared" si="10"/>
        <v>-0.91495577401243011</v>
      </c>
      <c r="AX132">
        <f t="shared" ca="1" si="11"/>
        <v>0.2499691347287612</v>
      </c>
      <c r="AY132">
        <f t="shared" ca="1" si="12"/>
        <v>0.15858849472582121</v>
      </c>
      <c r="AZ132">
        <f t="shared" ca="1" si="13"/>
        <v>-9.4647954611003476E-2</v>
      </c>
      <c r="BA132">
        <f t="shared" ca="1" si="14"/>
        <v>-0.83593867320959103</v>
      </c>
      <c r="BB132">
        <f t="shared" ca="1" si="15"/>
        <v>-0.8901045469122647</v>
      </c>
    </row>
    <row r="133" spans="1:54" x14ac:dyDescent="0.25">
      <c r="A133" s="37">
        <v>44540</v>
      </c>
      <c r="B133" s="5">
        <v>2.6669999999999998</v>
      </c>
      <c r="C133">
        <v>-0.4118</v>
      </c>
      <c r="D133">
        <v>0.16889999999999999</v>
      </c>
      <c r="E133">
        <v>50.055399999999999</v>
      </c>
      <c r="F133">
        <v>1.7797000000000001</v>
      </c>
      <c r="G133">
        <v>0</v>
      </c>
      <c r="H133">
        <v>35.255600000000001</v>
      </c>
      <c r="I133">
        <v>11.1165</v>
      </c>
      <c r="J133">
        <v>84.974999999999994</v>
      </c>
      <c r="K133">
        <v>334047.59590000001</v>
      </c>
      <c r="M133" s="37">
        <v>44540</v>
      </c>
      <c r="N133" s="5">
        <v>4.8979999999999997</v>
      </c>
      <c r="O133">
        <v>9.2469999999999999</v>
      </c>
      <c r="P133">
        <v>-2.3E-3</v>
      </c>
      <c r="Q133">
        <v>45.457799999999999</v>
      </c>
      <c r="R133">
        <v>1.6466000000000001</v>
      </c>
      <c r="S133" t="s">
        <v>33</v>
      </c>
      <c r="T133">
        <v>44.054200000000002</v>
      </c>
      <c r="U133">
        <v>29.8307</v>
      </c>
      <c r="V133">
        <v>157.05000000000001</v>
      </c>
      <c r="W133">
        <v>217735.05919999999</v>
      </c>
      <c r="Y133" s="5">
        <v>1.4305000000000001</v>
      </c>
      <c r="Z133">
        <v>9.1320999999999994</v>
      </c>
      <c r="AA133">
        <v>0.50209999999999999</v>
      </c>
      <c r="AB133">
        <v>1.2719</v>
      </c>
      <c r="AC133">
        <v>-0.25890000000000002</v>
      </c>
      <c r="AD133" t="s">
        <v>33</v>
      </c>
      <c r="AE133">
        <v>16.638200000000001</v>
      </c>
      <c r="AF133">
        <v>13.243</v>
      </c>
      <c r="AG133">
        <v>2.2839999999999998</v>
      </c>
      <c r="AH133">
        <v>17996.703000000001</v>
      </c>
      <c r="AJ133">
        <v>3.9098000000000002</v>
      </c>
      <c r="AK133">
        <v>17.0611</v>
      </c>
      <c r="AL133">
        <v>0.89500000000000002</v>
      </c>
      <c r="AM133">
        <v>48.839599999999997</v>
      </c>
      <c r="AN133">
        <v>0.97509999999999997</v>
      </c>
      <c r="AO133">
        <v>195.11080000000001</v>
      </c>
      <c r="AP133">
        <v>48.149500000000003</v>
      </c>
      <c r="AQ133">
        <v>35.4816</v>
      </c>
      <c r="AR133">
        <v>190.09899999999999</v>
      </c>
      <c r="AS133">
        <v>149197.24170000001</v>
      </c>
      <c r="AU133" s="1">
        <f t="shared" si="8"/>
        <v>44540</v>
      </c>
      <c r="AV133" s="29">
        <f t="shared" si="9"/>
        <v>4.5042820189646671</v>
      </c>
      <c r="AW133" s="30">
        <f t="shared" si="10"/>
        <v>-0.93776493472372824</v>
      </c>
      <c r="AX133">
        <f t="shared" ca="1" si="11"/>
        <v>0.24914814973904298</v>
      </c>
      <c r="AY133">
        <f t="shared" ca="1" si="12"/>
        <v>0.15203140805471171</v>
      </c>
      <c r="AZ133">
        <f t="shared" ca="1" si="13"/>
        <v>-0.10367563709331085</v>
      </c>
      <c r="BA133">
        <f t="shared" ca="1" si="14"/>
        <v>-0.84666843246405599</v>
      </c>
      <c r="BB133">
        <f t="shared" ca="1" si="15"/>
        <v>-0.89661712068711819</v>
      </c>
    </row>
    <row r="134" spans="1:54" x14ac:dyDescent="0.25">
      <c r="A134" s="37">
        <v>44547</v>
      </c>
      <c r="B134" s="5">
        <v>2.6185999999999998</v>
      </c>
      <c r="C134">
        <v>-0.4118</v>
      </c>
      <c r="D134">
        <v>0.16889999999999999</v>
      </c>
      <c r="E134">
        <v>50.055399999999999</v>
      </c>
      <c r="F134">
        <v>1.7797000000000001</v>
      </c>
      <c r="G134">
        <v>0</v>
      </c>
      <c r="H134">
        <v>35.255600000000001</v>
      </c>
      <c r="I134">
        <v>11.1165</v>
      </c>
      <c r="J134">
        <v>80.234999999999999</v>
      </c>
      <c r="K134">
        <v>315414.04950000002</v>
      </c>
      <c r="M134" s="37">
        <v>44547</v>
      </c>
      <c r="N134" s="5">
        <v>4.8071999999999999</v>
      </c>
      <c r="O134">
        <v>9.2469999999999999</v>
      </c>
      <c r="P134">
        <v>-2.3E-3</v>
      </c>
      <c r="Q134">
        <v>45.457799999999999</v>
      </c>
      <c r="R134">
        <v>1.6466000000000001</v>
      </c>
      <c r="S134" t="s">
        <v>33</v>
      </c>
      <c r="T134">
        <v>44.054200000000002</v>
      </c>
      <c r="U134">
        <v>29.8307</v>
      </c>
      <c r="V134">
        <v>153.80000000000001</v>
      </c>
      <c r="W134">
        <v>213229.23970000001</v>
      </c>
      <c r="Y134" s="5">
        <v>1.5037</v>
      </c>
      <c r="Z134">
        <v>9.1320999999999994</v>
      </c>
      <c r="AA134">
        <v>0.50209999999999999</v>
      </c>
      <c r="AB134">
        <v>1.2719</v>
      </c>
      <c r="AC134">
        <v>-0.25890000000000002</v>
      </c>
      <c r="AD134" t="s">
        <v>33</v>
      </c>
      <c r="AE134">
        <v>16.638200000000001</v>
      </c>
      <c r="AF134">
        <v>13.243</v>
      </c>
      <c r="AG134">
        <v>2.383</v>
      </c>
      <c r="AH134">
        <v>18776.456099999999</v>
      </c>
      <c r="AJ134">
        <v>3.7439</v>
      </c>
      <c r="AK134">
        <v>17.0611</v>
      </c>
      <c r="AL134">
        <v>0.89500000000000002</v>
      </c>
      <c r="AM134">
        <v>48.839599999999997</v>
      </c>
      <c r="AN134">
        <v>0.97509999999999997</v>
      </c>
      <c r="AO134">
        <v>195.11080000000001</v>
      </c>
      <c r="AP134">
        <v>48.149500000000003</v>
      </c>
      <c r="AQ134">
        <v>35.4816</v>
      </c>
      <c r="AR134">
        <v>179.35599999999999</v>
      </c>
      <c r="AS134">
        <v>140766.31779999999</v>
      </c>
      <c r="AU134" s="1">
        <f t="shared" si="8"/>
        <v>44547</v>
      </c>
      <c r="AV134" s="29">
        <f t="shared" si="9"/>
        <v>4.3955813176538889</v>
      </c>
      <c r="AW134" s="30">
        <f t="shared" si="10"/>
        <v>-0.97147253223955587</v>
      </c>
      <c r="AX134">
        <f t="shared" ca="1" si="11"/>
        <v>0.24513540823188512</v>
      </c>
      <c r="AY134">
        <f t="shared" ca="1" si="12"/>
        <v>0.13562428920403002</v>
      </c>
      <c r="AZ134">
        <f t="shared" ca="1" si="13"/>
        <v>-0.11923738254672024</v>
      </c>
      <c r="BA134">
        <f t="shared" ca="1" si="14"/>
        <v>-0.84939145205550481</v>
      </c>
      <c r="BB134">
        <f t="shared" ca="1" si="15"/>
        <v>-0.91186451444872396</v>
      </c>
    </row>
    <row r="135" spans="1:54" x14ac:dyDescent="0.25">
      <c r="A135" s="37">
        <v>44554</v>
      </c>
      <c r="B135" s="5">
        <v>2.6337999999999999</v>
      </c>
      <c r="C135">
        <v>-0.4118</v>
      </c>
      <c r="D135">
        <v>0.16889999999999999</v>
      </c>
      <c r="E135">
        <v>50.055399999999999</v>
      </c>
      <c r="F135">
        <v>1.7797000000000001</v>
      </c>
      <c r="G135">
        <v>0</v>
      </c>
      <c r="H135">
        <v>35.255600000000001</v>
      </c>
      <c r="I135">
        <v>11.1165</v>
      </c>
      <c r="J135">
        <v>81.724999999999994</v>
      </c>
      <c r="K135">
        <v>321271.4301</v>
      </c>
      <c r="M135" s="37">
        <v>44554</v>
      </c>
      <c r="N135" s="5">
        <v>4.9626000000000001</v>
      </c>
      <c r="O135">
        <v>9.2469999999999999</v>
      </c>
      <c r="P135">
        <v>-2.3E-3</v>
      </c>
      <c r="Q135">
        <v>45.457799999999999</v>
      </c>
      <c r="R135">
        <v>1.6466000000000001</v>
      </c>
      <c r="S135" t="s">
        <v>33</v>
      </c>
      <c r="T135">
        <v>44.054200000000002</v>
      </c>
      <c r="U135">
        <v>29.8307</v>
      </c>
      <c r="V135">
        <v>161.69999999999999</v>
      </c>
      <c r="W135">
        <v>224181.84700000001</v>
      </c>
      <c r="Y135" s="5">
        <v>1.4861</v>
      </c>
      <c r="Z135">
        <v>9.1320999999999994</v>
      </c>
      <c r="AA135">
        <v>0.50209999999999999</v>
      </c>
      <c r="AB135">
        <v>1.2719</v>
      </c>
      <c r="AC135">
        <v>-0.25890000000000002</v>
      </c>
      <c r="AD135" t="s">
        <v>33</v>
      </c>
      <c r="AE135">
        <v>16.638200000000001</v>
      </c>
      <c r="AF135">
        <v>13.243</v>
      </c>
      <c r="AG135">
        <v>2.359</v>
      </c>
      <c r="AH135">
        <v>18589.315399999999</v>
      </c>
      <c r="AJ135">
        <v>3.7587000000000002</v>
      </c>
      <c r="AK135">
        <v>17.0611</v>
      </c>
      <c r="AL135">
        <v>0.89500000000000002</v>
      </c>
      <c r="AM135">
        <v>48.839599999999997</v>
      </c>
      <c r="AN135">
        <v>0.97509999999999997</v>
      </c>
      <c r="AO135">
        <v>195.11080000000001</v>
      </c>
      <c r="AP135">
        <v>48.149500000000003</v>
      </c>
      <c r="AQ135">
        <v>35.4816</v>
      </c>
      <c r="AR135">
        <v>180.316</v>
      </c>
      <c r="AS135">
        <v>141519.07889999999</v>
      </c>
      <c r="AU135" s="1">
        <f t="shared" ref="AU135:AU198" si="16">+A135</f>
        <v>44554</v>
      </c>
      <c r="AV135" s="29">
        <f t="shared" ref="AV135:AV198" si="17">+(Y135*AH135+N135*W135+B135*K135+AJ135*AS135)/(K135+W135+AH135)</f>
        <v>4.464632464784918</v>
      </c>
      <c r="AW135" s="30">
        <f t="shared" ref="AW135:AW198" si="18">+(AV135-$AW$1)/$AX$1</f>
        <v>-0.95006008275733589</v>
      </c>
      <c r="AX135">
        <f t="shared" ca="1" si="11"/>
        <v>0.22010607341993638</v>
      </c>
      <c r="AY135">
        <f t="shared" ca="1" si="12"/>
        <v>0.12778864825683223</v>
      </c>
      <c r="AZ135">
        <f t="shared" ca="1" si="13"/>
        <v>-0.12912110380946726</v>
      </c>
      <c r="BA135">
        <f t="shared" ca="1" si="14"/>
        <v>-0.85898719230800979</v>
      </c>
      <c r="BB135">
        <f t="shared" ca="1" si="15"/>
        <v>-0.91480855267668626</v>
      </c>
    </row>
    <row r="136" spans="1:54" x14ac:dyDescent="0.25">
      <c r="A136" s="37">
        <v>44561</v>
      </c>
      <c r="B136" s="5">
        <v>2.8963000000000001</v>
      </c>
      <c r="C136">
        <v>-1.0874999999999999</v>
      </c>
      <c r="D136">
        <v>0.20039999999999999</v>
      </c>
      <c r="E136">
        <v>48.937899999999999</v>
      </c>
      <c r="F136">
        <v>1.9982</v>
      </c>
      <c r="G136">
        <v>0</v>
      </c>
      <c r="H136">
        <v>27.247900000000001</v>
      </c>
      <c r="I136">
        <v>4.53</v>
      </c>
      <c r="J136">
        <v>77.844999999999999</v>
      </c>
      <c r="K136">
        <v>306018.65370000002</v>
      </c>
      <c r="M136" s="37">
        <v>44561</v>
      </c>
      <c r="N136" s="5">
        <v>4.5944000000000003</v>
      </c>
      <c r="O136">
        <v>11.946999999999999</v>
      </c>
      <c r="P136">
        <v>0.57840000000000003</v>
      </c>
      <c r="Q136">
        <v>44.697699999999998</v>
      </c>
      <c r="R136">
        <v>1.3932</v>
      </c>
      <c r="S136" t="s">
        <v>33</v>
      </c>
      <c r="T136">
        <v>44.615299999999998</v>
      </c>
      <c r="U136">
        <v>31.013999999999999</v>
      </c>
      <c r="V136">
        <v>166.2</v>
      </c>
      <c r="W136">
        <v>230420.67389999999</v>
      </c>
      <c r="Y136" s="5">
        <v>1.0147999999999999</v>
      </c>
      <c r="Z136">
        <v>2.7256</v>
      </c>
      <c r="AA136">
        <v>0.31519999999999998</v>
      </c>
      <c r="AB136">
        <v>0.27200000000000002</v>
      </c>
      <c r="AC136">
        <v>-0.6855</v>
      </c>
      <c r="AD136" t="s">
        <v>33</v>
      </c>
      <c r="AE136">
        <v>13.789400000000001</v>
      </c>
      <c r="AF136">
        <v>10.5932</v>
      </c>
      <c r="AG136">
        <v>2.5379999999999998</v>
      </c>
      <c r="AH136">
        <v>19992.8711</v>
      </c>
      <c r="AJ136">
        <v>2.7027000000000001</v>
      </c>
      <c r="AK136">
        <v>15.4411</v>
      </c>
      <c r="AL136">
        <v>0.37090000000000001</v>
      </c>
      <c r="AM136">
        <v>30.362500000000001</v>
      </c>
      <c r="AN136">
        <v>0.89900000000000002</v>
      </c>
      <c r="AO136">
        <v>195.11080000000001</v>
      </c>
      <c r="AP136">
        <v>48.524099999999997</v>
      </c>
      <c r="AQ136">
        <v>37.505400000000002</v>
      </c>
      <c r="AR136">
        <v>173.69800000000001</v>
      </c>
      <c r="AS136">
        <v>136325.0276</v>
      </c>
      <c r="AU136" s="1">
        <f t="shared" si="16"/>
        <v>44561</v>
      </c>
      <c r="AV136" s="29">
        <f t="shared" si="17"/>
        <v>4.1940437559446186</v>
      </c>
      <c r="AW136" s="30">
        <f t="shared" si="18"/>
        <v>-1.0339684217094407</v>
      </c>
      <c r="AX136">
        <f t="shared" ca="1" si="11"/>
        <v>0.21410209373015993</v>
      </c>
      <c r="AY136">
        <f t="shared" ca="1" si="12"/>
        <v>0.12583098451186644</v>
      </c>
      <c r="AZ136">
        <f t="shared" ca="1" si="13"/>
        <v>-0.45209471389317152</v>
      </c>
      <c r="BA136">
        <f t="shared" ca="1" si="14"/>
        <v>-0.86772677234206885</v>
      </c>
      <c r="BB136">
        <f t="shared" ca="1" si="15"/>
        <v>-0.93548401865259845</v>
      </c>
    </row>
    <row r="137" spans="1:54" x14ac:dyDescent="0.25">
      <c r="A137" s="37">
        <v>44568</v>
      </c>
      <c r="B137" s="5">
        <v>2.9592000000000001</v>
      </c>
      <c r="C137">
        <v>-1.0874999999999999</v>
      </c>
      <c r="D137">
        <v>0.20039999999999999</v>
      </c>
      <c r="E137">
        <v>48.937899999999999</v>
      </c>
      <c r="F137">
        <v>1.9982</v>
      </c>
      <c r="G137">
        <v>0</v>
      </c>
      <c r="H137">
        <v>27.247900000000001</v>
      </c>
      <c r="I137">
        <v>4.53</v>
      </c>
      <c r="J137">
        <v>83.44</v>
      </c>
      <c r="K137">
        <v>328013.31449999998</v>
      </c>
      <c r="M137" s="37">
        <v>44568</v>
      </c>
      <c r="N137" s="5">
        <v>4.4889000000000001</v>
      </c>
      <c r="O137">
        <v>11.946999999999999</v>
      </c>
      <c r="P137">
        <v>0.57840000000000003</v>
      </c>
      <c r="Q137">
        <v>44.697699999999998</v>
      </c>
      <c r="R137">
        <v>1.3932</v>
      </c>
      <c r="S137" t="s">
        <v>33</v>
      </c>
      <c r="T137">
        <v>44.615299999999998</v>
      </c>
      <c r="U137">
        <v>31.013999999999999</v>
      </c>
      <c r="V137">
        <v>162.1</v>
      </c>
      <c r="W137">
        <v>224736.4094</v>
      </c>
      <c r="Y137" s="5">
        <v>1.0095000000000001</v>
      </c>
      <c r="Z137">
        <v>2.7256</v>
      </c>
      <c r="AA137">
        <v>0.31519999999999998</v>
      </c>
      <c r="AB137">
        <v>0.27200000000000002</v>
      </c>
      <c r="AC137">
        <v>-0.6855</v>
      </c>
      <c r="AD137" t="s">
        <v>33</v>
      </c>
      <c r="AE137">
        <v>13.789400000000001</v>
      </c>
      <c r="AF137">
        <v>10.5932</v>
      </c>
      <c r="AG137">
        <v>2.5299999999999998</v>
      </c>
      <c r="AH137">
        <v>19930.4908</v>
      </c>
      <c r="AJ137">
        <v>2.7450000000000001</v>
      </c>
      <c r="AK137">
        <v>15.4411</v>
      </c>
      <c r="AL137">
        <v>0.37090000000000001</v>
      </c>
      <c r="AM137">
        <v>30.362500000000001</v>
      </c>
      <c r="AN137">
        <v>0.89900000000000002</v>
      </c>
      <c r="AO137">
        <v>195.11080000000001</v>
      </c>
      <c r="AP137">
        <v>48.524099999999997</v>
      </c>
      <c r="AQ137">
        <v>37.505400000000002</v>
      </c>
      <c r="AR137">
        <v>177.774</v>
      </c>
      <c r="AS137">
        <v>139524.26209999999</v>
      </c>
      <c r="AU137" s="1">
        <f t="shared" si="16"/>
        <v>44568</v>
      </c>
      <c r="AV137" s="29">
        <f t="shared" si="17"/>
        <v>4.1604199642190984</v>
      </c>
      <c r="AW137" s="30">
        <f t="shared" si="18"/>
        <v>-1.0443950079666857</v>
      </c>
      <c r="AX137">
        <f t="shared" ca="1" si="11"/>
        <v>0.20779097315431289</v>
      </c>
      <c r="AY137">
        <f t="shared" ca="1" si="12"/>
        <v>0.12085605819799067</v>
      </c>
      <c r="AZ137">
        <f t="shared" ca="1" si="13"/>
        <v>-0.77301751104902705</v>
      </c>
      <c r="BA137">
        <f t="shared" ca="1" si="14"/>
        <v>-0.87819192388286837</v>
      </c>
      <c r="BB137">
        <f t="shared" ca="1" si="15"/>
        <v>-0.94883056795397513</v>
      </c>
    </row>
    <row r="138" spans="1:54" x14ac:dyDescent="0.25">
      <c r="A138" s="37">
        <v>44575</v>
      </c>
      <c r="B138" s="5">
        <v>3.03</v>
      </c>
      <c r="C138">
        <v>-1.0874999999999999</v>
      </c>
      <c r="D138">
        <v>0.20039999999999999</v>
      </c>
      <c r="E138">
        <v>48.937899999999999</v>
      </c>
      <c r="F138">
        <v>1.9982</v>
      </c>
      <c r="G138">
        <v>0</v>
      </c>
      <c r="H138">
        <v>27.247900000000001</v>
      </c>
      <c r="I138">
        <v>4.53</v>
      </c>
      <c r="J138">
        <v>89.74</v>
      </c>
      <c r="K138">
        <v>352779.4204</v>
      </c>
      <c r="M138" s="37">
        <v>44575</v>
      </c>
      <c r="N138" s="5">
        <v>4.4516999999999998</v>
      </c>
      <c r="O138">
        <v>11.946999999999999</v>
      </c>
      <c r="P138">
        <v>0.57840000000000003</v>
      </c>
      <c r="Q138">
        <v>44.697699999999998</v>
      </c>
      <c r="R138">
        <v>1.3932</v>
      </c>
      <c r="S138" t="s">
        <v>33</v>
      </c>
      <c r="T138">
        <v>44.615299999999998</v>
      </c>
      <c r="U138">
        <v>31.013999999999999</v>
      </c>
      <c r="V138">
        <v>161.44999999999999</v>
      </c>
      <c r="W138">
        <v>223835.24549999999</v>
      </c>
      <c r="Y138" s="5">
        <v>1.0226999999999999</v>
      </c>
      <c r="Z138">
        <v>2.7256</v>
      </c>
      <c r="AA138">
        <v>0.31519999999999998</v>
      </c>
      <c r="AB138">
        <v>0.27200000000000002</v>
      </c>
      <c r="AC138">
        <v>-0.6855</v>
      </c>
      <c r="AD138" t="s">
        <v>33</v>
      </c>
      <c r="AE138">
        <v>13.789400000000001</v>
      </c>
      <c r="AF138">
        <v>10.5932</v>
      </c>
      <c r="AG138">
        <v>2.5489999999999999</v>
      </c>
      <c r="AH138">
        <v>20086.441500000001</v>
      </c>
      <c r="AJ138">
        <v>2.871</v>
      </c>
      <c r="AK138">
        <v>15.4411</v>
      </c>
      <c r="AL138">
        <v>0.37090000000000001</v>
      </c>
      <c r="AM138">
        <v>30.362500000000001</v>
      </c>
      <c r="AN138">
        <v>0.89900000000000002</v>
      </c>
      <c r="AO138">
        <v>195.11080000000001</v>
      </c>
      <c r="AP138">
        <v>48.524099999999997</v>
      </c>
      <c r="AQ138">
        <v>37.505400000000002</v>
      </c>
      <c r="AR138">
        <v>189.90700000000001</v>
      </c>
      <c r="AS138">
        <v>149046.68950000001</v>
      </c>
      <c r="AU138" s="1">
        <f t="shared" si="16"/>
        <v>44575</v>
      </c>
      <c r="AV138" s="29">
        <f t="shared" si="17"/>
        <v>4.2128704376540602</v>
      </c>
      <c r="AW138" s="30">
        <f t="shared" si="18"/>
        <v>-1.0281303525712655</v>
      </c>
      <c r="AX138">
        <f t="shared" ca="1" si="11"/>
        <v>0.20356034387005911</v>
      </c>
      <c r="AY138">
        <f t="shared" ca="1" si="12"/>
        <v>9.6754935497869551E-2</v>
      </c>
      <c r="AZ138">
        <f t="shared" ca="1" si="13"/>
        <v>-0.78255478334971829</v>
      </c>
      <c r="BA138">
        <f t="shared" ca="1" si="14"/>
        <v>-0.88604871039370015</v>
      </c>
      <c r="BB138">
        <f t="shared" ca="1" si="15"/>
        <v>-0.96933128729133389</v>
      </c>
    </row>
    <row r="139" spans="1:54" x14ac:dyDescent="0.25">
      <c r="A139" s="37">
        <v>44582</v>
      </c>
      <c r="B139" s="5">
        <v>2.9786000000000001</v>
      </c>
      <c r="C139">
        <v>-1.0874999999999999</v>
      </c>
      <c r="D139">
        <v>0.20039999999999999</v>
      </c>
      <c r="E139">
        <v>48.937899999999999</v>
      </c>
      <c r="F139">
        <v>1.9982</v>
      </c>
      <c r="G139">
        <v>0</v>
      </c>
      <c r="H139">
        <v>27.247900000000001</v>
      </c>
      <c r="I139">
        <v>4.53</v>
      </c>
      <c r="J139">
        <v>85.165000000000006</v>
      </c>
      <c r="K139">
        <v>334794.51020000002</v>
      </c>
      <c r="M139" s="37">
        <v>44582</v>
      </c>
      <c r="N139" s="5">
        <v>4.5244999999999997</v>
      </c>
      <c r="O139">
        <v>11.946999999999999</v>
      </c>
      <c r="P139">
        <v>0.57840000000000003</v>
      </c>
      <c r="Q139">
        <v>44.697699999999998</v>
      </c>
      <c r="R139">
        <v>1.3932</v>
      </c>
      <c r="S139" t="s">
        <v>33</v>
      </c>
      <c r="T139">
        <v>44.615299999999998</v>
      </c>
      <c r="U139">
        <v>31.013999999999999</v>
      </c>
      <c r="V139">
        <v>166.25</v>
      </c>
      <c r="W139">
        <v>230489.99419999999</v>
      </c>
      <c r="Y139" s="5">
        <v>0.96970000000000001</v>
      </c>
      <c r="Z139">
        <v>2.7256</v>
      </c>
      <c r="AA139">
        <v>0.31519999999999998</v>
      </c>
      <c r="AB139">
        <v>0.27200000000000002</v>
      </c>
      <c r="AC139">
        <v>-0.6855</v>
      </c>
      <c r="AD139" t="s">
        <v>33</v>
      </c>
      <c r="AE139">
        <v>13.789400000000001</v>
      </c>
      <c r="AF139">
        <v>10.5932</v>
      </c>
      <c r="AG139">
        <v>2.4700000000000002</v>
      </c>
      <c r="AH139">
        <v>19462.638900000002</v>
      </c>
      <c r="AJ139">
        <v>2.8504999999999998</v>
      </c>
      <c r="AK139">
        <v>15.4411</v>
      </c>
      <c r="AL139">
        <v>0.37090000000000001</v>
      </c>
      <c r="AM139">
        <v>30.362500000000001</v>
      </c>
      <c r="AN139">
        <v>0.89900000000000002</v>
      </c>
      <c r="AO139">
        <v>195.11080000000001</v>
      </c>
      <c r="AP139">
        <v>48.524099999999997</v>
      </c>
      <c r="AQ139">
        <v>37.505400000000002</v>
      </c>
      <c r="AR139">
        <v>187.941</v>
      </c>
      <c r="AS139">
        <v>147503.52929999999</v>
      </c>
      <c r="AU139" s="1">
        <f t="shared" si="16"/>
        <v>44582</v>
      </c>
      <c r="AV139" s="29">
        <f t="shared" si="17"/>
        <v>4.2401278338157891</v>
      </c>
      <c r="AW139" s="30">
        <f t="shared" si="18"/>
        <v>-1.0196779568822791</v>
      </c>
      <c r="AX139">
        <f t="shared" ca="1" si="11"/>
        <v>0.17066481223090604</v>
      </c>
      <c r="AY139">
        <f t="shared" ca="1" si="12"/>
        <v>7.53210746476385E-2</v>
      </c>
      <c r="AZ139">
        <f t="shared" ca="1" si="13"/>
        <v>-0.79229462770752135</v>
      </c>
      <c r="BA139">
        <f t="shared" ca="1" si="14"/>
        <v>-0.88731752482992998</v>
      </c>
      <c r="BB139">
        <f t="shared" ca="1" si="15"/>
        <v>-0.97312045461661911</v>
      </c>
    </row>
    <row r="140" spans="1:54" x14ac:dyDescent="0.25">
      <c r="A140" s="37">
        <v>44589</v>
      </c>
      <c r="B140" s="5">
        <v>3.0844</v>
      </c>
      <c r="C140">
        <v>-1.0874999999999999</v>
      </c>
      <c r="D140">
        <v>0.20039999999999999</v>
      </c>
      <c r="E140">
        <v>48.937899999999999</v>
      </c>
      <c r="F140">
        <v>1.9982</v>
      </c>
      <c r="G140">
        <v>0</v>
      </c>
      <c r="H140">
        <v>27.247900000000001</v>
      </c>
      <c r="I140">
        <v>4.53</v>
      </c>
      <c r="J140">
        <v>94.584999999999994</v>
      </c>
      <c r="K140">
        <v>371825.7353</v>
      </c>
      <c r="M140" s="37">
        <v>44589</v>
      </c>
      <c r="N140" s="5">
        <v>4.7037000000000004</v>
      </c>
      <c r="O140">
        <v>11.946999999999999</v>
      </c>
      <c r="P140">
        <v>0.57840000000000003</v>
      </c>
      <c r="Q140">
        <v>44.697699999999998</v>
      </c>
      <c r="R140">
        <v>1.3932</v>
      </c>
      <c r="S140" t="s">
        <v>33</v>
      </c>
      <c r="T140">
        <v>44.615299999999998</v>
      </c>
      <c r="U140">
        <v>31.013999999999999</v>
      </c>
      <c r="V140">
        <v>176.55</v>
      </c>
      <c r="W140">
        <v>244769.97579999999</v>
      </c>
      <c r="Y140" s="5">
        <v>0.98029999999999995</v>
      </c>
      <c r="Z140">
        <v>2.7256</v>
      </c>
      <c r="AA140">
        <v>0.31519999999999998</v>
      </c>
      <c r="AB140">
        <v>0.27200000000000002</v>
      </c>
      <c r="AC140">
        <v>-0.6855</v>
      </c>
      <c r="AD140" t="s">
        <v>33</v>
      </c>
      <c r="AE140">
        <v>13.789400000000001</v>
      </c>
      <c r="AF140">
        <v>10.5932</v>
      </c>
      <c r="AG140">
        <v>2.4860000000000002</v>
      </c>
      <c r="AH140">
        <v>19587.399399999998</v>
      </c>
      <c r="AJ140">
        <v>3.0019</v>
      </c>
      <c r="AK140">
        <v>15.4411</v>
      </c>
      <c r="AL140">
        <v>0.37090000000000001</v>
      </c>
      <c r="AM140">
        <v>30.362500000000001</v>
      </c>
      <c r="AN140">
        <v>0.89900000000000002</v>
      </c>
      <c r="AO140">
        <v>195.11080000000001</v>
      </c>
      <c r="AP140">
        <v>48.524099999999997</v>
      </c>
      <c r="AQ140">
        <v>37.505400000000002</v>
      </c>
      <c r="AR140">
        <v>202.51900000000001</v>
      </c>
      <c r="AS140">
        <v>158945.49739999999</v>
      </c>
      <c r="AU140" s="1">
        <f t="shared" si="16"/>
        <v>44589</v>
      </c>
      <c r="AV140" s="29">
        <f t="shared" si="17"/>
        <v>4.3926407401956018</v>
      </c>
      <c r="AW140" s="30">
        <f t="shared" si="18"/>
        <v>-0.97238439205492788</v>
      </c>
      <c r="AX140">
        <f t="shared" ca="1" si="11"/>
        <v>0.15368877733464498</v>
      </c>
      <c r="AY140">
        <f t="shared" ca="1" si="12"/>
        <v>2.7596684359116306E-2</v>
      </c>
      <c r="AZ140">
        <f t="shared" ca="1" si="13"/>
        <v>-0.79913419816086351</v>
      </c>
      <c r="BA140">
        <f t="shared" ca="1" si="14"/>
        <v>-0.89222326430331678</v>
      </c>
      <c r="BB140">
        <f t="shared" ca="1" si="15"/>
        <v>-0.98175006062524151</v>
      </c>
    </row>
    <row r="141" spans="1:54" x14ac:dyDescent="0.25">
      <c r="A141" s="37">
        <v>44596</v>
      </c>
      <c r="B141" s="5">
        <v>3.0306000000000002</v>
      </c>
      <c r="C141">
        <v>-1.0874999999999999</v>
      </c>
      <c r="D141">
        <v>0.20039999999999999</v>
      </c>
      <c r="E141">
        <v>48.937899999999999</v>
      </c>
      <c r="F141">
        <v>1.9982</v>
      </c>
      <c r="G141">
        <v>0</v>
      </c>
      <c r="H141">
        <v>27.247900000000001</v>
      </c>
      <c r="I141">
        <v>4.53</v>
      </c>
      <c r="J141">
        <v>89.795000000000002</v>
      </c>
      <c r="K141">
        <v>352995.63250000001</v>
      </c>
      <c r="M141" s="37">
        <v>44596</v>
      </c>
      <c r="N141" s="5">
        <v>4.5267999999999997</v>
      </c>
      <c r="O141">
        <v>11.946999999999999</v>
      </c>
      <c r="P141">
        <v>0.57840000000000003</v>
      </c>
      <c r="Q141">
        <v>44.697699999999998</v>
      </c>
      <c r="R141">
        <v>1.3932</v>
      </c>
      <c r="S141" t="s">
        <v>33</v>
      </c>
      <c r="T141">
        <v>44.615299999999998</v>
      </c>
      <c r="U141">
        <v>31.013999999999999</v>
      </c>
      <c r="V141">
        <v>168.75</v>
      </c>
      <c r="W141">
        <v>233956.0091</v>
      </c>
      <c r="Y141" s="5">
        <v>1.0121</v>
      </c>
      <c r="Z141">
        <v>2.7256</v>
      </c>
      <c r="AA141">
        <v>0.31519999999999998</v>
      </c>
      <c r="AB141">
        <v>0.27200000000000002</v>
      </c>
      <c r="AC141">
        <v>-0.6855</v>
      </c>
      <c r="AD141" t="s">
        <v>33</v>
      </c>
      <c r="AE141">
        <v>13.789400000000001</v>
      </c>
      <c r="AF141">
        <v>10.5932</v>
      </c>
      <c r="AG141">
        <v>2.5339999999999998</v>
      </c>
      <c r="AH141">
        <v>19961.681</v>
      </c>
      <c r="AJ141">
        <v>2.9984000000000002</v>
      </c>
      <c r="AK141">
        <v>15.4411</v>
      </c>
      <c r="AL141">
        <v>0.37090000000000001</v>
      </c>
      <c r="AM141">
        <v>30.362500000000001</v>
      </c>
      <c r="AN141">
        <v>0.89900000000000002</v>
      </c>
      <c r="AO141">
        <v>195.11080000000001</v>
      </c>
      <c r="AP141">
        <v>48.524099999999997</v>
      </c>
      <c r="AQ141">
        <v>37.505400000000002</v>
      </c>
      <c r="AR141">
        <v>202.184</v>
      </c>
      <c r="AS141">
        <v>158682.03099999999</v>
      </c>
      <c r="AU141" s="1">
        <f t="shared" si="16"/>
        <v>44596</v>
      </c>
      <c r="AV141" s="29">
        <f t="shared" si="17"/>
        <v>4.3249273779228794</v>
      </c>
      <c r="AW141" s="30">
        <f t="shared" si="18"/>
        <v>-0.99338200048255665</v>
      </c>
      <c r="AX141">
        <f t="shared" ca="1" si="11"/>
        <v>0.14929133578130971</v>
      </c>
      <c r="AY141">
        <f t="shared" ca="1" si="12"/>
        <v>-6.0681199317304969E-3</v>
      </c>
      <c r="AZ141">
        <f t="shared" ca="1" si="13"/>
        <v>-0.81234938631238574</v>
      </c>
      <c r="BA141">
        <f t="shared" ca="1" si="14"/>
        <v>-0.90134071410798666</v>
      </c>
      <c r="BB141">
        <f t="shared" ca="1" si="15"/>
        <v>-0.98175006062524151</v>
      </c>
    </row>
    <row r="142" spans="1:54" x14ac:dyDescent="0.25">
      <c r="A142" s="37">
        <v>44603</v>
      </c>
      <c r="B142" s="5">
        <v>3.0242</v>
      </c>
      <c r="C142">
        <v>-1.0874999999999999</v>
      </c>
      <c r="D142">
        <v>0.20039999999999999</v>
      </c>
      <c r="E142">
        <v>48.937899999999999</v>
      </c>
      <c r="F142">
        <v>1.9982</v>
      </c>
      <c r="G142">
        <v>0</v>
      </c>
      <c r="H142">
        <v>27.247900000000001</v>
      </c>
      <c r="I142">
        <v>4.53</v>
      </c>
      <c r="J142">
        <v>89.23</v>
      </c>
      <c r="K142">
        <v>350774.54519999999</v>
      </c>
      <c r="M142" s="37">
        <v>44603</v>
      </c>
      <c r="N142" s="5">
        <v>4.6173999999999999</v>
      </c>
      <c r="O142">
        <v>11.946999999999999</v>
      </c>
      <c r="P142">
        <v>0.57840000000000003</v>
      </c>
      <c r="Q142">
        <v>44.697699999999998</v>
      </c>
      <c r="R142">
        <v>1.3932</v>
      </c>
      <c r="S142" t="s">
        <v>33</v>
      </c>
      <c r="T142">
        <v>44.615299999999998</v>
      </c>
      <c r="U142">
        <v>31.013999999999999</v>
      </c>
      <c r="V142">
        <v>175.1</v>
      </c>
      <c r="W142">
        <v>242759.68710000001</v>
      </c>
      <c r="Y142" s="5">
        <v>1.0147999999999999</v>
      </c>
      <c r="Z142">
        <v>2.7256</v>
      </c>
      <c r="AA142">
        <v>0.31519999999999998</v>
      </c>
      <c r="AB142">
        <v>0.27200000000000002</v>
      </c>
      <c r="AC142">
        <v>-0.6855</v>
      </c>
      <c r="AD142" t="s">
        <v>33</v>
      </c>
      <c r="AE142">
        <v>13.789400000000001</v>
      </c>
      <c r="AF142">
        <v>10.5932</v>
      </c>
      <c r="AG142">
        <v>2.5379999999999998</v>
      </c>
      <c r="AH142">
        <v>19992.8711</v>
      </c>
      <c r="AJ142">
        <v>2.9940000000000002</v>
      </c>
      <c r="AK142">
        <v>15.4411</v>
      </c>
      <c r="AL142">
        <v>0.37090000000000001</v>
      </c>
      <c r="AM142">
        <v>30.362500000000001</v>
      </c>
      <c r="AN142">
        <v>0.89900000000000002</v>
      </c>
      <c r="AO142">
        <v>195.11080000000001</v>
      </c>
      <c r="AP142">
        <v>48.524099999999997</v>
      </c>
      <c r="AQ142">
        <v>37.505400000000002</v>
      </c>
      <c r="AR142">
        <v>201.75200000000001</v>
      </c>
      <c r="AS142">
        <v>158343.2886</v>
      </c>
      <c r="AU142" s="1">
        <f t="shared" si="16"/>
        <v>44603</v>
      </c>
      <c r="AV142" s="29">
        <f t="shared" si="17"/>
        <v>4.3618277263381611</v>
      </c>
      <c r="AW142" s="30">
        <f t="shared" si="18"/>
        <v>-0.98193936876466181</v>
      </c>
      <c r="AX142">
        <f t="shared" ca="1" si="11"/>
        <v>0.13002385488531043</v>
      </c>
      <c r="AY142">
        <f t="shared" ca="1" si="12"/>
        <v>-1.9992559980707234E-2</v>
      </c>
      <c r="AZ142">
        <f t="shared" ca="1" si="13"/>
        <v>-0.82249653936910272</v>
      </c>
      <c r="BA142">
        <f t="shared" ca="1" si="14"/>
        <v>-0.913851613994351</v>
      </c>
      <c r="BB142">
        <f t="shared" ca="1" si="15"/>
        <v>-0.99231265653596157</v>
      </c>
    </row>
    <row r="143" spans="1:54" x14ac:dyDescent="0.25">
      <c r="A143" s="37">
        <v>44610</v>
      </c>
      <c r="B143" s="5">
        <v>3.0324</v>
      </c>
      <c r="C143">
        <v>-1.0874999999999999</v>
      </c>
      <c r="D143">
        <v>0.20039999999999999</v>
      </c>
      <c r="E143">
        <v>48.937899999999999</v>
      </c>
      <c r="F143">
        <v>1.9982</v>
      </c>
      <c r="G143">
        <v>0</v>
      </c>
      <c r="H143">
        <v>27.247900000000001</v>
      </c>
      <c r="I143">
        <v>4.53</v>
      </c>
      <c r="J143">
        <v>89.96</v>
      </c>
      <c r="K143">
        <v>353644.26860000001</v>
      </c>
      <c r="M143" s="37">
        <v>44610</v>
      </c>
      <c r="N143" s="5">
        <v>4.4756</v>
      </c>
      <c r="O143">
        <v>11.946999999999999</v>
      </c>
      <c r="P143">
        <v>0.57840000000000003</v>
      </c>
      <c r="Q143">
        <v>44.697699999999998</v>
      </c>
      <c r="R143">
        <v>1.3932</v>
      </c>
      <c r="S143" t="s">
        <v>33</v>
      </c>
      <c r="T143">
        <v>44.615299999999998</v>
      </c>
      <c r="U143">
        <v>31.013999999999999</v>
      </c>
      <c r="V143">
        <v>169.1</v>
      </c>
      <c r="W143">
        <v>234441.2512</v>
      </c>
      <c r="Y143" s="5">
        <v>1.0705</v>
      </c>
      <c r="Z143">
        <v>2.7256</v>
      </c>
      <c r="AA143">
        <v>0.31519999999999998</v>
      </c>
      <c r="AB143">
        <v>0.27200000000000002</v>
      </c>
      <c r="AC143">
        <v>-0.6855</v>
      </c>
      <c r="AD143" t="s">
        <v>33</v>
      </c>
      <c r="AE143">
        <v>13.789400000000001</v>
      </c>
      <c r="AF143">
        <v>10.5932</v>
      </c>
      <c r="AG143">
        <v>2.621</v>
      </c>
      <c r="AH143">
        <v>20647.863700000002</v>
      </c>
      <c r="AJ143">
        <v>3.0979999999999999</v>
      </c>
      <c r="AK143">
        <v>15.4411</v>
      </c>
      <c r="AL143">
        <v>0.37090000000000001</v>
      </c>
      <c r="AM143">
        <v>30.362500000000001</v>
      </c>
      <c r="AN143">
        <v>0.89900000000000002</v>
      </c>
      <c r="AO143">
        <v>195.11080000000001</v>
      </c>
      <c r="AP143">
        <v>48.524099999999997</v>
      </c>
      <c r="AQ143">
        <v>37.505400000000002</v>
      </c>
      <c r="AR143">
        <v>211.77500000000001</v>
      </c>
      <c r="AS143">
        <v>166209.6416</v>
      </c>
      <c r="AU143" s="1">
        <f t="shared" si="16"/>
        <v>44610</v>
      </c>
      <c r="AV143" s="29">
        <f t="shared" si="17"/>
        <v>4.367556016814067</v>
      </c>
      <c r="AW143" s="30">
        <f t="shared" si="18"/>
        <v>-0.98016305170794349</v>
      </c>
      <c r="AX143">
        <f t="shared" ca="1" si="11"/>
        <v>0.12678255754801071</v>
      </c>
      <c r="AY143">
        <f t="shared" ca="1" si="12"/>
        <v>-7.1738449005062238E-2</v>
      </c>
      <c r="AZ143">
        <f t="shared" ca="1" si="13"/>
        <v>-0.82599269924676633</v>
      </c>
      <c r="BA143">
        <f t="shared" ca="1" si="14"/>
        <v>-0.92065806419025464</v>
      </c>
      <c r="BB143">
        <f t="shared" ca="1" si="15"/>
        <v>-0.99231265653596157</v>
      </c>
    </row>
    <row r="144" spans="1:54" x14ac:dyDescent="0.25">
      <c r="A144" s="37">
        <v>44617</v>
      </c>
      <c r="B144" s="5">
        <v>3.0093000000000001</v>
      </c>
      <c r="C144">
        <v>-1.0874999999999999</v>
      </c>
      <c r="D144">
        <v>0.20039999999999999</v>
      </c>
      <c r="E144">
        <v>48.937899999999999</v>
      </c>
      <c r="F144">
        <v>1.9982</v>
      </c>
      <c r="G144">
        <v>0</v>
      </c>
      <c r="H144">
        <v>27.247900000000001</v>
      </c>
      <c r="I144">
        <v>4.53</v>
      </c>
      <c r="J144">
        <v>87.9</v>
      </c>
      <c r="K144">
        <v>345546.14500000002</v>
      </c>
      <c r="M144" s="37">
        <v>44617</v>
      </c>
      <c r="N144" s="5">
        <v>4.4965999999999999</v>
      </c>
      <c r="O144">
        <v>11.946999999999999</v>
      </c>
      <c r="P144">
        <v>0.57840000000000003</v>
      </c>
      <c r="Q144">
        <v>44.697699999999998</v>
      </c>
      <c r="R144">
        <v>1.3932</v>
      </c>
      <c r="S144" t="s">
        <v>33</v>
      </c>
      <c r="T144">
        <v>44.615299999999998</v>
      </c>
      <c r="U144">
        <v>31.013999999999999</v>
      </c>
      <c r="V144">
        <v>171.65</v>
      </c>
      <c r="W144">
        <v>237976.5865</v>
      </c>
      <c r="Y144" s="5">
        <v>1.2004999999999999</v>
      </c>
      <c r="Z144">
        <v>2.7256</v>
      </c>
      <c r="AA144">
        <v>0.31519999999999998</v>
      </c>
      <c r="AB144">
        <v>0.27200000000000002</v>
      </c>
      <c r="AC144">
        <v>-0.6855</v>
      </c>
      <c r="AD144" t="s">
        <v>33</v>
      </c>
      <c r="AE144">
        <v>13.789400000000001</v>
      </c>
      <c r="AF144">
        <v>10.5932</v>
      </c>
      <c r="AG144">
        <v>2.8149999999999999</v>
      </c>
      <c r="AH144">
        <v>22176.179899999999</v>
      </c>
      <c r="AJ144">
        <v>3.2155999999999998</v>
      </c>
      <c r="AK144">
        <v>15.4411</v>
      </c>
      <c r="AL144">
        <v>0.37090000000000001</v>
      </c>
      <c r="AM144">
        <v>30.362500000000001</v>
      </c>
      <c r="AN144">
        <v>0.89900000000000002</v>
      </c>
      <c r="AO144">
        <v>195.11080000000001</v>
      </c>
      <c r="AP144">
        <v>48.524099999999997</v>
      </c>
      <c r="AQ144">
        <v>37.505400000000002</v>
      </c>
      <c r="AR144">
        <v>223.09200000000001</v>
      </c>
      <c r="AS144">
        <v>175092.22210000001</v>
      </c>
      <c r="AU144" s="1">
        <f t="shared" si="16"/>
        <v>44617</v>
      </c>
      <c r="AV144" s="29">
        <f t="shared" si="17"/>
        <v>4.4569777748474753</v>
      </c>
      <c r="AW144" s="30">
        <f t="shared" si="18"/>
        <v>-0.95243376760396892</v>
      </c>
      <c r="AX144">
        <f t="shared" ca="1" si="11"/>
        <v>0.12485046999130159</v>
      </c>
      <c r="AY144">
        <f t="shared" ca="1" si="12"/>
        <v>-9.2415077173996885E-2</v>
      </c>
      <c r="AZ144">
        <f t="shared" ca="1" si="13"/>
        <v>-0.82939535573354517</v>
      </c>
      <c r="BA144">
        <f t="shared" ca="1" si="14"/>
        <v>-0.94083872173213012</v>
      </c>
      <c r="BB144">
        <f t="shared" ca="1" si="15"/>
        <v>-0.99231265653596157</v>
      </c>
    </row>
    <row r="145" spans="1:54" x14ac:dyDescent="0.25">
      <c r="A145" s="37">
        <v>44624</v>
      </c>
      <c r="B145" s="5">
        <v>3.0118999999999998</v>
      </c>
      <c r="C145">
        <v>-1.0874999999999999</v>
      </c>
      <c r="D145">
        <v>0.20039999999999999</v>
      </c>
      <c r="E145">
        <v>48.937899999999999</v>
      </c>
      <c r="F145">
        <v>1.9982</v>
      </c>
      <c r="G145">
        <v>0</v>
      </c>
      <c r="H145">
        <v>27.247900000000001</v>
      </c>
      <c r="I145">
        <v>4.53</v>
      </c>
      <c r="J145">
        <v>88.13</v>
      </c>
      <c r="K145">
        <v>346450.30450000003</v>
      </c>
      <c r="M145" s="37">
        <v>44624</v>
      </c>
      <c r="N145" s="5">
        <v>4.8428000000000004</v>
      </c>
      <c r="O145">
        <v>11.946999999999999</v>
      </c>
      <c r="P145">
        <v>0.57840000000000003</v>
      </c>
      <c r="Q145">
        <v>44.697699999999998</v>
      </c>
      <c r="R145">
        <v>1.3932</v>
      </c>
      <c r="S145" t="s">
        <v>33</v>
      </c>
      <c r="T145">
        <v>44.615299999999998</v>
      </c>
      <c r="U145">
        <v>31.013999999999999</v>
      </c>
      <c r="V145">
        <v>191.55</v>
      </c>
      <c r="W145">
        <v>265566.06550000003</v>
      </c>
      <c r="Y145" s="5">
        <v>1.2217</v>
      </c>
      <c r="Z145">
        <v>2.7256</v>
      </c>
      <c r="AA145">
        <v>0.31519999999999998</v>
      </c>
      <c r="AB145">
        <v>0.27200000000000002</v>
      </c>
      <c r="AC145">
        <v>-0.6855</v>
      </c>
      <c r="AD145" t="s">
        <v>33</v>
      </c>
      <c r="AE145">
        <v>13.789400000000001</v>
      </c>
      <c r="AF145">
        <v>10.5932</v>
      </c>
      <c r="AG145">
        <v>2.8460000000000001</v>
      </c>
      <c r="AH145">
        <v>22425.7009</v>
      </c>
      <c r="AJ145">
        <v>3.4571000000000001</v>
      </c>
      <c r="AK145">
        <v>15.4411</v>
      </c>
      <c r="AL145">
        <v>0.37090000000000001</v>
      </c>
      <c r="AM145">
        <v>30.362500000000001</v>
      </c>
      <c r="AN145">
        <v>0.89900000000000002</v>
      </c>
      <c r="AO145">
        <v>195.11080000000001</v>
      </c>
      <c r="AP145">
        <v>48.524099999999997</v>
      </c>
      <c r="AQ145">
        <v>37.505400000000002</v>
      </c>
      <c r="AR145">
        <v>246.351</v>
      </c>
      <c r="AS145">
        <v>193346.6777</v>
      </c>
      <c r="AU145" s="1">
        <f t="shared" si="16"/>
        <v>44624</v>
      </c>
      <c r="AV145" s="29">
        <f t="shared" si="17"/>
        <v>4.7685571798563862</v>
      </c>
      <c r="AW145" s="30">
        <f t="shared" si="18"/>
        <v>-0.85581439853261188</v>
      </c>
      <c r="AX145">
        <f t="shared" ca="1" si="11"/>
        <v>0.11631110457353751</v>
      </c>
      <c r="AY145">
        <f t="shared" ca="1" si="12"/>
        <v>-9.5054351360858574E-2</v>
      </c>
      <c r="AZ145">
        <f t="shared" ca="1" si="13"/>
        <v>-0.83949258263918269</v>
      </c>
      <c r="BA145">
        <f t="shared" ca="1" si="14"/>
        <v>-0.95065350396899417</v>
      </c>
      <c r="BB145">
        <f t="shared" ca="1" si="15"/>
        <v>-0.99231265653596157</v>
      </c>
    </row>
    <row r="146" spans="1:54" x14ac:dyDescent="0.25">
      <c r="A146" s="37">
        <v>44631</v>
      </c>
      <c r="B146" s="5">
        <v>3.0449999999999999</v>
      </c>
      <c r="C146">
        <v>-1.0874999999999999</v>
      </c>
      <c r="D146">
        <v>0.20039999999999999</v>
      </c>
      <c r="E146">
        <v>48.937899999999999</v>
      </c>
      <c r="F146">
        <v>1.9982</v>
      </c>
      <c r="G146">
        <v>0</v>
      </c>
      <c r="H146">
        <v>27.247900000000001</v>
      </c>
      <c r="I146">
        <v>4.53</v>
      </c>
      <c r="J146">
        <v>91.08</v>
      </c>
      <c r="K146">
        <v>358047.13189999998</v>
      </c>
      <c r="M146" s="37">
        <v>44631</v>
      </c>
      <c r="N146" s="5">
        <v>4.5397999999999996</v>
      </c>
      <c r="O146">
        <v>11.946999999999999</v>
      </c>
      <c r="P146">
        <v>0.57840000000000003</v>
      </c>
      <c r="Q146">
        <v>44.697699999999998</v>
      </c>
      <c r="R146">
        <v>1.3932</v>
      </c>
      <c r="S146" t="s">
        <v>33</v>
      </c>
      <c r="T146">
        <v>44.615299999999998</v>
      </c>
      <c r="U146">
        <v>31.013999999999999</v>
      </c>
      <c r="V146">
        <v>177.15</v>
      </c>
      <c r="W146">
        <v>245601.81940000001</v>
      </c>
      <c r="Y146" s="5">
        <v>1.3595999999999999</v>
      </c>
      <c r="Z146">
        <v>2.7256</v>
      </c>
      <c r="AA146">
        <v>0.31519999999999998</v>
      </c>
      <c r="AB146">
        <v>0.27200000000000002</v>
      </c>
      <c r="AC146">
        <v>-0.6855</v>
      </c>
      <c r="AD146" t="s">
        <v>33</v>
      </c>
      <c r="AE146">
        <v>13.789400000000001</v>
      </c>
      <c r="AF146">
        <v>10.5932</v>
      </c>
      <c r="AG146">
        <v>3.052</v>
      </c>
      <c r="AH146">
        <v>24047.587500000001</v>
      </c>
      <c r="AJ146">
        <v>3.3525</v>
      </c>
      <c r="AK146">
        <v>15.4411</v>
      </c>
      <c r="AL146">
        <v>0.37090000000000001</v>
      </c>
      <c r="AM146">
        <v>30.362500000000001</v>
      </c>
      <c r="AN146">
        <v>0.89900000000000002</v>
      </c>
      <c r="AO146">
        <v>195.11080000000001</v>
      </c>
      <c r="AP146">
        <v>48.524099999999997</v>
      </c>
      <c r="AQ146">
        <v>37.505400000000002</v>
      </c>
      <c r="AR146">
        <v>236.28</v>
      </c>
      <c r="AS146">
        <v>185442.68659999999</v>
      </c>
      <c r="AU146" s="1">
        <f t="shared" si="16"/>
        <v>44631</v>
      </c>
      <c r="AV146" s="29">
        <f t="shared" si="17"/>
        <v>4.55574977138797</v>
      </c>
      <c r="AW146" s="30">
        <f t="shared" si="18"/>
        <v>-0.92180501668447878</v>
      </c>
      <c r="AX146">
        <f t="shared" ca="1" si="11"/>
        <v>8.7378364359282715E-2</v>
      </c>
      <c r="AY146">
        <f t="shared" ca="1" si="12"/>
        <v>-0.10778308158460945</v>
      </c>
      <c r="AZ146">
        <f t="shared" ca="1" si="13"/>
        <v>-0.84673646342974584</v>
      </c>
      <c r="BA146">
        <f t="shared" ca="1" si="14"/>
        <v>-0.95065350396899417</v>
      </c>
      <c r="BB146">
        <f t="shared" ca="1" si="15"/>
        <v>-0.99231265653596157</v>
      </c>
    </row>
    <row r="147" spans="1:54" x14ac:dyDescent="0.25">
      <c r="A147" s="37">
        <v>44638</v>
      </c>
      <c r="B147" s="5">
        <v>2.9765000000000001</v>
      </c>
      <c r="C147">
        <v>-1.0874999999999999</v>
      </c>
      <c r="D147">
        <v>0.20039999999999999</v>
      </c>
      <c r="E147">
        <v>48.937899999999999</v>
      </c>
      <c r="F147">
        <v>1.9982</v>
      </c>
      <c r="G147">
        <v>0</v>
      </c>
      <c r="H147">
        <v>27.247900000000001</v>
      </c>
      <c r="I147">
        <v>4.53</v>
      </c>
      <c r="J147">
        <v>84.98</v>
      </c>
      <c r="K147">
        <v>334067.25150000001</v>
      </c>
      <c r="M147" s="37">
        <v>44638</v>
      </c>
      <c r="N147" s="5">
        <v>4.3434999999999997</v>
      </c>
      <c r="O147">
        <v>11.946999999999999</v>
      </c>
      <c r="P147">
        <v>0.57840000000000003</v>
      </c>
      <c r="Q147">
        <v>44.697699999999998</v>
      </c>
      <c r="R147">
        <v>1.3932</v>
      </c>
      <c r="S147" t="s">
        <v>33</v>
      </c>
      <c r="T147">
        <v>44.615299999999998</v>
      </c>
      <c r="U147">
        <v>31.013999999999999</v>
      </c>
      <c r="V147">
        <v>168.35</v>
      </c>
      <c r="W147">
        <v>233401.4467</v>
      </c>
      <c r="Y147" s="5">
        <v>1.5081</v>
      </c>
      <c r="Z147">
        <v>2.7256</v>
      </c>
      <c r="AA147">
        <v>0.31519999999999998</v>
      </c>
      <c r="AB147">
        <v>0.27200000000000002</v>
      </c>
      <c r="AC147">
        <v>-0.6855</v>
      </c>
      <c r="AD147" t="s">
        <v>33</v>
      </c>
      <c r="AE147">
        <v>13.789400000000001</v>
      </c>
      <c r="AF147">
        <v>10.5932</v>
      </c>
      <c r="AG147">
        <v>3.274</v>
      </c>
      <c r="AH147">
        <v>25794.2346</v>
      </c>
      <c r="AJ147">
        <v>3.1726999999999999</v>
      </c>
      <c r="AK147">
        <v>15.4411</v>
      </c>
      <c r="AL147">
        <v>0.37090000000000001</v>
      </c>
      <c r="AM147">
        <v>30.362500000000001</v>
      </c>
      <c r="AN147">
        <v>0.89900000000000002</v>
      </c>
      <c r="AO147">
        <v>195.11080000000001</v>
      </c>
      <c r="AP147">
        <v>48.524099999999997</v>
      </c>
      <c r="AQ147">
        <v>37.505400000000002</v>
      </c>
      <c r="AR147">
        <v>218.96799999999999</v>
      </c>
      <c r="AS147">
        <v>171855.34950000001</v>
      </c>
      <c r="AU147" s="1">
        <f t="shared" si="16"/>
        <v>44638</v>
      </c>
      <c r="AV147" s="29">
        <f t="shared" si="17"/>
        <v>4.3695231356448403</v>
      </c>
      <c r="AW147" s="30">
        <f t="shared" si="18"/>
        <v>-0.97955305702516826</v>
      </c>
      <c r="AX147">
        <f t="shared" ca="1" si="11"/>
        <v>6.493872603862072E-2</v>
      </c>
      <c r="AY147">
        <f t="shared" ca="1" si="12"/>
        <v>-0.12291081078212635</v>
      </c>
      <c r="AZ147">
        <f t="shared" ca="1" si="13"/>
        <v>-0.85134346194686872</v>
      </c>
      <c r="BA147">
        <f t="shared" ca="1" si="14"/>
        <v>-0.95065350396899417</v>
      </c>
      <c r="BB147">
        <f t="shared" ca="1" si="15"/>
        <v>-0.99231265653596157</v>
      </c>
    </row>
    <row r="148" spans="1:54" x14ac:dyDescent="0.25">
      <c r="A148" s="37">
        <v>44645</v>
      </c>
      <c r="B148" s="5">
        <v>3.0863</v>
      </c>
      <c r="C148">
        <v>-1.0874999999999999</v>
      </c>
      <c r="D148">
        <v>0.20039999999999999</v>
      </c>
      <c r="E148">
        <v>48.937899999999999</v>
      </c>
      <c r="F148">
        <v>1.9982</v>
      </c>
      <c r="G148">
        <v>0</v>
      </c>
      <c r="H148">
        <v>27.247900000000001</v>
      </c>
      <c r="I148">
        <v>4.53</v>
      </c>
      <c r="J148">
        <v>94.754999999999995</v>
      </c>
      <c r="K148">
        <v>372494.027</v>
      </c>
      <c r="M148" s="37">
        <v>44645</v>
      </c>
      <c r="N148" s="5">
        <v>4.5793999999999997</v>
      </c>
      <c r="O148">
        <v>11.946999999999999</v>
      </c>
      <c r="P148">
        <v>0.57840000000000003</v>
      </c>
      <c r="Q148">
        <v>44.697699999999998</v>
      </c>
      <c r="R148">
        <v>1.3932</v>
      </c>
      <c r="S148" t="s">
        <v>33</v>
      </c>
      <c r="T148">
        <v>44.615299999999998</v>
      </c>
      <c r="U148">
        <v>31.013999999999999</v>
      </c>
      <c r="V148">
        <v>182.6</v>
      </c>
      <c r="W148">
        <v>253157.73190000001</v>
      </c>
      <c r="Y148" s="5">
        <v>1.5851</v>
      </c>
      <c r="Z148">
        <v>2.7256</v>
      </c>
      <c r="AA148">
        <v>0.31519999999999998</v>
      </c>
      <c r="AB148">
        <v>0.27200000000000002</v>
      </c>
      <c r="AC148">
        <v>-0.6855</v>
      </c>
      <c r="AD148" t="s">
        <v>33</v>
      </c>
      <c r="AE148">
        <v>13.789400000000001</v>
      </c>
      <c r="AF148">
        <v>10.5932</v>
      </c>
      <c r="AG148">
        <v>3.3889999999999998</v>
      </c>
      <c r="AH148">
        <v>26698.748299999999</v>
      </c>
      <c r="AJ148">
        <v>3.5133000000000001</v>
      </c>
      <c r="AK148">
        <v>15.4411</v>
      </c>
      <c r="AL148">
        <v>0.37090000000000001</v>
      </c>
      <c r="AM148">
        <v>30.362500000000001</v>
      </c>
      <c r="AN148">
        <v>0.89900000000000002</v>
      </c>
      <c r="AO148">
        <v>195.11080000000001</v>
      </c>
      <c r="AP148">
        <v>48.524099999999997</v>
      </c>
      <c r="AQ148">
        <v>37.505400000000002</v>
      </c>
      <c r="AR148">
        <v>251.77</v>
      </c>
      <c r="AS148">
        <v>197599.77770000001</v>
      </c>
      <c r="AU148" s="1">
        <f t="shared" si="16"/>
        <v>44645</v>
      </c>
      <c r="AV148" s="29">
        <f t="shared" si="17"/>
        <v>4.6684815667400166</v>
      </c>
      <c r="AW148" s="30">
        <f t="shared" si="18"/>
        <v>-0.88684739507632226</v>
      </c>
      <c r="AX148">
        <f t="shared" ca="1" si="11"/>
        <v>1.0660696560501864E-2</v>
      </c>
      <c r="AY148">
        <f t="shared" ca="1" si="12"/>
        <v>-0.13038953620543467</v>
      </c>
      <c r="AZ148">
        <f t="shared" ca="1" si="13"/>
        <v>-0.856381315335627</v>
      </c>
      <c r="BA148">
        <f t="shared" ca="1" si="14"/>
        <v>-0.95719345876286566</v>
      </c>
      <c r="BB148">
        <f t="shared" ca="1" si="15"/>
        <v>-0.99231265653596157</v>
      </c>
    </row>
    <row r="149" spans="1:54" x14ac:dyDescent="0.25">
      <c r="A149" s="37">
        <v>44652</v>
      </c>
      <c r="B149" s="5">
        <v>2.8332000000000002</v>
      </c>
      <c r="C149">
        <v>0.24329999999999999</v>
      </c>
      <c r="D149">
        <v>0.27979999999999999</v>
      </c>
      <c r="E149">
        <v>47.523200000000003</v>
      </c>
      <c r="F149">
        <v>1.8447</v>
      </c>
      <c r="G149">
        <v>0</v>
      </c>
      <c r="H149">
        <v>26.9056</v>
      </c>
      <c r="I149">
        <v>6.3841999999999999</v>
      </c>
      <c r="J149">
        <v>94.87</v>
      </c>
      <c r="K149">
        <v>372946.1067</v>
      </c>
      <c r="M149" s="37">
        <v>44652</v>
      </c>
      <c r="N149" s="5">
        <v>4.4211999999999998</v>
      </c>
      <c r="O149">
        <v>12.575200000000001</v>
      </c>
      <c r="P149">
        <v>0.60580000000000001</v>
      </c>
      <c r="Q149">
        <v>43.156700000000001</v>
      </c>
      <c r="R149">
        <v>1.3548</v>
      </c>
      <c r="S149" t="s">
        <v>33</v>
      </c>
      <c r="T149">
        <v>43.864699999999999</v>
      </c>
      <c r="U149">
        <v>30.610499999999998</v>
      </c>
      <c r="V149">
        <v>181.15</v>
      </c>
      <c r="W149">
        <v>251147.44330000001</v>
      </c>
      <c r="Y149" s="5">
        <v>1.4981</v>
      </c>
      <c r="Z149">
        <v>4.6760999999999999</v>
      </c>
      <c r="AA149">
        <v>0.623</v>
      </c>
      <c r="AB149">
        <v>0.82620000000000005</v>
      </c>
      <c r="AC149">
        <v>-0.42959999999999998</v>
      </c>
      <c r="AD149" t="s">
        <v>33</v>
      </c>
      <c r="AE149">
        <v>13.0268</v>
      </c>
      <c r="AF149">
        <v>9.9060000000000006</v>
      </c>
      <c r="AG149">
        <v>3.1789999999999998</v>
      </c>
      <c r="AH149">
        <v>25045.671600000001</v>
      </c>
      <c r="AJ149">
        <v>2.8012000000000001</v>
      </c>
      <c r="AK149">
        <v>25.2087</v>
      </c>
      <c r="AL149">
        <v>0.57599999999999996</v>
      </c>
      <c r="AM149">
        <v>28.648900000000001</v>
      </c>
      <c r="AN149">
        <v>0.56820000000000004</v>
      </c>
      <c r="AO149">
        <v>195.11080000000001</v>
      </c>
      <c r="AP149">
        <v>48.1526</v>
      </c>
      <c r="AQ149">
        <v>37.254300000000001</v>
      </c>
      <c r="AR149">
        <v>257.71699999999998</v>
      </c>
      <c r="AS149">
        <v>202266.89629999999</v>
      </c>
      <c r="AU149" s="1">
        <f t="shared" si="16"/>
        <v>44652</v>
      </c>
      <c r="AV149" s="29">
        <f t="shared" si="17"/>
        <v>4.2689069527021779</v>
      </c>
      <c r="AW149" s="30">
        <f t="shared" si="18"/>
        <v>-1.0107536818354321</v>
      </c>
      <c r="AX149">
        <f t="shared" ca="1" si="11"/>
        <v>-1.3500984102338208E-2</v>
      </c>
      <c r="AY149">
        <f t="shared" ca="1" si="12"/>
        <v>-0.61231308653905625</v>
      </c>
      <c r="AZ149">
        <f t="shared" ca="1" si="13"/>
        <v>-0.86102615247737768</v>
      </c>
      <c r="BA149">
        <f t="shared" ca="1" si="14"/>
        <v>-0.95719345876286566</v>
      </c>
      <c r="BB149">
        <f t="shared" ca="1" si="15"/>
        <v>-0.99231265653596157</v>
      </c>
    </row>
    <row r="150" spans="1:54" x14ac:dyDescent="0.25">
      <c r="A150" s="37">
        <v>44659</v>
      </c>
      <c r="B150" s="5">
        <v>2.8683000000000001</v>
      </c>
      <c r="C150">
        <v>0.24329999999999999</v>
      </c>
      <c r="D150">
        <v>0.27979999999999999</v>
      </c>
      <c r="E150">
        <v>47.523200000000003</v>
      </c>
      <c r="F150">
        <v>1.8447</v>
      </c>
      <c r="G150">
        <v>0</v>
      </c>
      <c r="H150">
        <v>26.9056</v>
      </c>
      <c r="I150">
        <v>6.3841999999999999</v>
      </c>
      <c r="J150">
        <v>98.32</v>
      </c>
      <c r="K150">
        <v>386508.49810000003</v>
      </c>
      <c r="M150" s="37">
        <v>44659</v>
      </c>
      <c r="N150" s="5">
        <v>4.4348999999999998</v>
      </c>
      <c r="O150">
        <v>12.575200000000001</v>
      </c>
      <c r="P150">
        <v>0.60580000000000001</v>
      </c>
      <c r="Q150">
        <v>43.156700000000001</v>
      </c>
      <c r="R150">
        <v>1.3548</v>
      </c>
      <c r="S150" t="s">
        <v>33</v>
      </c>
      <c r="T150">
        <v>43.864699999999999</v>
      </c>
      <c r="U150">
        <v>30.610499999999998</v>
      </c>
      <c r="V150">
        <v>184.2</v>
      </c>
      <c r="W150">
        <v>255375.98149999999</v>
      </c>
      <c r="Y150" s="5">
        <v>1.5268999999999999</v>
      </c>
      <c r="Z150">
        <v>4.6760999999999999</v>
      </c>
      <c r="AA150">
        <v>0.623</v>
      </c>
      <c r="AB150">
        <v>0.82620000000000005</v>
      </c>
      <c r="AC150">
        <v>-0.42959999999999998</v>
      </c>
      <c r="AD150" t="s">
        <v>33</v>
      </c>
      <c r="AE150">
        <v>13.0268</v>
      </c>
      <c r="AF150">
        <v>9.9060000000000006</v>
      </c>
      <c r="AG150">
        <v>3.226</v>
      </c>
      <c r="AH150">
        <v>25419.953099999999</v>
      </c>
      <c r="AJ150">
        <v>2.8256999999999999</v>
      </c>
      <c r="AK150">
        <v>25.2087</v>
      </c>
      <c r="AL150">
        <v>0.57599999999999996</v>
      </c>
      <c r="AM150">
        <v>28.648900000000001</v>
      </c>
      <c r="AN150">
        <v>0.56820000000000004</v>
      </c>
      <c r="AO150">
        <v>195.11080000000001</v>
      </c>
      <c r="AP150">
        <v>48.1526</v>
      </c>
      <c r="AQ150">
        <v>37.254300000000001</v>
      </c>
      <c r="AR150">
        <v>260.54599999999999</v>
      </c>
      <c r="AS150">
        <v>204487.54139999999</v>
      </c>
      <c r="AU150" s="1">
        <f t="shared" si="16"/>
        <v>44659</v>
      </c>
      <c r="AV150" s="29">
        <f t="shared" si="17"/>
        <v>4.2826381746241768</v>
      </c>
      <c r="AW150" s="30">
        <f t="shared" si="18"/>
        <v>-1.0064956918099219</v>
      </c>
      <c r="AX150">
        <f t="shared" ca="1" si="11"/>
        <v>-1.3500984102338208E-2</v>
      </c>
      <c r="AY150">
        <f t="shared" ca="1" si="12"/>
        <v>-0.77326053698107011</v>
      </c>
      <c r="AZ150">
        <f t="shared" ca="1" si="13"/>
        <v>-0.87034947186802447</v>
      </c>
      <c r="BA150">
        <f t="shared" ca="1" si="14"/>
        <v>-0.9717004971933989</v>
      </c>
      <c r="BB150">
        <f t="shared" ca="1" si="15"/>
        <v>-0.99644266864790587</v>
      </c>
    </row>
    <row r="151" spans="1:54" x14ac:dyDescent="0.25">
      <c r="A151" s="37">
        <v>44666</v>
      </c>
      <c r="B151" s="5">
        <v>2.8580999999999999</v>
      </c>
      <c r="C151">
        <v>0.24329999999999999</v>
      </c>
      <c r="D151">
        <v>0.27979999999999999</v>
      </c>
      <c r="E151">
        <v>47.523200000000003</v>
      </c>
      <c r="F151">
        <v>1.8447</v>
      </c>
      <c r="G151">
        <v>0</v>
      </c>
      <c r="H151">
        <v>26.9056</v>
      </c>
      <c r="I151">
        <v>6.3841999999999999</v>
      </c>
      <c r="J151">
        <v>97.314999999999998</v>
      </c>
      <c r="K151">
        <v>382557.7145</v>
      </c>
      <c r="M151" s="37">
        <v>44666</v>
      </c>
      <c r="N151" s="5">
        <v>4.4089</v>
      </c>
      <c r="O151">
        <v>12.575200000000001</v>
      </c>
      <c r="P151">
        <v>0.60580000000000001</v>
      </c>
      <c r="Q151">
        <v>43.156700000000001</v>
      </c>
      <c r="R151">
        <v>1.3548</v>
      </c>
      <c r="S151" t="s">
        <v>33</v>
      </c>
      <c r="T151">
        <v>43.864699999999999</v>
      </c>
      <c r="U151">
        <v>30.610499999999998</v>
      </c>
      <c r="V151">
        <v>184.5</v>
      </c>
      <c r="W151">
        <v>255791.90330000001</v>
      </c>
      <c r="Y151" s="5">
        <v>1.5221</v>
      </c>
      <c r="Z151">
        <v>4.6760999999999999</v>
      </c>
      <c r="AA151">
        <v>0.623</v>
      </c>
      <c r="AB151">
        <v>0.82620000000000005</v>
      </c>
      <c r="AC151">
        <v>-0.42959999999999998</v>
      </c>
      <c r="AD151" t="s">
        <v>33</v>
      </c>
      <c r="AE151">
        <v>13.0268</v>
      </c>
      <c r="AF151">
        <v>9.9060000000000006</v>
      </c>
      <c r="AG151">
        <v>3.218</v>
      </c>
      <c r="AH151">
        <v>25357.572800000002</v>
      </c>
      <c r="AJ151">
        <v>2.8378000000000001</v>
      </c>
      <c r="AK151">
        <v>25.2087</v>
      </c>
      <c r="AL151">
        <v>0.57599999999999996</v>
      </c>
      <c r="AM151">
        <v>28.648900000000001</v>
      </c>
      <c r="AN151">
        <v>0.56820000000000004</v>
      </c>
      <c r="AO151">
        <v>195.11080000000001</v>
      </c>
      <c r="AP151">
        <v>48.1526</v>
      </c>
      <c r="AQ151">
        <v>37.254300000000001</v>
      </c>
      <c r="AR151">
        <v>261.93700000000001</v>
      </c>
      <c r="AS151">
        <v>205579.04490000001</v>
      </c>
      <c r="AU151" s="1">
        <f t="shared" si="16"/>
        <v>44666</v>
      </c>
      <c r="AV151" s="29">
        <f t="shared" si="17"/>
        <v>4.2837235180135469</v>
      </c>
      <c r="AW151" s="30">
        <f t="shared" si="18"/>
        <v>-1.006159131716986</v>
      </c>
      <c r="AX151">
        <f t="shared" ca="1" si="11"/>
        <v>-1.3500984102338208E-2</v>
      </c>
      <c r="AY151">
        <f t="shared" ca="1" si="12"/>
        <v>-0.78708039356802084</v>
      </c>
      <c r="AZ151">
        <f t="shared" ca="1" si="13"/>
        <v>-0.88078897684580104</v>
      </c>
      <c r="BA151">
        <f t="shared" ca="1" si="14"/>
        <v>-0.97261418331693572</v>
      </c>
      <c r="BB151">
        <f t="shared" ca="1" si="15"/>
        <v>-1.0055243969177798</v>
      </c>
    </row>
    <row r="152" spans="1:54" x14ac:dyDescent="0.25">
      <c r="A152" s="37">
        <v>44673</v>
      </c>
      <c r="B152" s="5">
        <v>2.8473000000000002</v>
      </c>
      <c r="C152">
        <v>0.24329999999999999</v>
      </c>
      <c r="D152">
        <v>0.27979999999999999</v>
      </c>
      <c r="E152">
        <v>47.523200000000003</v>
      </c>
      <c r="F152">
        <v>1.8447</v>
      </c>
      <c r="G152">
        <v>0</v>
      </c>
      <c r="H152">
        <v>26.9056</v>
      </c>
      <c r="I152">
        <v>6.3841999999999999</v>
      </c>
      <c r="J152">
        <v>96.254999999999995</v>
      </c>
      <c r="K152">
        <v>378390.71889999998</v>
      </c>
      <c r="M152" s="37">
        <v>44673</v>
      </c>
      <c r="N152" s="5">
        <v>4.4362000000000004</v>
      </c>
      <c r="O152">
        <v>12.575200000000001</v>
      </c>
      <c r="P152">
        <v>0.60580000000000001</v>
      </c>
      <c r="Q152">
        <v>43.156700000000001</v>
      </c>
      <c r="R152">
        <v>1.3548</v>
      </c>
      <c r="S152" t="s">
        <v>33</v>
      </c>
      <c r="T152">
        <v>43.864699999999999</v>
      </c>
      <c r="U152">
        <v>30.610499999999998</v>
      </c>
      <c r="V152">
        <v>189.05</v>
      </c>
      <c r="W152">
        <v>262100.05050000001</v>
      </c>
      <c r="Y152" s="5">
        <v>1.5125</v>
      </c>
      <c r="Z152">
        <v>4.6760999999999999</v>
      </c>
      <c r="AA152">
        <v>0.623</v>
      </c>
      <c r="AB152">
        <v>0.82620000000000005</v>
      </c>
      <c r="AC152">
        <v>-0.42959999999999998</v>
      </c>
      <c r="AD152" t="s">
        <v>33</v>
      </c>
      <c r="AE152">
        <v>13.0268</v>
      </c>
      <c r="AF152">
        <v>9.9060000000000006</v>
      </c>
      <c r="AG152">
        <v>3.2029999999999998</v>
      </c>
      <c r="AH152">
        <v>25232.812300000001</v>
      </c>
      <c r="AJ152">
        <v>2.8372999999999999</v>
      </c>
      <c r="AK152">
        <v>25.2087</v>
      </c>
      <c r="AL152">
        <v>0.57599999999999996</v>
      </c>
      <c r="AM152">
        <v>28.648900000000001</v>
      </c>
      <c r="AN152">
        <v>0.56820000000000004</v>
      </c>
      <c r="AO152">
        <v>195.11080000000001</v>
      </c>
      <c r="AP152">
        <v>48.1526</v>
      </c>
      <c r="AQ152">
        <v>37.254300000000001</v>
      </c>
      <c r="AR152">
        <v>261.88900000000001</v>
      </c>
      <c r="AS152">
        <v>205541.4069</v>
      </c>
      <c r="AU152" s="1">
        <f t="shared" si="16"/>
        <v>44673</v>
      </c>
      <c r="AV152" s="29">
        <f t="shared" si="17"/>
        <v>4.2982815676231736</v>
      </c>
      <c r="AW152" s="30">
        <f t="shared" si="18"/>
        <v>-1.0016447461524094</v>
      </c>
      <c r="AX152">
        <f t="shared" ca="1" si="11"/>
        <v>-1.3500984102338208E-2</v>
      </c>
      <c r="AY152">
        <f t="shared" ca="1" si="12"/>
        <v>-0.79263893966812027</v>
      </c>
      <c r="AZ152">
        <f t="shared" ca="1" si="13"/>
        <v>-0.88611433801573392</v>
      </c>
      <c r="BA152">
        <f t="shared" ca="1" si="14"/>
        <v>-0.97486593208351169</v>
      </c>
      <c r="BB152">
        <f t="shared" ca="1" si="15"/>
        <v>-1.0064620358006284</v>
      </c>
    </row>
    <row r="153" spans="1:54" x14ac:dyDescent="0.25">
      <c r="A153" s="37">
        <v>44680</v>
      </c>
      <c r="B153" s="5">
        <v>2.7648000000000001</v>
      </c>
      <c r="C153">
        <v>0.24329999999999999</v>
      </c>
      <c r="D153">
        <v>0.27979999999999999</v>
      </c>
      <c r="E153">
        <v>47.523200000000003</v>
      </c>
      <c r="F153">
        <v>1.8447</v>
      </c>
      <c r="G153">
        <v>0</v>
      </c>
      <c r="H153">
        <v>26.9056</v>
      </c>
      <c r="I153">
        <v>6.3841999999999999</v>
      </c>
      <c r="J153">
        <v>88.135000000000005</v>
      </c>
      <c r="K153">
        <v>346469.96010000003</v>
      </c>
      <c r="M153" s="37">
        <v>44680</v>
      </c>
      <c r="N153" s="5">
        <v>4.2077999999999998</v>
      </c>
      <c r="O153">
        <v>12.575200000000001</v>
      </c>
      <c r="P153">
        <v>0.60580000000000001</v>
      </c>
      <c r="Q153">
        <v>43.156700000000001</v>
      </c>
      <c r="R153">
        <v>1.3548</v>
      </c>
      <c r="S153" t="s">
        <v>33</v>
      </c>
      <c r="T153">
        <v>43.864699999999999</v>
      </c>
      <c r="U153">
        <v>30.610499999999998</v>
      </c>
      <c r="V153">
        <v>178.05</v>
      </c>
      <c r="W153">
        <v>246849.58470000001</v>
      </c>
      <c r="Y153" s="5">
        <v>1.7237</v>
      </c>
      <c r="Z153">
        <v>4.6760999999999999</v>
      </c>
      <c r="AA153">
        <v>0.623</v>
      </c>
      <c r="AB153">
        <v>0.82620000000000005</v>
      </c>
      <c r="AC153">
        <v>-0.42959999999999998</v>
      </c>
      <c r="AD153" t="s">
        <v>33</v>
      </c>
      <c r="AE153">
        <v>13.0268</v>
      </c>
      <c r="AF153">
        <v>9.9060000000000006</v>
      </c>
      <c r="AG153">
        <v>3.5510000000000002</v>
      </c>
      <c r="AH153">
        <v>27977.5435</v>
      </c>
      <c r="AJ153">
        <v>2.7484000000000002</v>
      </c>
      <c r="AK153">
        <v>25.2087</v>
      </c>
      <c r="AL153">
        <v>0.57599999999999996</v>
      </c>
      <c r="AM153">
        <v>28.648900000000001</v>
      </c>
      <c r="AN153">
        <v>0.56820000000000004</v>
      </c>
      <c r="AO153">
        <v>195.11080000000001</v>
      </c>
      <c r="AP153">
        <v>48.1526</v>
      </c>
      <c r="AQ153">
        <v>37.254300000000001</v>
      </c>
      <c r="AR153">
        <v>251.626</v>
      </c>
      <c r="AS153">
        <v>197486.86360000001</v>
      </c>
      <c r="AU153" s="1">
        <f t="shared" si="16"/>
        <v>44680</v>
      </c>
      <c r="AV153" s="29">
        <f t="shared" si="17"/>
        <v>4.1648539234500221</v>
      </c>
      <c r="AW153" s="30">
        <f t="shared" si="18"/>
        <v>-1.0430200571949306</v>
      </c>
      <c r="AX153">
        <f t="shared" ca="1" si="11"/>
        <v>-1.3500984102338208E-2</v>
      </c>
      <c r="AY153">
        <f t="shared" ca="1" si="12"/>
        <v>-0.80220967142693556</v>
      </c>
      <c r="AZ153">
        <f t="shared" ca="1" si="13"/>
        <v>-0.88654649416806175</v>
      </c>
      <c r="BA153">
        <f t="shared" ca="1" si="14"/>
        <v>-0.97970555569586204</v>
      </c>
      <c r="BB153">
        <f t="shared" ca="1" si="15"/>
        <v>-1.0064620358006284</v>
      </c>
    </row>
    <row r="154" spans="1:54" x14ac:dyDescent="0.25">
      <c r="A154" s="37">
        <v>44687</v>
      </c>
      <c r="B154" s="5">
        <v>2.7536</v>
      </c>
      <c r="C154">
        <v>0.24329999999999999</v>
      </c>
      <c r="D154">
        <v>0.27979999999999999</v>
      </c>
      <c r="E154">
        <v>47.523200000000003</v>
      </c>
      <c r="F154">
        <v>1.8447</v>
      </c>
      <c r="G154">
        <v>0</v>
      </c>
      <c r="H154">
        <v>26.9056</v>
      </c>
      <c r="I154">
        <v>6.3841999999999999</v>
      </c>
      <c r="J154">
        <v>87.034999999999997</v>
      </c>
      <c r="K154">
        <v>342145.7194</v>
      </c>
      <c r="M154" s="37">
        <v>44687</v>
      </c>
      <c r="N154" s="5">
        <v>4.0682</v>
      </c>
      <c r="O154">
        <v>12.575200000000001</v>
      </c>
      <c r="P154">
        <v>0.60580000000000001</v>
      </c>
      <c r="Q154">
        <v>43.156700000000001</v>
      </c>
      <c r="R154">
        <v>1.3548</v>
      </c>
      <c r="S154" t="s">
        <v>33</v>
      </c>
      <c r="T154">
        <v>43.864699999999999</v>
      </c>
      <c r="U154">
        <v>30.610499999999998</v>
      </c>
      <c r="V154">
        <v>171.9</v>
      </c>
      <c r="W154">
        <v>238323.18799999999</v>
      </c>
      <c r="Y154" s="5">
        <v>1.7237</v>
      </c>
      <c r="Z154">
        <v>4.6760999999999999</v>
      </c>
      <c r="AA154">
        <v>0.623</v>
      </c>
      <c r="AB154">
        <v>0.82620000000000005</v>
      </c>
      <c r="AC154">
        <v>-0.42959999999999998</v>
      </c>
      <c r="AD154" t="s">
        <v>33</v>
      </c>
      <c r="AE154">
        <v>13.0268</v>
      </c>
      <c r="AF154">
        <v>9.9060000000000006</v>
      </c>
      <c r="AG154">
        <v>3.65</v>
      </c>
      <c r="AH154">
        <v>27977.5435</v>
      </c>
      <c r="AJ154">
        <v>2.6533000000000002</v>
      </c>
      <c r="AK154">
        <v>25.2087</v>
      </c>
      <c r="AL154">
        <v>0.57599999999999996</v>
      </c>
      <c r="AM154">
        <v>28.648900000000001</v>
      </c>
      <c r="AN154">
        <v>0.56820000000000004</v>
      </c>
      <c r="AO154">
        <v>195.11080000000001</v>
      </c>
      <c r="AP154">
        <v>48.1526</v>
      </c>
      <c r="AQ154">
        <v>37.254300000000001</v>
      </c>
      <c r="AR154">
        <v>240.64400000000001</v>
      </c>
      <c r="AS154">
        <v>188867.74950000001</v>
      </c>
      <c r="AU154" s="1">
        <f t="shared" si="16"/>
        <v>44687</v>
      </c>
      <c r="AV154" s="29">
        <f t="shared" si="17"/>
        <v>4.0447709641504943</v>
      </c>
      <c r="AW154" s="30">
        <f t="shared" si="18"/>
        <v>-1.0802572416083549</v>
      </c>
      <c r="AX154">
        <f t="shared" ca="1" si="11"/>
        <v>-1.3500984102338208E-2</v>
      </c>
      <c r="AY154">
        <f t="shared" ca="1" si="12"/>
        <v>-0.81588150712207475</v>
      </c>
      <c r="AZ154">
        <f t="shared" ca="1" si="13"/>
        <v>-0.88869035730831925</v>
      </c>
      <c r="BA154">
        <f t="shared" ca="1" si="14"/>
        <v>-0.98060713097212304</v>
      </c>
      <c r="BB154">
        <f t="shared" ca="1" si="15"/>
        <v>-1.010327882832881</v>
      </c>
    </row>
    <row r="155" spans="1:54" x14ac:dyDescent="0.25">
      <c r="A155" s="37">
        <v>44694</v>
      </c>
      <c r="B155" s="5">
        <v>2.7906</v>
      </c>
      <c r="C155">
        <v>0.24329999999999999</v>
      </c>
      <c r="D155">
        <v>0.27979999999999999</v>
      </c>
      <c r="E155">
        <v>47.523200000000003</v>
      </c>
      <c r="F155">
        <v>1.8447</v>
      </c>
      <c r="G155">
        <v>0</v>
      </c>
      <c r="H155">
        <v>26.9056</v>
      </c>
      <c r="I155">
        <v>6.3841999999999999</v>
      </c>
      <c r="J155">
        <v>90.68</v>
      </c>
      <c r="K155">
        <v>356474.68070000003</v>
      </c>
      <c r="M155" s="37">
        <v>44694</v>
      </c>
      <c r="N155" s="5">
        <v>4.1836000000000002</v>
      </c>
      <c r="O155">
        <v>12.575200000000001</v>
      </c>
      <c r="P155">
        <v>0.60580000000000001</v>
      </c>
      <c r="Q155">
        <v>43.156700000000001</v>
      </c>
      <c r="R155">
        <v>1.3548</v>
      </c>
      <c r="S155" t="s">
        <v>33</v>
      </c>
      <c r="T155">
        <v>43.864699999999999</v>
      </c>
      <c r="U155">
        <v>30.610499999999998</v>
      </c>
      <c r="V155">
        <v>181.1</v>
      </c>
      <c r="W155">
        <v>251078.12299999999</v>
      </c>
      <c r="Y155" s="5">
        <v>1.7237</v>
      </c>
      <c r="Z155">
        <v>4.6760999999999999</v>
      </c>
      <c r="AA155">
        <v>0.623</v>
      </c>
      <c r="AB155">
        <v>0.82620000000000005</v>
      </c>
      <c r="AC155">
        <v>-0.42959999999999998</v>
      </c>
      <c r="AD155" t="s">
        <v>33</v>
      </c>
      <c r="AE155">
        <v>13.0268</v>
      </c>
      <c r="AF155">
        <v>9.9060000000000006</v>
      </c>
      <c r="AG155">
        <v>3.65</v>
      </c>
      <c r="AH155">
        <v>27977.5435</v>
      </c>
      <c r="AJ155">
        <v>2.7256</v>
      </c>
      <c r="AK155">
        <v>25.2087</v>
      </c>
      <c r="AL155">
        <v>0.57599999999999996</v>
      </c>
      <c r="AM155">
        <v>28.648900000000001</v>
      </c>
      <c r="AN155">
        <v>0.56820000000000004</v>
      </c>
      <c r="AO155">
        <v>195.11080000000001</v>
      </c>
      <c r="AP155">
        <v>48.1526</v>
      </c>
      <c r="AQ155">
        <v>37.254300000000001</v>
      </c>
      <c r="AR155">
        <v>248.989</v>
      </c>
      <c r="AS155">
        <v>195416.77069999999</v>
      </c>
      <c r="AU155" s="1">
        <f t="shared" si="16"/>
        <v>44694</v>
      </c>
      <c r="AV155" s="29">
        <f t="shared" si="17"/>
        <v>4.1320474039749984</v>
      </c>
      <c r="AW155" s="30">
        <f t="shared" si="18"/>
        <v>-1.0531932110110929</v>
      </c>
      <c r="AX155">
        <f t="shared" ca="1" si="11"/>
        <v>-1.3500984102338208E-2</v>
      </c>
      <c r="AY155">
        <f t="shared" ca="1" si="12"/>
        <v>-0.8240379950877722</v>
      </c>
      <c r="AZ155">
        <f t="shared" ca="1" si="13"/>
        <v>-0.89391320906631733</v>
      </c>
      <c r="BA155">
        <f t="shared" ca="1" si="14"/>
        <v>-0.98212666682764793</v>
      </c>
      <c r="BB155">
        <f t="shared" ca="1" si="15"/>
        <v>-1.0187855293775945</v>
      </c>
    </row>
    <row r="156" spans="1:54" x14ac:dyDescent="0.25">
      <c r="A156" s="37">
        <v>44701</v>
      </c>
      <c r="B156" s="5">
        <v>2.7928000000000002</v>
      </c>
      <c r="C156">
        <v>0.24329999999999999</v>
      </c>
      <c r="D156">
        <v>0.27979999999999999</v>
      </c>
      <c r="E156">
        <v>47.523200000000003</v>
      </c>
      <c r="F156">
        <v>1.8447</v>
      </c>
      <c r="G156">
        <v>0</v>
      </c>
      <c r="H156">
        <v>26.9056</v>
      </c>
      <c r="I156">
        <v>6.3841999999999999</v>
      </c>
      <c r="J156">
        <v>90.89</v>
      </c>
      <c r="K156">
        <v>357300.21759999997</v>
      </c>
      <c r="M156" s="37">
        <v>44701</v>
      </c>
      <c r="N156" s="5">
        <v>4.1407999999999996</v>
      </c>
      <c r="O156">
        <v>12.575200000000001</v>
      </c>
      <c r="P156">
        <v>0.60580000000000001</v>
      </c>
      <c r="Q156">
        <v>43.156700000000001</v>
      </c>
      <c r="R156">
        <v>1.3548</v>
      </c>
      <c r="S156" t="s">
        <v>33</v>
      </c>
      <c r="T156">
        <v>43.864699999999999</v>
      </c>
      <c r="U156">
        <v>30.610499999999998</v>
      </c>
      <c r="V156">
        <v>181.2</v>
      </c>
      <c r="W156">
        <v>250716.40239999999</v>
      </c>
      <c r="Y156" s="5">
        <v>1.7428999999999999</v>
      </c>
      <c r="Z156">
        <v>4.6760999999999999</v>
      </c>
      <c r="AA156">
        <v>0.623</v>
      </c>
      <c r="AB156">
        <v>0.82620000000000005</v>
      </c>
      <c r="AC156">
        <v>-0.42959999999999998</v>
      </c>
      <c r="AD156" t="s">
        <v>33</v>
      </c>
      <c r="AE156">
        <v>13.0268</v>
      </c>
      <c r="AF156">
        <v>9.9060000000000006</v>
      </c>
      <c r="AG156">
        <v>3.6829999999999998</v>
      </c>
      <c r="AH156">
        <v>28227.0645</v>
      </c>
      <c r="AJ156">
        <v>2.7454999999999998</v>
      </c>
      <c r="AK156">
        <v>25.2087</v>
      </c>
      <c r="AL156">
        <v>0.57599999999999996</v>
      </c>
      <c r="AM156">
        <v>28.648900000000001</v>
      </c>
      <c r="AN156">
        <v>0.56820000000000004</v>
      </c>
      <c r="AO156">
        <v>195.11080000000001</v>
      </c>
      <c r="AP156">
        <v>48.1526</v>
      </c>
      <c r="AQ156">
        <v>37.254300000000001</v>
      </c>
      <c r="AR156">
        <v>251.291</v>
      </c>
      <c r="AS156">
        <v>197223.39720000001</v>
      </c>
      <c r="AU156" s="1">
        <f t="shared" si="16"/>
        <v>44701</v>
      </c>
      <c r="AV156" s="29">
        <f t="shared" si="17"/>
        <v>4.1284626920345486</v>
      </c>
      <c r="AW156" s="30">
        <f t="shared" si="18"/>
        <v>-1.0543048140259934</v>
      </c>
      <c r="AX156">
        <f t="shared" ca="1" si="11"/>
        <v>-8.8505198027440835E-2</v>
      </c>
      <c r="AY156">
        <f t="shared" ca="1" si="12"/>
        <v>-0.8261993234669287</v>
      </c>
      <c r="AZ156">
        <f t="shared" ca="1" si="13"/>
        <v>-0.9053883296236549</v>
      </c>
      <c r="BA156">
        <f t="shared" ca="1" si="14"/>
        <v>-0.98536192088309382</v>
      </c>
      <c r="BB156">
        <f t="shared" ca="1" si="15"/>
        <v>-1.0272851130023668</v>
      </c>
    </row>
    <row r="157" spans="1:54" x14ac:dyDescent="0.25">
      <c r="A157" s="37">
        <v>44708</v>
      </c>
      <c r="B157" s="5">
        <v>2.8624999999999998</v>
      </c>
      <c r="C157">
        <v>0.24329999999999999</v>
      </c>
      <c r="D157">
        <v>0.27979999999999999</v>
      </c>
      <c r="E157">
        <v>47.523200000000003</v>
      </c>
      <c r="F157">
        <v>1.8447</v>
      </c>
      <c r="G157">
        <v>0</v>
      </c>
      <c r="H157">
        <v>26.9056</v>
      </c>
      <c r="I157">
        <v>6.3841999999999999</v>
      </c>
      <c r="J157">
        <v>97.754999999999995</v>
      </c>
      <c r="K157">
        <v>384287.41080000001</v>
      </c>
      <c r="M157" s="37">
        <v>44708</v>
      </c>
      <c r="N157" s="5">
        <v>4.4425999999999997</v>
      </c>
      <c r="O157">
        <v>12.575200000000001</v>
      </c>
      <c r="P157">
        <v>0.60580000000000001</v>
      </c>
      <c r="Q157">
        <v>43.156700000000001</v>
      </c>
      <c r="R157">
        <v>1.3548</v>
      </c>
      <c r="S157" t="s">
        <v>33</v>
      </c>
      <c r="T157">
        <v>43.864699999999999</v>
      </c>
      <c r="U157">
        <v>30.610499999999998</v>
      </c>
      <c r="V157">
        <v>201.85</v>
      </c>
      <c r="W157">
        <v>279288.66350000002</v>
      </c>
      <c r="Y157" s="5">
        <v>1.8894</v>
      </c>
      <c r="Z157">
        <v>4.6760999999999999</v>
      </c>
      <c r="AA157">
        <v>0.623</v>
      </c>
      <c r="AB157">
        <v>0.82620000000000005</v>
      </c>
      <c r="AC157">
        <v>-0.42959999999999998</v>
      </c>
      <c r="AD157" t="s">
        <v>33</v>
      </c>
      <c r="AE157">
        <v>13.0268</v>
      </c>
      <c r="AF157">
        <v>9.9060000000000006</v>
      </c>
      <c r="AG157">
        <v>3.931</v>
      </c>
      <c r="AH157">
        <v>30129.662199999999</v>
      </c>
      <c r="AJ157">
        <v>2.9083999999999999</v>
      </c>
      <c r="AK157">
        <v>25.2087</v>
      </c>
      <c r="AL157">
        <v>0.57599999999999996</v>
      </c>
      <c r="AM157">
        <v>28.648900000000001</v>
      </c>
      <c r="AN157">
        <v>0.56820000000000004</v>
      </c>
      <c r="AO157">
        <v>195.11080000000001</v>
      </c>
      <c r="AP157">
        <v>48.1526</v>
      </c>
      <c r="AQ157">
        <v>37.254300000000001</v>
      </c>
      <c r="AR157">
        <v>270.08999999999997</v>
      </c>
      <c r="AS157">
        <v>211977.51389999999</v>
      </c>
      <c r="AU157" s="1">
        <f t="shared" si="16"/>
        <v>44708</v>
      </c>
      <c r="AV157" s="29">
        <f t="shared" si="17"/>
        <v>4.3451174705220854</v>
      </c>
      <c r="AW157" s="30">
        <f t="shared" si="18"/>
        <v>-0.98712114377294269</v>
      </c>
      <c r="AX157">
        <f t="shared" ca="1" si="11"/>
        <v>-0.77262866955775811</v>
      </c>
      <c r="AY157">
        <f t="shared" ca="1" si="12"/>
        <v>-0.83089005975677221</v>
      </c>
      <c r="AZ157">
        <f t="shared" ca="1" si="13"/>
        <v>-0.91421966733371063</v>
      </c>
      <c r="BA157">
        <f t="shared" ca="1" si="14"/>
        <v>-0.99423218608404251</v>
      </c>
      <c r="BB157">
        <f t="shared" ca="1" si="15"/>
        <v>-1.0333846147956232</v>
      </c>
    </row>
    <row r="158" spans="1:54" x14ac:dyDescent="0.25">
      <c r="A158" s="37">
        <v>44715</v>
      </c>
      <c r="B158" s="5">
        <v>2.8052999999999999</v>
      </c>
      <c r="C158">
        <v>0.24329999999999999</v>
      </c>
      <c r="D158">
        <v>0.27979999999999999</v>
      </c>
      <c r="E158">
        <v>47.523200000000003</v>
      </c>
      <c r="F158">
        <v>1.8447</v>
      </c>
      <c r="G158">
        <v>0</v>
      </c>
      <c r="H158">
        <v>26.9056</v>
      </c>
      <c r="I158">
        <v>6.3841999999999999</v>
      </c>
      <c r="J158">
        <v>92.125</v>
      </c>
      <c r="K158">
        <v>362155.1606</v>
      </c>
      <c r="M158" s="37">
        <v>44715</v>
      </c>
      <c r="N158" s="5">
        <v>4.3183999999999996</v>
      </c>
      <c r="O158">
        <v>12.575200000000001</v>
      </c>
      <c r="P158">
        <v>0.60580000000000001</v>
      </c>
      <c r="Q158">
        <v>43.156700000000001</v>
      </c>
      <c r="R158">
        <v>1.3548</v>
      </c>
      <c r="S158" t="s">
        <v>33</v>
      </c>
      <c r="T158">
        <v>43.864699999999999</v>
      </c>
      <c r="U158">
        <v>30.610499999999998</v>
      </c>
      <c r="V158">
        <v>196.65</v>
      </c>
      <c r="W158">
        <v>272093.71159999998</v>
      </c>
      <c r="Y158" s="5">
        <v>1.8894</v>
      </c>
      <c r="Z158">
        <v>4.6760999999999999</v>
      </c>
      <c r="AA158">
        <v>0.623</v>
      </c>
      <c r="AB158">
        <v>0.82620000000000005</v>
      </c>
      <c r="AC158">
        <v>-0.42959999999999998</v>
      </c>
      <c r="AD158" t="s">
        <v>33</v>
      </c>
      <c r="AE158">
        <v>13.0268</v>
      </c>
      <c r="AF158">
        <v>9.9060000000000006</v>
      </c>
      <c r="AG158">
        <v>3.931</v>
      </c>
      <c r="AH158">
        <v>30129.662199999999</v>
      </c>
      <c r="AJ158">
        <v>2.8469000000000002</v>
      </c>
      <c r="AK158">
        <v>25.2087</v>
      </c>
      <c r="AL158">
        <v>0.57599999999999996</v>
      </c>
      <c r="AM158">
        <v>28.648900000000001</v>
      </c>
      <c r="AN158">
        <v>0.56820000000000004</v>
      </c>
      <c r="AO158">
        <v>195.11080000000001</v>
      </c>
      <c r="AP158">
        <v>48.1526</v>
      </c>
      <c r="AQ158">
        <v>37.254300000000001</v>
      </c>
      <c r="AR158">
        <v>262.99200000000002</v>
      </c>
      <c r="AS158">
        <v>206407.0821</v>
      </c>
      <c r="AU158" s="1">
        <f t="shared" si="16"/>
        <v>44715</v>
      </c>
      <c r="AV158" s="29">
        <f t="shared" si="17"/>
        <v>4.2679143216999602</v>
      </c>
      <c r="AW158" s="30">
        <f t="shared" si="18"/>
        <v>-1.0110614922350065</v>
      </c>
      <c r="AX158">
        <f t="shared" ca="1" si="11"/>
        <v>-0.77531380700043417</v>
      </c>
      <c r="AY158">
        <f t="shared" ca="1" si="12"/>
        <v>-0.84304649206877436</v>
      </c>
      <c r="AZ158">
        <f t="shared" ca="1" si="13"/>
        <v>-0.91838039534845439</v>
      </c>
      <c r="BA158">
        <f t="shared" ca="1" si="14"/>
        <v>-0.99423218608404251</v>
      </c>
      <c r="BB158">
        <f t="shared" ca="1" si="15"/>
        <v>-1.0333846147956232</v>
      </c>
    </row>
    <row r="159" spans="1:54" x14ac:dyDescent="0.25">
      <c r="A159" s="37">
        <v>44722</v>
      </c>
      <c r="B159" s="5">
        <v>2.7997000000000001</v>
      </c>
      <c r="C159">
        <v>0.24329999999999999</v>
      </c>
      <c r="D159">
        <v>0.27979999999999999</v>
      </c>
      <c r="E159">
        <v>47.523200000000003</v>
      </c>
      <c r="F159">
        <v>1.8447</v>
      </c>
      <c r="G159">
        <v>0</v>
      </c>
      <c r="H159">
        <v>26.9056</v>
      </c>
      <c r="I159">
        <v>6.3841999999999999</v>
      </c>
      <c r="J159">
        <v>91.57</v>
      </c>
      <c r="K159">
        <v>359973.38459999999</v>
      </c>
      <c r="M159" s="37">
        <v>44722</v>
      </c>
      <c r="N159" s="5">
        <v>4.2145999999999999</v>
      </c>
      <c r="O159">
        <v>12.575200000000001</v>
      </c>
      <c r="P159">
        <v>0.60580000000000001</v>
      </c>
      <c r="Q159">
        <v>43.156700000000001</v>
      </c>
      <c r="R159">
        <v>1.3548</v>
      </c>
      <c r="S159" t="s">
        <v>33</v>
      </c>
      <c r="T159">
        <v>43.864699999999999</v>
      </c>
      <c r="U159">
        <v>30.610499999999998</v>
      </c>
      <c r="V159">
        <v>192.8</v>
      </c>
      <c r="W159">
        <v>266766.67979999998</v>
      </c>
      <c r="Y159" s="5">
        <v>1.9157999999999999</v>
      </c>
      <c r="Z159">
        <v>4.6760999999999999</v>
      </c>
      <c r="AA159">
        <v>0.623</v>
      </c>
      <c r="AB159">
        <v>0.82620000000000005</v>
      </c>
      <c r="AC159">
        <v>-0.42959999999999998</v>
      </c>
      <c r="AD159" t="s">
        <v>33</v>
      </c>
      <c r="AE159">
        <v>13.0268</v>
      </c>
      <c r="AF159">
        <v>9.9060000000000006</v>
      </c>
      <c r="AG159">
        <v>3.976</v>
      </c>
      <c r="AH159">
        <v>30472.7536</v>
      </c>
      <c r="AJ159">
        <v>2.8889</v>
      </c>
      <c r="AK159">
        <v>25.2087</v>
      </c>
      <c r="AL159">
        <v>0.57599999999999996</v>
      </c>
      <c r="AM159">
        <v>28.648900000000001</v>
      </c>
      <c r="AN159">
        <v>0.56820000000000004</v>
      </c>
      <c r="AO159">
        <v>195.11080000000001</v>
      </c>
      <c r="AP159">
        <v>48.1526</v>
      </c>
      <c r="AQ159">
        <v>37.254300000000001</v>
      </c>
      <c r="AR159">
        <v>267.83600000000001</v>
      </c>
      <c r="AS159">
        <v>210208.52540000001</v>
      </c>
      <c r="AU159" s="1">
        <f t="shared" si="16"/>
        <v>44722</v>
      </c>
      <c r="AV159" s="29">
        <f t="shared" si="17"/>
        <v>4.2570433310152511</v>
      </c>
      <c r="AW159" s="30">
        <f t="shared" si="18"/>
        <v>-1.0144325374461209</v>
      </c>
      <c r="AX159">
        <f t="shared" ca="1" si="11"/>
        <v>-0.79174372857056297</v>
      </c>
      <c r="AY159">
        <f t="shared" ca="1" si="12"/>
        <v>-0.84680449439543581</v>
      </c>
      <c r="AZ159">
        <f t="shared" ca="1" si="13"/>
        <v>-0.92978497570410346</v>
      </c>
      <c r="BA159">
        <f t="shared" ca="1" si="14"/>
        <v>-0.99799824370447754</v>
      </c>
      <c r="BB159">
        <f t="shared" ca="1" si="15"/>
        <v>-1.0333846147956232</v>
      </c>
    </row>
    <row r="160" spans="1:54" x14ac:dyDescent="0.25">
      <c r="A160" s="37">
        <v>44729</v>
      </c>
      <c r="B160" s="5">
        <v>2.7538</v>
      </c>
      <c r="C160">
        <v>0.24329999999999999</v>
      </c>
      <c r="D160">
        <v>0.27979999999999999</v>
      </c>
      <c r="E160">
        <v>47.523200000000003</v>
      </c>
      <c r="F160">
        <v>1.8447</v>
      </c>
      <c r="G160">
        <v>0</v>
      </c>
      <c r="H160">
        <v>26.9056</v>
      </c>
      <c r="I160">
        <v>6.3841999999999999</v>
      </c>
      <c r="J160">
        <v>87.055000000000007</v>
      </c>
      <c r="K160">
        <v>342224.3419</v>
      </c>
      <c r="M160" s="37">
        <v>44729</v>
      </c>
      <c r="N160" s="5">
        <v>4.2027999999999999</v>
      </c>
      <c r="O160">
        <v>12.575200000000001</v>
      </c>
      <c r="P160">
        <v>0.60580000000000001</v>
      </c>
      <c r="Q160">
        <v>43.156700000000001</v>
      </c>
      <c r="R160">
        <v>1.3548</v>
      </c>
      <c r="S160" t="s">
        <v>33</v>
      </c>
      <c r="T160">
        <v>43.864699999999999</v>
      </c>
      <c r="U160">
        <v>30.610499999999998</v>
      </c>
      <c r="V160">
        <v>194.4</v>
      </c>
      <c r="W160">
        <v>268980.51120000001</v>
      </c>
      <c r="Y160" s="5">
        <v>2.1269999999999998</v>
      </c>
      <c r="Z160">
        <v>4.6760999999999999</v>
      </c>
      <c r="AA160">
        <v>0.623</v>
      </c>
      <c r="AB160">
        <v>0.82620000000000005</v>
      </c>
      <c r="AC160">
        <v>-0.42959999999999998</v>
      </c>
      <c r="AD160" t="s">
        <v>33</v>
      </c>
      <c r="AE160">
        <v>13.0268</v>
      </c>
      <c r="AF160">
        <v>9.9060000000000006</v>
      </c>
      <c r="AG160">
        <v>4.3339999999999996</v>
      </c>
      <c r="AH160">
        <v>33217.484700000001</v>
      </c>
      <c r="AJ160">
        <v>2.6823999999999999</v>
      </c>
      <c r="AK160">
        <v>25.2087</v>
      </c>
      <c r="AL160">
        <v>0.57599999999999996</v>
      </c>
      <c r="AM160">
        <v>28.648900000000001</v>
      </c>
      <c r="AN160">
        <v>0.56820000000000004</v>
      </c>
      <c r="AO160">
        <v>195.11080000000001</v>
      </c>
      <c r="AP160">
        <v>48.1526</v>
      </c>
      <c r="AQ160">
        <v>37.254300000000001</v>
      </c>
      <c r="AR160">
        <v>244.001</v>
      </c>
      <c r="AS160">
        <v>191502.41320000001</v>
      </c>
      <c r="AU160" s="1">
        <f t="shared" si="16"/>
        <v>44729</v>
      </c>
      <c r="AV160" s="29">
        <f t="shared" si="17"/>
        <v>4.1234268156993119</v>
      </c>
      <c r="AW160" s="30">
        <f t="shared" si="18"/>
        <v>-1.0558664165786975</v>
      </c>
      <c r="AX160">
        <f t="shared" ca="1" si="11"/>
        <v>-0.79421344093514801</v>
      </c>
      <c r="AY160">
        <f t="shared" ca="1" si="12"/>
        <v>-0.8535789302397403</v>
      </c>
      <c r="AZ160">
        <f t="shared" ca="1" si="13"/>
        <v>-0.94391250874053201</v>
      </c>
      <c r="BA160">
        <f t="shared" ca="1" si="14"/>
        <v>-1.0027733425435534</v>
      </c>
      <c r="BB160">
        <f t="shared" ca="1" si="15"/>
        <v>-1.0333846147956232</v>
      </c>
    </row>
    <row r="161" spans="1:54" x14ac:dyDescent="0.25">
      <c r="A161" s="37">
        <v>44736</v>
      </c>
      <c r="B161" s="5">
        <v>2.6659000000000002</v>
      </c>
      <c r="C161">
        <v>0.24329999999999999</v>
      </c>
      <c r="D161">
        <v>0.27979999999999999</v>
      </c>
      <c r="E161">
        <v>47.523200000000003</v>
      </c>
      <c r="F161">
        <v>1.8447</v>
      </c>
      <c r="G161">
        <v>0</v>
      </c>
      <c r="H161">
        <v>26.9056</v>
      </c>
      <c r="I161">
        <v>6.3841999999999999</v>
      </c>
      <c r="J161">
        <v>78.405000000000001</v>
      </c>
      <c r="K161">
        <v>308220.08539999998</v>
      </c>
      <c r="M161" s="37">
        <v>44736</v>
      </c>
      <c r="N161" s="5">
        <v>4.0282999999999998</v>
      </c>
      <c r="O161">
        <v>12.575200000000001</v>
      </c>
      <c r="P161">
        <v>0.60580000000000001</v>
      </c>
      <c r="Q161">
        <v>43.156700000000001</v>
      </c>
      <c r="R161">
        <v>1.3548</v>
      </c>
      <c r="S161" t="s">
        <v>33</v>
      </c>
      <c r="T161">
        <v>43.864699999999999</v>
      </c>
      <c r="U161">
        <v>30.610499999999998</v>
      </c>
      <c r="V161">
        <v>186.25</v>
      </c>
      <c r="W161">
        <v>257703.8077</v>
      </c>
      <c r="Y161" s="5">
        <v>1.9638</v>
      </c>
      <c r="Z161">
        <v>4.6760999999999999</v>
      </c>
      <c r="AA161">
        <v>0.623</v>
      </c>
      <c r="AB161">
        <v>0.82620000000000005</v>
      </c>
      <c r="AC161">
        <v>-0.42959999999999998</v>
      </c>
      <c r="AD161" t="s">
        <v>33</v>
      </c>
      <c r="AE161">
        <v>13.0268</v>
      </c>
      <c r="AF161">
        <v>9.9060000000000006</v>
      </c>
      <c r="AG161">
        <v>4.0570000000000004</v>
      </c>
      <c r="AH161">
        <v>31096.556100000002</v>
      </c>
      <c r="AJ161">
        <v>2.5842999999999998</v>
      </c>
      <c r="AK161">
        <v>25.2087</v>
      </c>
      <c r="AL161">
        <v>0.57599999999999996</v>
      </c>
      <c r="AM161">
        <v>28.648900000000001</v>
      </c>
      <c r="AN161">
        <v>0.56820000000000004</v>
      </c>
      <c r="AO161">
        <v>195.11080000000001</v>
      </c>
      <c r="AP161">
        <v>48.1526</v>
      </c>
      <c r="AQ161">
        <v>37.254300000000001</v>
      </c>
      <c r="AR161">
        <v>232.684</v>
      </c>
      <c r="AS161">
        <v>182619.8327</v>
      </c>
      <c r="AU161" s="1">
        <f t="shared" si="16"/>
        <v>44736</v>
      </c>
      <c r="AV161" s="29">
        <f t="shared" si="17"/>
        <v>4.0079096586187077</v>
      </c>
      <c r="AW161" s="30">
        <f t="shared" si="18"/>
        <v>-1.0916877663040609</v>
      </c>
      <c r="AX161">
        <f t="shared" ca="1" si="11"/>
        <v>-0.80669799301688339</v>
      </c>
      <c r="AY161">
        <f t="shared" ca="1" si="12"/>
        <v>-0.85666477373713446</v>
      </c>
      <c r="AZ161">
        <f t="shared" ca="1" si="13"/>
        <v>-0.95124692518065235</v>
      </c>
      <c r="BA161">
        <f t="shared" ca="1" si="14"/>
        <v>-1.0062432717402201</v>
      </c>
      <c r="BB161">
        <f t="shared" ca="1" si="15"/>
        <v>-1.0421148936463815</v>
      </c>
    </row>
    <row r="162" spans="1:54" x14ac:dyDescent="0.25">
      <c r="A162" s="37">
        <v>44743</v>
      </c>
      <c r="B162" s="5">
        <v>2.4792000000000001</v>
      </c>
      <c r="C162">
        <v>7.5738000000000003</v>
      </c>
      <c r="D162">
        <v>0.65949999999999998</v>
      </c>
      <c r="E162">
        <v>44.801099999999998</v>
      </c>
      <c r="F162">
        <v>1.7323</v>
      </c>
      <c r="G162">
        <v>0</v>
      </c>
      <c r="H162">
        <v>26.863800000000001</v>
      </c>
      <c r="I162">
        <v>9.4894999999999996</v>
      </c>
      <c r="J162">
        <v>84.6</v>
      </c>
      <c r="K162">
        <v>332573.42290000001</v>
      </c>
      <c r="M162" s="37">
        <v>44743</v>
      </c>
      <c r="N162" s="5">
        <v>4.8784000000000001</v>
      </c>
      <c r="O162">
        <v>12.719900000000001</v>
      </c>
      <c r="P162">
        <v>0.60470000000000002</v>
      </c>
      <c r="Q162">
        <v>42.358800000000002</v>
      </c>
      <c r="R162">
        <v>1.6055999999999999</v>
      </c>
      <c r="S162" t="s">
        <v>33</v>
      </c>
      <c r="T162">
        <v>38.895200000000003</v>
      </c>
      <c r="U162">
        <v>26.182099999999998</v>
      </c>
      <c r="V162">
        <v>216.75</v>
      </c>
      <c r="W162">
        <v>299904.9681</v>
      </c>
      <c r="Y162" s="5">
        <v>2.3633000000000002</v>
      </c>
      <c r="Z162">
        <v>11.7479</v>
      </c>
      <c r="AA162">
        <v>0.8861</v>
      </c>
      <c r="AB162">
        <v>0.67649999999999999</v>
      </c>
      <c r="AC162">
        <v>-0.3674</v>
      </c>
      <c r="AD162" t="s">
        <v>33</v>
      </c>
      <c r="AE162">
        <v>13.2835</v>
      </c>
      <c r="AF162">
        <v>10.1191</v>
      </c>
      <c r="AG162">
        <v>4.68</v>
      </c>
      <c r="AH162">
        <v>35868.645499999999</v>
      </c>
      <c r="AJ162">
        <v>2.2509000000000001</v>
      </c>
      <c r="AK162">
        <v>29.664100000000001</v>
      </c>
      <c r="AL162">
        <v>0.6784</v>
      </c>
      <c r="AM162">
        <v>26.875499999999999</v>
      </c>
      <c r="AN162">
        <v>0.37819999999999998</v>
      </c>
      <c r="AO162">
        <v>195.11080000000001</v>
      </c>
      <c r="AP162">
        <v>48.812800000000003</v>
      </c>
      <c r="AQ162">
        <v>36.483899999999998</v>
      </c>
      <c r="AR162">
        <v>255.31899999999999</v>
      </c>
      <c r="AS162">
        <v>200384.99359999999</v>
      </c>
      <c r="AU162" s="1">
        <f t="shared" si="16"/>
        <v>44743</v>
      </c>
      <c r="AV162" s="29">
        <f t="shared" si="17"/>
        <v>4.2244331526068049</v>
      </c>
      <c r="AW162" s="30">
        <f t="shared" si="18"/>
        <v>-1.0245448067825309</v>
      </c>
      <c r="AX162">
        <f t="shared" ca="1" si="11"/>
        <v>-0.8200302102192315</v>
      </c>
      <c r="AY162">
        <f t="shared" ca="1" si="12"/>
        <v>-0.86306511264674546</v>
      </c>
      <c r="AZ162">
        <f t="shared" ca="1" si="13"/>
        <v>-0.9619531499217624</v>
      </c>
      <c r="BA162">
        <f t="shared" ca="1" si="14"/>
        <v>-1.0075601893162995</v>
      </c>
      <c r="BB162">
        <f t="shared" ca="1" si="15"/>
        <v>-1.0442575128895102</v>
      </c>
    </row>
    <row r="163" spans="1:54" x14ac:dyDescent="0.25">
      <c r="A163" s="37">
        <v>44750</v>
      </c>
      <c r="B163" s="5">
        <v>2.5640999999999998</v>
      </c>
      <c r="C163">
        <v>7.5738000000000003</v>
      </c>
      <c r="D163">
        <v>0.65949999999999998</v>
      </c>
      <c r="E163">
        <v>44.801099999999998</v>
      </c>
      <c r="F163">
        <v>1.7323</v>
      </c>
      <c r="G163">
        <v>0</v>
      </c>
      <c r="H163">
        <v>26.863800000000001</v>
      </c>
      <c r="I163">
        <v>9.4894999999999996</v>
      </c>
      <c r="J163">
        <v>94.57</v>
      </c>
      <c r="K163">
        <v>371766.7683</v>
      </c>
      <c r="M163" s="37">
        <v>44750</v>
      </c>
      <c r="N163" s="5">
        <v>5.4516</v>
      </c>
      <c r="O163">
        <v>12.719900000000001</v>
      </c>
      <c r="P163">
        <v>0.60470000000000002</v>
      </c>
      <c r="Q163">
        <v>42.358800000000002</v>
      </c>
      <c r="R163">
        <v>1.6055999999999999</v>
      </c>
      <c r="S163" t="s">
        <v>33</v>
      </c>
      <c r="T163">
        <v>38.895200000000003</v>
      </c>
      <c r="U163">
        <v>26.182099999999998</v>
      </c>
      <c r="V163">
        <v>255.7</v>
      </c>
      <c r="W163">
        <v>353797.92550000001</v>
      </c>
      <c r="Y163" s="5">
        <v>2.8738000000000001</v>
      </c>
      <c r="Z163">
        <v>11.7479</v>
      </c>
      <c r="AA163">
        <v>0.8861</v>
      </c>
      <c r="AB163">
        <v>0.67649999999999999</v>
      </c>
      <c r="AC163">
        <v>-0.3674</v>
      </c>
      <c r="AD163" t="s">
        <v>33</v>
      </c>
      <c r="AE163">
        <v>13.2835</v>
      </c>
      <c r="AF163">
        <v>10.1191</v>
      </c>
      <c r="AG163">
        <v>5.5549999999999997</v>
      </c>
      <c r="AH163">
        <v>42574.522700000001</v>
      </c>
      <c r="AJ163">
        <v>2.5712999999999999</v>
      </c>
      <c r="AK163">
        <v>29.664100000000001</v>
      </c>
      <c r="AL163">
        <v>0.6784</v>
      </c>
      <c r="AM163">
        <v>26.875499999999999</v>
      </c>
      <c r="AN163">
        <v>0.37819999999999998</v>
      </c>
      <c r="AO163">
        <v>195.11080000000001</v>
      </c>
      <c r="AP163">
        <v>48.812800000000003</v>
      </c>
      <c r="AQ163">
        <v>36.483899999999998</v>
      </c>
      <c r="AR163">
        <v>299.00700000000001</v>
      </c>
      <c r="AS163">
        <v>234673.2598</v>
      </c>
      <c r="AU163" s="1">
        <f t="shared" si="16"/>
        <v>44750</v>
      </c>
      <c r="AV163" s="29">
        <f t="shared" si="17"/>
        <v>4.6967761572590279</v>
      </c>
      <c r="AW163" s="30">
        <f t="shared" si="18"/>
        <v>-0.87807337009222197</v>
      </c>
      <c r="AX163">
        <f t="shared" ca="1" si="11"/>
        <v>-0.8200302102192315</v>
      </c>
      <c r="AY163">
        <f t="shared" ca="1" si="12"/>
        <v>-0.86306511264674546</v>
      </c>
      <c r="AZ163">
        <f t="shared" ca="1" si="13"/>
        <v>-0.97192846214724193</v>
      </c>
      <c r="BA163">
        <f t="shared" ca="1" si="14"/>
        <v>-1.0108306344353257</v>
      </c>
      <c r="BB163">
        <f t="shared" ca="1" si="15"/>
        <v>-1.0442575128895102</v>
      </c>
    </row>
    <row r="164" spans="1:54" x14ac:dyDescent="0.25">
      <c r="A164" s="37">
        <v>44757</v>
      </c>
      <c r="B164" s="5">
        <v>2.5303</v>
      </c>
      <c r="C164">
        <v>7.5738000000000003</v>
      </c>
      <c r="D164">
        <v>0.65949999999999998</v>
      </c>
      <c r="E164">
        <v>44.801099999999998</v>
      </c>
      <c r="F164">
        <v>1.7323</v>
      </c>
      <c r="G164">
        <v>0</v>
      </c>
      <c r="H164">
        <v>26.863800000000001</v>
      </c>
      <c r="I164">
        <v>9.4894999999999996</v>
      </c>
      <c r="J164">
        <v>90.6</v>
      </c>
      <c r="K164">
        <v>356160.19050000003</v>
      </c>
      <c r="M164" s="37">
        <v>44757</v>
      </c>
      <c r="N164" s="5">
        <v>5.3478000000000003</v>
      </c>
      <c r="O164">
        <v>12.719900000000001</v>
      </c>
      <c r="P164">
        <v>0.60470000000000002</v>
      </c>
      <c r="Q164">
        <v>42.358800000000002</v>
      </c>
      <c r="R164">
        <v>1.6055999999999999</v>
      </c>
      <c r="S164" t="s">
        <v>33</v>
      </c>
      <c r="T164">
        <v>38.895200000000003</v>
      </c>
      <c r="U164">
        <v>26.182099999999998</v>
      </c>
      <c r="V164">
        <v>253</v>
      </c>
      <c r="W164">
        <v>350062.08510000003</v>
      </c>
      <c r="Y164" s="5">
        <v>2.9449999999999998</v>
      </c>
      <c r="Z164">
        <v>11.7479</v>
      </c>
      <c r="AA164">
        <v>0.8861</v>
      </c>
      <c r="AB164">
        <v>0.67649999999999999</v>
      </c>
      <c r="AC164">
        <v>-0.3674</v>
      </c>
      <c r="AD164" t="s">
        <v>33</v>
      </c>
      <c r="AE164">
        <v>13.2835</v>
      </c>
      <c r="AF164">
        <v>10.1191</v>
      </c>
      <c r="AG164">
        <v>5.6769999999999996</v>
      </c>
      <c r="AH164">
        <v>43510.226499999997</v>
      </c>
      <c r="AJ164">
        <v>2.4419</v>
      </c>
      <c r="AK164">
        <v>29.664100000000001</v>
      </c>
      <c r="AL164">
        <v>0.6784</v>
      </c>
      <c r="AM164">
        <v>26.875499999999999</v>
      </c>
      <c r="AN164">
        <v>0.37819999999999998</v>
      </c>
      <c r="AO164">
        <v>195.11080000000001</v>
      </c>
      <c r="AP164">
        <v>48.812800000000003</v>
      </c>
      <c r="AQ164">
        <v>36.483899999999998</v>
      </c>
      <c r="AR164">
        <v>281.35899999999998</v>
      </c>
      <c r="AS164">
        <v>220822.4564</v>
      </c>
      <c r="AU164" s="1">
        <f t="shared" si="16"/>
        <v>44757</v>
      </c>
      <c r="AV164" s="29">
        <f t="shared" si="17"/>
        <v>4.5891276053904857</v>
      </c>
      <c r="AW164" s="30">
        <f t="shared" si="18"/>
        <v>-0.91145470080850066</v>
      </c>
      <c r="AX164">
        <f t="shared" ca="1" si="11"/>
        <v>-0.8200302102192315</v>
      </c>
      <c r="AY164">
        <f t="shared" ca="1" si="12"/>
        <v>-0.86306511264674546</v>
      </c>
      <c r="AZ164">
        <f t="shared" ca="1" si="13"/>
        <v>-0.97192846214724193</v>
      </c>
      <c r="BA164">
        <f t="shared" ca="1" si="14"/>
        <v>-1.0108306344353257</v>
      </c>
      <c r="BB164">
        <f t="shared" ca="1" si="15"/>
        <v>-1.0442575128895102</v>
      </c>
    </row>
    <row r="165" spans="1:54" x14ac:dyDescent="0.25">
      <c r="A165" s="37">
        <v>44764</v>
      </c>
      <c r="B165" s="5">
        <v>2.5848</v>
      </c>
      <c r="C165">
        <v>7.5738000000000003</v>
      </c>
      <c r="D165">
        <v>0.65949999999999998</v>
      </c>
      <c r="E165">
        <v>44.801099999999998</v>
      </c>
      <c r="F165">
        <v>1.7323</v>
      </c>
      <c r="G165">
        <v>0</v>
      </c>
      <c r="H165">
        <v>26.863800000000001</v>
      </c>
      <c r="I165">
        <v>9.4894999999999996</v>
      </c>
      <c r="J165">
        <v>96.995000000000005</v>
      </c>
      <c r="K165">
        <v>381299.7536</v>
      </c>
      <c r="M165" s="37">
        <v>44764</v>
      </c>
      <c r="N165" s="5">
        <v>5.5256999999999996</v>
      </c>
      <c r="O165">
        <v>12.719900000000001</v>
      </c>
      <c r="P165">
        <v>0.60470000000000002</v>
      </c>
      <c r="Q165">
        <v>42.358800000000002</v>
      </c>
      <c r="R165">
        <v>1.6055999999999999</v>
      </c>
      <c r="S165" t="s">
        <v>33</v>
      </c>
      <c r="T165">
        <v>38.895200000000003</v>
      </c>
      <c r="U165">
        <v>26.182099999999998</v>
      </c>
      <c r="V165">
        <v>268.25</v>
      </c>
      <c r="W165">
        <v>371162.66529999999</v>
      </c>
      <c r="Y165" s="5">
        <v>3.3961999999999999</v>
      </c>
      <c r="Z165">
        <v>11.7479</v>
      </c>
      <c r="AA165">
        <v>0.8861</v>
      </c>
      <c r="AB165">
        <v>0.67649999999999999</v>
      </c>
      <c r="AC165">
        <v>-0.3674</v>
      </c>
      <c r="AD165" t="s">
        <v>33</v>
      </c>
      <c r="AE165">
        <v>13.2835</v>
      </c>
      <c r="AF165">
        <v>10.1191</v>
      </c>
      <c r="AG165">
        <v>6.45</v>
      </c>
      <c r="AH165">
        <v>49436.3505</v>
      </c>
      <c r="AJ165">
        <v>2.5832999999999999</v>
      </c>
      <c r="AK165">
        <v>29.664100000000001</v>
      </c>
      <c r="AL165">
        <v>0.6784</v>
      </c>
      <c r="AM165">
        <v>26.875499999999999</v>
      </c>
      <c r="AN165">
        <v>0.37819999999999998</v>
      </c>
      <c r="AO165">
        <v>195.11080000000001</v>
      </c>
      <c r="AP165">
        <v>48.812800000000003</v>
      </c>
      <c r="AQ165">
        <v>36.483899999999998</v>
      </c>
      <c r="AR165">
        <v>300.63799999999998</v>
      </c>
      <c r="AS165">
        <v>235952.95360000001</v>
      </c>
      <c r="AU165" s="1">
        <f t="shared" si="16"/>
        <v>44764</v>
      </c>
      <c r="AV165" s="29">
        <f t="shared" si="17"/>
        <v>4.7561491386377366</v>
      </c>
      <c r="AW165" s="30">
        <f t="shared" si="18"/>
        <v>-0.85966207618615587</v>
      </c>
      <c r="AX165">
        <f t="shared" ca="1" si="11"/>
        <v>-0.8200302102192315</v>
      </c>
      <c r="AY165">
        <f t="shared" ca="1" si="12"/>
        <v>-0.86306511264674546</v>
      </c>
      <c r="AZ165">
        <f t="shared" ca="1" si="13"/>
        <v>-0.97192846214724193</v>
      </c>
      <c r="BA165">
        <f t="shared" ca="1" si="14"/>
        <v>-1.0108306344353257</v>
      </c>
      <c r="BB165">
        <f t="shared" ca="1" si="15"/>
        <v>-1.0442575128895102</v>
      </c>
    </row>
    <row r="166" spans="1:54" x14ac:dyDescent="0.25">
      <c r="A166" s="37">
        <v>44771</v>
      </c>
      <c r="B166" s="5">
        <v>2.6892999999999998</v>
      </c>
      <c r="C166">
        <v>7.5738000000000003</v>
      </c>
      <c r="D166">
        <v>0.65949999999999998</v>
      </c>
      <c r="E166">
        <v>44.801099999999998</v>
      </c>
      <c r="F166">
        <v>1.7323</v>
      </c>
      <c r="G166">
        <v>0</v>
      </c>
      <c r="H166">
        <v>26.863800000000001</v>
      </c>
      <c r="I166">
        <v>9.4894999999999996</v>
      </c>
      <c r="J166">
        <v>109.265</v>
      </c>
      <c r="K166">
        <v>429534.69329999998</v>
      </c>
      <c r="M166" s="37">
        <v>44771</v>
      </c>
      <c r="N166" s="5">
        <v>5.6101000000000001</v>
      </c>
      <c r="O166">
        <v>12.719900000000001</v>
      </c>
      <c r="P166">
        <v>0.60470000000000002</v>
      </c>
      <c r="Q166">
        <v>42.358800000000002</v>
      </c>
      <c r="R166">
        <v>1.6055999999999999</v>
      </c>
      <c r="S166" t="s">
        <v>33</v>
      </c>
      <c r="T166">
        <v>38.895200000000003</v>
      </c>
      <c r="U166">
        <v>26.182099999999998</v>
      </c>
      <c r="V166">
        <v>277.75</v>
      </c>
      <c r="W166">
        <v>384307.28899999999</v>
      </c>
      <c r="Y166" s="5">
        <v>3.3843000000000001</v>
      </c>
      <c r="Z166">
        <v>11.7479</v>
      </c>
      <c r="AA166">
        <v>0.8861</v>
      </c>
      <c r="AB166">
        <v>0.67649999999999999</v>
      </c>
      <c r="AC166">
        <v>-0.3674</v>
      </c>
      <c r="AD166" t="s">
        <v>33</v>
      </c>
      <c r="AE166">
        <v>13.2835</v>
      </c>
      <c r="AF166">
        <v>10.1191</v>
      </c>
      <c r="AG166">
        <v>6.4290000000000003</v>
      </c>
      <c r="AH166">
        <v>49280.399899999997</v>
      </c>
      <c r="AJ166">
        <v>2.8380000000000001</v>
      </c>
      <c r="AK166">
        <v>29.664100000000001</v>
      </c>
      <c r="AL166">
        <v>0.6784</v>
      </c>
      <c r="AM166">
        <v>26.875499999999999</v>
      </c>
      <c r="AN166">
        <v>0.37819999999999998</v>
      </c>
      <c r="AO166">
        <v>195.11080000000001</v>
      </c>
      <c r="AP166">
        <v>48.812800000000003</v>
      </c>
      <c r="AQ166">
        <v>36.483899999999998</v>
      </c>
      <c r="AR166">
        <v>335.358</v>
      </c>
      <c r="AS166">
        <v>263202.90389999998</v>
      </c>
      <c r="AU166" s="1">
        <f t="shared" si="16"/>
        <v>44771</v>
      </c>
      <c r="AV166" s="29">
        <f t="shared" si="17"/>
        <v>4.8949019959273619</v>
      </c>
      <c r="AW166" s="30">
        <f t="shared" si="18"/>
        <v>-0.81663544055923365</v>
      </c>
      <c r="AX166">
        <f t="shared" ca="1" si="11"/>
        <v>-0.8200302102192315</v>
      </c>
      <c r="AY166">
        <f t="shared" ca="1" si="12"/>
        <v>-0.86374357365862386</v>
      </c>
      <c r="AZ166">
        <f t="shared" ca="1" si="13"/>
        <v>-0.97192846214724193</v>
      </c>
      <c r="BA166">
        <f t="shared" ca="1" si="14"/>
        <v>-1.0108306344353257</v>
      </c>
      <c r="BB166">
        <f t="shared" ca="1" si="15"/>
        <v>-1.0442575128895102</v>
      </c>
    </row>
    <row r="167" spans="1:54" x14ac:dyDescent="0.25">
      <c r="A167" s="37">
        <v>44778</v>
      </c>
      <c r="B167" s="5">
        <v>2.6861000000000002</v>
      </c>
      <c r="C167">
        <v>7.5738000000000003</v>
      </c>
      <c r="D167">
        <v>0.65949999999999998</v>
      </c>
      <c r="E167">
        <v>44.801099999999998</v>
      </c>
      <c r="F167">
        <v>1.7323</v>
      </c>
      <c r="G167">
        <v>0</v>
      </c>
      <c r="H167">
        <v>26.863800000000001</v>
      </c>
      <c r="I167">
        <v>9.4894999999999996</v>
      </c>
      <c r="J167">
        <v>108.89</v>
      </c>
      <c r="K167">
        <v>428060.52029999997</v>
      </c>
      <c r="M167" s="37">
        <v>44778</v>
      </c>
      <c r="N167" s="5">
        <v>5.5022000000000002</v>
      </c>
      <c r="O167">
        <v>12.719900000000001</v>
      </c>
      <c r="P167">
        <v>0.60470000000000002</v>
      </c>
      <c r="Q167">
        <v>42.358800000000002</v>
      </c>
      <c r="R167">
        <v>1.6055999999999999</v>
      </c>
      <c r="S167" t="s">
        <v>33</v>
      </c>
      <c r="T167">
        <v>38.895200000000003</v>
      </c>
      <c r="U167">
        <v>26.182099999999998</v>
      </c>
      <c r="V167">
        <v>275.25</v>
      </c>
      <c r="W167">
        <v>380848.17749999999</v>
      </c>
      <c r="Y167" s="5">
        <v>3.4318</v>
      </c>
      <c r="Z167">
        <v>11.7479</v>
      </c>
      <c r="AA167">
        <v>0.8861</v>
      </c>
      <c r="AB167">
        <v>0.67649999999999999</v>
      </c>
      <c r="AC167">
        <v>-0.3674</v>
      </c>
      <c r="AD167" t="s">
        <v>33</v>
      </c>
      <c r="AE167">
        <v>13.2835</v>
      </c>
      <c r="AF167">
        <v>10.1191</v>
      </c>
      <c r="AG167">
        <v>6.5110000000000001</v>
      </c>
      <c r="AH167">
        <v>49904.202400000002</v>
      </c>
      <c r="AJ167">
        <v>2.7650999999999999</v>
      </c>
      <c r="AK167">
        <v>29.664100000000001</v>
      </c>
      <c r="AL167">
        <v>0.6784</v>
      </c>
      <c r="AM167">
        <v>26.875499999999999</v>
      </c>
      <c r="AN167">
        <v>0.37819999999999998</v>
      </c>
      <c r="AO167">
        <v>195.11080000000001</v>
      </c>
      <c r="AP167">
        <v>48.812800000000003</v>
      </c>
      <c r="AQ167">
        <v>36.483899999999998</v>
      </c>
      <c r="AR167">
        <v>325.43099999999998</v>
      </c>
      <c r="AS167">
        <v>255411.82699999999</v>
      </c>
      <c r="AU167" s="1">
        <f t="shared" si="16"/>
        <v>44778</v>
      </c>
      <c r="AV167" s="29">
        <f t="shared" si="17"/>
        <v>4.8005993965533484</v>
      </c>
      <c r="AW167" s="30">
        <f t="shared" si="18"/>
        <v>-0.84587825156288632</v>
      </c>
      <c r="AX167">
        <f t="shared" ca="1" si="11"/>
        <v>-0.81691325929648662</v>
      </c>
      <c r="AY167">
        <f t="shared" ca="1" si="12"/>
        <v>-0.8587001567727699</v>
      </c>
      <c r="AZ167">
        <f t="shared" ca="1" si="13"/>
        <v>-0.97192846214724193</v>
      </c>
      <c r="BA167">
        <f t="shared" ca="1" si="14"/>
        <v>-1.0108306344353257</v>
      </c>
      <c r="BB167">
        <f t="shared" ca="1" si="15"/>
        <v>-1.0442575128895102</v>
      </c>
    </row>
    <row r="168" spans="1:54" x14ac:dyDescent="0.25">
      <c r="A168" s="37">
        <v>44785</v>
      </c>
      <c r="B168" s="5">
        <v>2.8260000000000001</v>
      </c>
      <c r="C168">
        <v>7.5738000000000003</v>
      </c>
      <c r="D168">
        <v>0.65949999999999998</v>
      </c>
      <c r="E168">
        <v>44.801099999999998</v>
      </c>
      <c r="F168">
        <v>1.7323</v>
      </c>
      <c r="G168">
        <v>0</v>
      </c>
      <c r="H168">
        <v>26.863800000000001</v>
      </c>
      <c r="I168">
        <v>9.4894999999999996</v>
      </c>
      <c r="J168">
        <v>125.30500000000001</v>
      </c>
      <c r="K168">
        <v>492589.9853</v>
      </c>
      <c r="M168" s="37">
        <v>44785</v>
      </c>
      <c r="N168" s="5">
        <v>5.5118999999999998</v>
      </c>
      <c r="O168">
        <v>12.719900000000001</v>
      </c>
      <c r="P168">
        <v>0.60470000000000002</v>
      </c>
      <c r="Q168">
        <v>42.358800000000002</v>
      </c>
      <c r="R168">
        <v>1.6055999999999999</v>
      </c>
      <c r="S168" t="s">
        <v>33</v>
      </c>
      <c r="T168">
        <v>38.895200000000003</v>
      </c>
      <c r="U168">
        <v>26.182099999999998</v>
      </c>
      <c r="V168">
        <v>280.45</v>
      </c>
      <c r="W168">
        <v>388043.12949999998</v>
      </c>
      <c r="Y168" s="5">
        <v>3.3725000000000001</v>
      </c>
      <c r="Z168">
        <v>11.7479</v>
      </c>
      <c r="AA168">
        <v>0.8861</v>
      </c>
      <c r="AB168">
        <v>0.67649999999999999</v>
      </c>
      <c r="AC168">
        <v>-0.3674</v>
      </c>
      <c r="AD168" t="s">
        <v>33</v>
      </c>
      <c r="AE168">
        <v>13.2835</v>
      </c>
      <c r="AF168">
        <v>10.1191</v>
      </c>
      <c r="AG168">
        <v>6.4089999999999998</v>
      </c>
      <c r="AH168">
        <v>49124.449200000003</v>
      </c>
      <c r="AJ168">
        <v>3.0348999999999999</v>
      </c>
      <c r="AK168">
        <v>29.664100000000001</v>
      </c>
      <c r="AL168">
        <v>0.6784</v>
      </c>
      <c r="AM168">
        <v>26.875499999999999</v>
      </c>
      <c r="AN168">
        <v>0.37819999999999998</v>
      </c>
      <c r="AO168">
        <v>195.11080000000001</v>
      </c>
      <c r="AP168">
        <v>48.812800000000003</v>
      </c>
      <c r="AQ168">
        <v>36.483899999999998</v>
      </c>
      <c r="AR168">
        <v>362.214</v>
      </c>
      <c r="AS168">
        <v>284280.21360000002</v>
      </c>
      <c r="AU168" s="1">
        <f t="shared" si="16"/>
        <v>44785</v>
      </c>
      <c r="AV168" s="29">
        <f t="shared" si="17"/>
        <v>4.9038035566124103</v>
      </c>
      <c r="AW168" s="30">
        <f t="shared" si="18"/>
        <v>-0.81387510671394891</v>
      </c>
      <c r="AX168">
        <f t="shared" ca="1" si="11"/>
        <v>-0.81691325929648662</v>
      </c>
      <c r="AY168">
        <f t="shared" ca="1" si="12"/>
        <v>-0.8587001567727699</v>
      </c>
      <c r="AZ168">
        <f t="shared" ca="1" si="13"/>
        <v>-0.97192846214724193</v>
      </c>
      <c r="BA168">
        <f t="shared" ca="1" si="14"/>
        <v>-1.0108306344353257</v>
      </c>
      <c r="BB168">
        <f t="shared" ca="1" si="15"/>
        <v>-1.0442575128895102</v>
      </c>
    </row>
    <row r="169" spans="1:54" x14ac:dyDescent="0.25">
      <c r="A169" s="37">
        <v>44792</v>
      </c>
      <c r="B169" s="5">
        <v>2.9525000000000001</v>
      </c>
      <c r="C169">
        <v>7.5738000000000003</v>
      </c>
      <c r="D169">
        <v>0.65949999999999998</v>
      </c>
      <c r="E169">
        <v>44.801099999999998</v>
      </c>
      <c r="F169">
        <v>1.7323</v>
      </c>
      <c r="G169">
        <v>0</v>
      </c>
      <c r="H169">
        <v>26.863800000000001</v>
      </c>
      <c r="I169">
        <v>9.4894999999999996</v>
      </c>
      <c r="J169">
        <v>140.155</v>
      </c>
      <c r="K169">
        <v>550967.23499999999</v>
      </c>
      <c r="M169" s="37">
        <v>44792</v>
      </c>
      <c r="N169" s="5">
        <v>5.6378000000000004</v>
      </c>
      <c r="O169">
        <v>12.719900000000001</v>
      </c>
      <c r="P169">
        <v>0.60470000000000002</v>
      </c>
      <c r="Q169">
        <v>42.358800000000002</v>
      </c>
      <c r="R169">
        <v>1.6055999999999999</v>
      </c>
      <c r="S169" t="s">
        <v>33</v>
      </c>
      <c r="T169">
        <v>38.895200000000003</v>
      </c>
      <c r="U169">
        <v>26.182099999999998</v>
      </c>
      <c r="V169">
        <v>292.85000000000002</v>
      </c>
      <c r="W169">
        <v>405200.32260000001</v>
      </c>
      <c r="Y169" s="5">
        <v>3.3250000000000002</v>
      </c>
      <c r="Z169">
        <v>11.7479</v>
      </c>
      <c r="AA169">
        <v>0.8861</v>
      </c>
      <c r="AB169">
        <v>0.67649999999999999</v>
      </c>
      <c r="AC169">
        <v>-0.3674</v>
      </c>
      <c r="AD169" t="s">
        <v>33</v>
      </c>
      <c r="AE169">
        <v>13.2835</v>
      </c>
      <c r="AF169">
        <v>10.1191</v>
      </c>
      <c r="AG169">
        <v>6.3280000000000003</v>
      </c>
      <c r="AH169">
        <v>48500.647799999999</v>
      </c>
      <c r="AJ169">
        <v>3.1217999999999999</v>
      </c>
      <c r="AK169">
        <v>29.664100000000001</v>
      </c>
      <c r="AL169">
        <v>0.6784</v>
      </c>
      <c r="AM169">
        <v>26.875499999999999</v>
      </c>
      <c r="AN169">
        <v>0.37819999999999998</v>
      </c>
      <c r="AO169">
        <v>195.11080000000001</v>
      </c>
      <c r="AP169">
        <v>48.812800000000003</v>
      </c>
      <c r="AQ169">
        <v>36.483899999999998</v>
      </c>
      <c r="AR169">
        <v>374.05900000000003</v>
      </c>
      <c r="AS169">
        <v>293576.8126</v>
      </c>
      <c r="AU169" s="1">
        <f t="shared" si="16"/>
        <v>44792</v>
      </c>
      <c r="AV169" s="29">
        <f t="shared" si="17"/>
        <v>4.9657407896322985</v>
      </c>
      <c r="AW169" s="30">
        <f t="shared" si="18"/>
        <v>-0.79466864993213415</v>
      </c>
      <c r="AX169">
        <f t="shared" ca="1" si="11"/>
        <v>-0.81415114009847744</v>
      </c>
      <c r="AY169">
        <f t="shared" ca="1" si="12"/>
        <v>-0.8587001567727699</v>
      </c>
      <c r="AZ169">
        <f t="shared" ca="1" si="13"/>
        <v>-0.97192846214724193</v>
      </c>
      <c r="BA169">
        <f t="shared" ca="1" si="14"/>
        <v>-1.0108306344353257</v>
      </c>
      <c r="BB169">
        <f t="shared" ca="1" si="15"/>
        <v>-1.0442575128895102</v>
      </c>
    </row>
    <row r="170" spans="1:54" x14ac:dyDescent="0.25">
      <c r="A170" s="37">
        <v>44799</v>
      </c>
      <c r="B170" s="5">
        <v>3.1476999999999999</v>
      </c>
      <c r="C170">
        <v>7.5738000000000003</v>
      </c>
      <c r="D170">
        <v>0.65949999999999998</v>
      </c>
      <c r="E170">
        <v>44.801099999999998</v>
      </c>
      <c r="F170">
        <v>1.7323</v>
      </c>
      <c r="G170">
        <v>0</v>
      </c>
      <c r="H170">
        <v>26.863800000000001</v>
      </c>
      <c r="I170">
        <v>9.4894999999999996</v>
      </c>
      <c r="J170">
        <v>163.07</v>
      </c>
      <c r="K170">
        <v>641049.03150000004</v>
      </c>
      <c r="M170" s="37">
        <v>44799</v>
      </c>
      <c r="N170" s="5">
        <v>5.8186</v>
      </c>
      <c r="O170">
        <v>12.719900000000001</v>
      </c>
      <c r="P170">
        <v>0.60470000000000002</v>
      </c>
      <c r="Q170">
        <v>42.358800000000002</v>
      </c>
      <c r="R170">
        <v>1.6055999999999999</v>
      </c>
      <c r="S170" t="s">
        <v>33</v>
      </c>
      <c r="T170">
        <v>38.895200000000003</v>
      </c>
      <c r="U170">
        <v>26.182099999999998</v>
      </c>
      <c r="V170">
        <v>309.55</v>
      </c>
      <c r="W170">
        <v>428307.1875</v>
      </c>
      <c r="Y170" s="5">
        <v>3.3130999999999999</v>
      </c>
      <c r="Z170">
        <v>11.7479</v>
      </c>
      <c r="AA170">
        <v>0.8861</v>
      </c>
      <c r="AB170">
        <v>0.67649999999999999</v>
      </c>
      <c r="AC170">
        <v>-0.3674</v>
      </c>
      <c r="AD170" t="s">
        <v>33</v>
      </c>
      <c r="AE170">
        <v>13.2835</v>
      </c>
      <c r="AF170">
        <v>10.1191</v>
      </c>
      <c r="AG170">
        <v>6.3070000000000004</v>
      </c>
      <c r="AH170">
        <v>48344.697200000002</v>
      </c>
      <c r="AJ170">
        <v>3.3540000000000001</v>
      </c>
      <c r="AK170">
        <v>29.664100000000001</v>
      </c>
      <c r="AL170">
        <v>0.6784</v>
      </c>
      <c r="AM170">
        <v>26.875499999999999</v>
      </c>
      <c r="AN170">
        <v>0.37819999999999998</v>
      </c>
      <c r="AO170">
        <v>195.11080000000001</v>
      </c>
      <c r="AP170">
        <v>48.812800000000003</v>
      </c>
      <c r="AQ170">
        <v>36.483899999999998</v>
      </c>
      <c r="AR170">
        <v>405.71</v>
      </c>
      <c r="AS170">
        <v>318417.92749999999</v>
      </c>
      <c r="AU170" s="1">
        <f t="shared" si="16"/>
        <v>44799</v>
      </c>
      <c r="AV170" s="29">
        <f t="shared" si="17"/>
        <v>5.1338624667831949</v>
      </c>
      <c r="AW170" s="30">
        <f t="shared" si="18"/>
        <v>-0.74253487564408893</v>
      </c>
      <c r="AX170">
        <f t="shared" ca="1" si="11"/>
        <v>-0.80614414089510189</v>
      </c>
      <c r="AY170">
        <f t="shared" ca="1" si="12"/>
        <v>-0.8587001567727699</v>
      </c>
      <c r="AZ170">
        <f t="shared" ca="1" si="13"/>
        <v>-0.97192846214724193</v>
      </c>
      <c r="BA170">
        <f t="shared" ca="1" si="14"/>
        <v>-1.0108306344353257</v>
      </c>
      <c r="BB170">
        <f t="shared" ca="1" si="15"/>
        <v>-1.0442575128895102</v>
      </c>
    </row>
    <row r="171" spans="1:54" x14ac:dyDescent="0.25">
      <c r="A171" s="37">
        <v>44806</v>
      </c>
      <c r="B171" s="5">
        <v>3.1562000000000001</v>
      </c>
      <c r="C171">
        <v>7.5738000000000003</v>
      </c>
      <c r="D171">
        <v>0.65949999999999998</v>
      </c>
      <c r="E171">
        <v>44.801099999999998</v>
      </c>
      <c r="F171">
        <v>1.7323</v>
      </c>
      <c r="G171">
        <v>0</v>
      </c>
      <c r="H171">
        <v>26.863800000000001</v>
      </c>
      <c r="I171">
        <v>9.4894999999999996</v>
      </c>
      <c r="J171">
        <v>164.065</v>
      </c>
      <c r="K171">
        <v>644960.50379999995</v>
      </c>
      <c r="M171" s="37">
        <v>44806</v>
      </c>
      <c r="N171" s="5">
        <v>5.3882000000000003</v>
      </c>
      <c r="O171">
        <v>12.719900000000001</v>
      </c>
      <c r="P171">
        <v>0.60470000000000002</v>
      </c>
      <c r="Q171">
        <v>42.358800000000002</v>
      </c>
      <c r="R171">
        <v>1.6055999999999999</v>
      </c>
      <c r="S171" t="s">
        <v>33</v>
      </c>
      <c r="T171">
        <v>38.895200000000003</v>
      </c>
      <c r="U171">
        <v>26.182099999999998</v>
      </c>
      <c r="V171">
        <v>284</v>
      </c>
      <c r="W171">
        <v>392955.06780000002</v>
      </c>
      <c r="Y171" s="5">
        <v>3.5030999999999999</v>
      </c>
      <c r="Z171">
        <v>11.7479</v>
      </c>
      <c r="AA171">
        <v>0.8861</v>
      </c>
      <c r="AB171">
        <v>0.67649999999999999</v>
      </c>
      <c r="AC171">
        <v>-0.3674</v>
      </c>
      <c r="AD171" t="s">
        <v>33</v>
      </c>
      <c r="AE171">
        <v>13.2835</v>
      </c>
      <c r="AF171">
        <v>10.1191</v>
      </c>
      <c r="AG171">
        <v>6.633</v>
      </c>
      <c r="AH171">
        <v>50839.907299999999</v>
      </c>
      <c r="AJ171">
        <v>3.0796000000000001</v>
      </c>
      <c r="AK171">
        <v>29.664100000000001</v>
      </c>
      <c r="AL171">
        <v>0.6784</v>
      </c>
      <c r="AM171">
        <v>26.875499999999999</v>
      </c>
      <c r="AN171">
        <v>0.37819999999999998</v>
      </c>
      <c r="AO171">
        <v>195.11080000000001</v>
      </c>
      <c r="AP171">
        <v>48.812800000000003</v>
      </c>
      <c r="AQ171">
        <v>36.483899999999998</v>
      </c>
      <c r="AR171">
        <v>368.30399999999997</v>
      </c>
      <c r="AS171">
        <v>289060.2463</v>
      </c>
      <c r="AU171" s="1">
        <f t="shared" si="16"/>
        <v>44806</v>
      </c>
      <c r="AV171" s="29">
        <f t="shared" si="17"/>
        <v>4.7955965810218348</v>
      </c>
      <c r="AW171" s="30">
        <f t="shared" si="18"/>
        <v>-0.84742960210937512</v>
      </c>
      <c r="AX171">
        <f t="shared" ca="1" si="11"/>
        <v>-0.80614414089510189</v>
      </c>
      <c r="AY171">
        <f t="shared" ca="1" si="12"/>
        <v>-0.8587001567727699</v>
      </c>
      <c r="AZ171">
        <f t="shared" ca="1" si="13"/>
        <v>-0.97192846214724193</v>
      </c>
      <c r="BA171">
        <f t="shared" ca="1" si="14"/>
        <v>-1.0108306344353257</v>
      </c>
      <c r="BB171">
        <f t="shared" ca="1" si="15"/>
        <v>-1.0442575128895102</v>
      </c>
    </row>
    <row r="172" spans="1:54" x14ac:dyDescent="0.25">
      <c r="A172" s="37">
        <v>44813</v>
      </c>
      <c r="B172" s="5">
        <v>3.4382000000000001</v>
      </c>
      <c r="C172">
        <v>7.5738000000000003</v>
      </c>
      <c r="D172">
        <v>0.65949999999999998</v>
      </c>
      <c r="E172">
        <v>44.801099999999998</v>
      </c>
      <c r="F172">
        <v>1.7323</v>
      </c>
      <c r="G172">
        <v>0</v>
      </c>
      <c r="H172">
        <v>26.863800000000001</v>
      </c>
      <c r="I172">
        <v>9.4894999999999996</v>
      </c>
      <c r="J172">
        <v>197.16</v>
      </c>
      <c r="K172">
        <v>775061.1827</v>
      </c>
      <c r="M172" s="37">
        <v>44813</v>
      </c>
      <c r="N172" s="5">
        <v>5.5369999999999999</v>
      </c>
      <c r="O172">
        <v>12.719900000000001</v>
      </c>
      <c r="P172">
        <v>0.60470000000000002</v>
      </c>
      <c r="Q172">
        <v>42.358800000000002</v>
      </c>
      <c r="R172">
        <v>1.6055999999999999</v>
      </c>
      <c r="S172" t="s">
        <v>33</v>
      </c>
      <c r="T172">
        <v>38.895200000000003</v>
      </c>
      <c r="U172">
        <v>26.182099999999998</v>
      </c>
      <c r="V172">
        <v>300.60000000000002</v>
      </c>
      <c r="W172">
        <v>415923.56829999998</v>
      </c>
      <c r="Y172" s="5">
        <v>3.3725000000000001</v>
      </c>
      <c r="Z172">
        <v>11.7479</v>
      </c>
      <c r="AA172">
        <v>0.8861</v>
      </c>
      <c r="AB172">
        <v>0.67649999999999999</v>
      </c>
      <c r="AC172">
        <v>-0.3674</v>
      </c>
      <c r="AD172" t="s">
        <v>33</v>
      </c>
      <c r="AE172">
        <v>13.2835</v>
      </c>
      <c r="AF172">
        <v>10.1191</v>
      </c>
      <c r="AG172">
        <v>6.4089999999999998</v>
      </c>
      <c r="AH172">
        <v>49124.450299999997</v>
      </c>
      <c r="AJ172">
        <v>3.3845999999999998</v>
      </c>
      <c r="AK172">
        <v>29.664100000000001</v>
      </c>
      <c r="AL172">
        <v>0.6784</v>
      </c>
      <c r="AM172">
        <v>26.875499999999999</v>
      </c>
      <c r="AN172">
        <v>0.37819999999999998</v>
      </c>
      <c r="AO172">
        <v>195.11080000000001</v>
      </c>
      <c r="AP172">
        <v>48.812800000000003</v>
      </c>
      <c r="AQ172">
        <v>36.483899999999998</v>
      </c>
      <c r="AR172">
        <v>409.88200000000001</v>
      </c>
      <c r="AS172">
        <v>321692.43810000003</v>
      </c>
      <c r="AU172" s="1">
        <f t="shared" si="16"/>
        <v>44813</v>
      </c>
      <c r="AV172" s="29">
        <f t="shared" si="17"/>
        <v>5.0175069938546475</v>
      </c>
      <c r="AW172" s="30">
        <f t="shared" si="18"/>
        <v>-0.77861618333525062</v>
      </c>
      <c r="AX172">
        <f t="shared" ca="1" si="11"/>
        <v>-0.81415114009847744</v>
      </c>
      <c r="AY172">
        <f t="shared" ca="1" si="12"/>
        <v>-0.8587001567727699</v>
      </c>
      <c r="AZ172">
        <f t="shared" ca="1" si="13"/>
        <v>-0.97192846214724193</v>
      </c>
      <c r="BA172">
        <f t="shared" ca="1" si="14"/>
        <v>-1.0108306344353257</v>
      </c>
      <c r="BB172">
        <f t="shared" ca="1" si="15"/>
        <v>-1.0442575128895102</v>
      </c>
    </row>
    <row r="173" spans="1:54" x14ac:dyDescent="0.25">
      <c r="A173" s="37">
        <v>44820</v>
      </c>
      <c r="B173" s="5">
        <v>3.5537000000000001</v>
      </c>
      <c r="C173">
        <v>7.5738000000000003</v>
      </c>
      <c r="D173">
        <v>0.65949999999999998</v>
      </c>
      <c r="E173">
        <v>44.801099999999998</v>
      </c>
      <c r="F173">
        <v>1.7323</v>
      </c>
      <c r="G173">
        <v>0</v>
      </c>
      <c r="H173">
        <v>26.863800000000001</v>
      </c>
      <c r="I173">
        <v>9.4894999999999996</v>
      </c>
      <c r="J173">
        <v>210.715</v>
      </c>
      <c r="K173">
        <v>828347.62179999996</v>
      </c>
      <c r="M173" s="37">
        <v>44820</v>
      </c>
      <c r="N173" s="5">
        <v>5.5057999999999998</v>
      </c>
      <c r="O173">
        <v>12.719900000000001</v>
      </c>
      <c r="P173">
        <v>0.60470000000000002</v>
      </c>
      <c r="Q173">
        <v>42.358800000000002</v>
      </c>
      <c r="R173">
        <v>1.6055999999999999</v>
      </c>
      <c r="S173" t="s">
        <v>33</v>
      </c>
      <c r="T173">
        <v>38.895200000000003</v>
      </c>
      <c r="U173">
        <v>26.182099999999998</v>
      </c>
      <c r="V173">
        <v>304.14999999999998</v>
      </c>
      <c r="W173">
        <v>420835.50660000002</v>
      </c>
      <c r="Y173" s="5">
        <v>3.3250000000000002</v>
      </c>
      <c r="Z173">
        <v>11.7479</v>
      </c>
      <c r="AA173">
        <v>0.8861</v>
      </c>
      <c r="AB173">
        <v>0.67649999999999999</v>
      </c>
      <c r="AC173">
        <v>-0.3674</v>
      </c>
      <c r="AD173" t="s">
        <v>33</v>
      </c>
      <c r="AE173">
        <v>13.2835</v>
      </c>
      <c r="AF173">
        <v>10.1191</v>
      </c>
      <c r="AG173">
        <v>6.3280000000000003</v>
      </c>
      <c r="AH173">
        <v>48500.647799999999</v>
      </c>
      <c r="AJ173">
        <v>3.6528999999999998</v>
      </c>
      <c r="AK173">
        <v>29.664100000000001</v>
      </c>
      <c r="AL173">
        <v>0.6784</v>
      </c>
      <c r="AM173">
        <v>26.875499999999999</v>
      </c>
      <c r="AN173">
        <v>0.37819999999999998</v>
      </c>
      <c r="AO173">
        <v>195.11080000000001</v>
      </c>
      <c r="AP173">
        <v>48.812800000000003</v>
      </c>
      <c r="AQ173">
        <v>36.483899999999998</v>
      </c>
      <c r="AR173">
        <v>446.47300000000001</v>
      </c>
      <c r="AS173">
        <v>350410.27250000002</v>
      </c>
      <c r="AU173" s="1">
        <f t="shared" si="16"/>
        <v>44820</v>
      </c>
      <c r="AV173" s="29">
        <f t="shared" si="17"/>
        <v>5.1645967508391433</v>
      </c>
      <c r="AW173" s="30">
        <f t="shared" si="18"/>
        <v>-0.73300431269092881</v>
      </c>
      <c r="AX173">
        <f t="shared" ca="1" si="11"/>
        <v>-0.81415114009847744</v>
      </c>
      <c r="AY173">
        <f t="shared" ca="1" si="12"/>
        <v>-0.8587001567727699</v>
      </c>
      <c r="AZ173">
        <f t="shared" ca="1" si="13"/>
        <v>-0.97192846214724193</v>
      </c>
      <c r="BA173">
        <f t="shared" ca="1" si="14"/>
        <v>-1.0108306344353257</v>
      </c>
      <c r="BB173">
        <f t="shared" ca="1" si="15"/>
        <v>-1.0442575128895102</v>
      </c>
    </row>
    <row r="174" spans="1:54" x14ac:dyDescent="0.25">
      <c r="A174" s="37">
        <v>44827</v>
      </c>
      <c r="B174" s="5">
        <v>3.4295</v>
      </c>
      <c r="C174">
        <v>7.5738000000000003</v>
      </c>
      <c r="D174">
        <v>0.65949999999999998</v>
      </c>
      <c r="E174">
        <v>44.801099999999998</v>
      </c>
      <c r="F174">
        <v>1.7323</v>
      </c>
      <c r="G174">
        <v>0</v>
      </c>
      <c r="H174">
        <v>26.863800000000001</v>
      </c>
      <c r="I174">
        <v>9.4894999999999996</v>
      </c>
      <c r="J174">
        <v>196.17500000000001</v>
      </c>
      <c r="K174">
        <v>771033.19990000001</v>
      </c>
      <c r="M174" s="37">
        <v>44827</v>
      </c>
      <c r="N174" s="5">
        <v>5.3010000000000002</v>
      </c>
      <c r="O174">
        <v>12.719900000000001</v>
      </c>
      <c r="P174">
        <v>0.60470000000000002</v>
      </c>
      <c r="Q174">
        <v>42.358800000000002</v>
      </c>
      <c r="R174">
        <v>1.6055999999999999</v>
      </c>
      <c r="S174" t="s">
        <v>33</v>
      </c>
      <c r="T174">
        <v>38.895200000000003</v>
      </c>
      <c r="U174">
        <v>26.182099999999998</v>
      </c>
      <c r="V174">
        <v>294.85000000000002</v>
      </c>
      <c r="W174">
        <v>407967.61180000001</v>
      </c>
      <c r="Y174" s="5">
        <v>3.1349999999999998</v>
      </c>
      <c r="Z174">
        <v>11.7479</v>
      </c>
      <c r="AA174">
        <v>0.8861</v>
      </c>
      <c r="AB174">
        <v>0.67649999999999999</v>
      </c>
      <c r="AC174">
        <v>-0.3674</v>
      </c>
      <c r="AD174" t="s">
        <v>33</v>
      </c>
      <c r="AE174">
        <v>13.2835</v>
      </c>
      <c r="AF174">
        <v>10.1191</v>
      </c>
      <c r="AG174">
        <v>6.0019999999999998</v>
      </c>
      <c r="AH174">
        <v>46005.437599999997</v>
      </c>
      <c r="AJ174">
        <v>3.5478000000000001</v>
      </c>
      <c r="AK174">
        <v>29.664100000000001</v>
      </c>
      <c r="AL174">
        <v>0.6784</v>
      </c>
      <c r="AM174">
        <v>26.875499999999999</v>
      </c>
      <c r="AN174">
        <v>0.37819999999999998</v>
      </c>
      <c r="AO174">
        <v>195.11080000000001</v>
      </c>
      <c r="AP174">
        <v>48.812800000000003</v>
      </c>
      <c r="AQ174">
        <v>36.483899999999998</v>
      </c>
      <c r="AR174">
        <v>432.13400000000001</v>
      </c>
      <c r="AS174">
        <v>339156.49469999998</v>
      </c>
      <c r="AU174" s="1">
        <f t="shared" si="16"/>
        <v>44827</v>
      </c>
      <c r="AV174" s="29">
        <f t="shared" si="17"/>
        <v>5.0239589646977567</v>
      </c>
      <c r="AW174" s="30">
        <f t="shared" si="18"/>
        <v>-0.77661545625860007</v>
      </c>
      <c r="AX174">
        <f t="shared" ca="1" si="11"/>
        <v>-0.81415114009847744</v>
      </c>
      <c r="AY174">
        <f t="shared" ca="1" si="12"/>
        <v>-0.8587001567727699</v>
      </c>
      <c r="AZ174">
        <f t="shared" ca="1" si="13"/>
        <v>-0.97192846214724193</v>
      </c>
      <c r="BA174">
        <f t="shared" ca="1" si="14"/>
        <v>-1.0108306344353257</v>
      </c>
      <c r="BB174">
        <f t="shared" ca="1" si="15"/>
        <v>-1.0442575128895102</v>
      </c>
    </row>
    <row r="175" spans="1:54" x14ac:dyDescent="0.25">
      <c r="A175" s="37">
        <v>44834</v>
      </c>
      <c r="B175" s="5">
        <v>3.1339000000000001</v>
      </c>
      <c r="C175">
        <v>8.3983000000000008</v>
      </c>
      <c r="D175">
        <v>0.84240000000000004</v>
      </c>
      <c r="E175">
        <v>42.605499999999999</v>
      </c>
      <c r="F175">
        <v>1.6899</v>
      </c>
      <c r="G175">
        <v>0</v>
      </c>
      <c r="H175">
        <v>25.5444</v>
      </c>
      <c r="I175">
        <v>10.29</v>
      </c>
      <c r="J175">
        <v>194.04499999999999</v>
      </c>
      <c r="K175">
        <v>762208.49419999996</v>
      </c>
      <c r="M175" s="37">
        <v>44834</v>
      </c>
      <c r="N175" s="5">
        <v>5.0849000000000002</v>
      </c>
      <c r="O175">
        <v>12.0801</v>
      </c>
      <c r="P175">
        <v>0.96220000000000006</v>
      </c>
      <c r="Q175">
        <v>42.487400000000001</v>
      </c>
      <c r="R175">
        <v>1.712</v>
      </c>
      <c r="S175" t="s">
        <v>33</v>
      </c>
      <c r="T175">
        <v>38.554900000000004</v>
      </c>
      <c r="U175">
        <v>26.6312</v>
      </c>
      <c r="V175">
        <v>283.45</v>
      </c>
      <c r="W175">
        <v>392194.06329999998</v>
      </c>
      <c r="Y175" s="5">
        <v>1.3994</v>
      </c>
      <c r="Z175">
        <v>17.6098</v>
      </c>
      <c r="AA175">
        <v>2.0343</v>
      </c>
      <c r="AB175">
        <v>0.54759999999999998</v>
      </c>
      <c r="AC175">
        <v>-0.54569999999999996</v>
      </c>
      <c r="AD175" t="s">
        <v>33</v>
      </c>
      <c r="AE175">
        <v>18.026399999999999</v>
      </c>
      <c r="AF175">
        <v>13.604900000000001</v>
      </c>
      <c r="AG175">
        <v>5.7779999999999996</v>
      </c>
      <c r="AH175">
        <v>44289.980600000003</v>
      </c>
      <c r="AJ175">
        <v>3.0943000000000001</v>
      </c>
      <c r="AK175">
        <v>25.887899999999998</v>
      </c>
      <c r="AL175">
        <v>1.1877</v>
      </c>
      <c r="AM175">
        <v>26.342400000000001</v>
      </c>
      <c r="AN175">
        <v>0.33310000000000001</v>
      </c>
      <c r="AO175">
        <v>195.11080000000001</v>
      </c>
      <c r="AP175">
        <v>47.88</v>
      </c>
      <c r="AQ175">
        <v>33.8005</v>
      </c>
      <c r="AR175">
        <v>439.80700000000002</v>
      </c>
      <c r="AS175">
        <v>345178.58309999999</v>
      </c>
      <c r="AU175" s="1">
        <f t="shared" si="16"/>
        <v>44834</v>
      </c>
      <c r="AV175" s="29">
        <f t="shared" si="17"/>
        <v>4.5991929587915754</v>
      </c>
      <c r="AW175" s="30">
        <f t="shared" si="18"/>
        <v>-0.908333480087684</v>
      </c>
      <c r="AX175">
        <f t="shared" ca="1" si="11"/>
        <v>-0.81415114009847744</v>
      </c>
      <c r="AY175">
        <f t="shared" ca="1" si="12"/>
        <v>-0.8587001567727699</v>
      </c>
      <c r="AZ175">
        <f t="shared" ca="1" si="13"/>
        <v>-0.97192846214724193</v>
      </c>
      <c r="BA175">
        <f t="shared" ca="1" si="14"/>
        <v>-1.0108306344353257</v>
      </c>
      <c r="BB175">
        <f t="shared" ca="1" si="15"/>
        <v>-1.0442575128895102</v>
      </c>
    </row>
    <row r="176" spans="1:54" x14ac:dyDescent="0.25">
      <c r="A176" s="37">
        <v>44841</v>
      </c>
      <c r="B176" s="5">
        <v>3.3466999999999998</v>
      </c>
      <c r="C176">
        <v>8.3983000000000008</v>
      </c>
      <c r="D176">
        <v>0.84240000000000004</v>
      </c>
      <c r="E176">
        <v>42.605499999999999</v>
      </c>
      <c r="F176">
        <v>1.6899</v>
      </c>
      <c r="G176">
        <v>0</v>
      </c>
      <c r="H176">
        <v>25.5444</v>
      </c>
      <c r="I176">
        <v>10.29</v>
      </c>
      <c r="J176">
        <v>223.3</v>
      </c>
      <c r="K176">
        <v>876720.15410000004</v>
      </c>
      <c r="M176" s="37">
        <v>44841</v>
      </c>
      <c r="N176" s="5">
        <v>5.2366000000000001</v>
      </c>
      <c r="O176">
        <v>12.0801</v>
      </c>
      <c r="P176">
        <v>0.96220000000000006</v>
      </c>
      <c r="Q176">
        <v>42.487400000000001</v>
      </c>
      <c r="R176">
        <v>1.712</v>
      </c>
      <c r="S176" t="s">
        <v>33</v>
      </c>
      <c r="T176">
        <v>38.554900000000004</v>
      </c>
      <c r="U176">
        <v>26.6312</v>
      </c>
      <c r="V176">
        <v>300</v>
      </c>
      <c r="W176">
        <v>415093.38150000002</v>
      </c>
      <c r="Y176" s="5">
        <v>1.5226</v>
      </c>
      <c r="Z176">
        <v>17.6098</v>
      </c>
      <c r="AA176">
        <v>2.0343</v>
      </c>
      <c r="AB176">
        <v>0.54759999999999998</v>
      </c>
      <c r="AC176">
        <v>-0.54569999999999996</v>
      </c>
      <c r="AD176" t="s">
        <v>33</v>
      </c>
      <c r="AE176">
        <v>18.026399999999999</v>
      </c>
      <c r="AF176">
        <v>13.604900000000001</v>
      </c>
      <c r="AG176">
        <v>6.1449999999999996</v>
      </c>
      <c r="AH176">
        <v>47097.092100000002</v>
      </c>
      <c r="AJ176">
        <v>3.4131</v>
      </c>
      <c r="AK176">
        <v>25.887899999999998</v>
      </c>
      <c r="AL176">
        <v>1.1877</v>
      </c>
      <c r="AM176">
        <v>26.342400000000001</v>
      </c>
      <c r="AN176">
        <v>0.33310000000000001</v>
      </c>
      <c r="AO176">
        <v>195.11080000000001</v>
      </c>
      <c r="AP176">
        <v>47.88</v>
      </c>
      <c r="AQ176">
        <v>33.8005</v>
      </c>
      <c r="AR176">
        <v>490.59199999999998</v>
      </c>
      <c r="AS176">
        <v>385037.28120000003</v>
      </c>
      <c r="AU176" s="1">
        <f t="shared" si="16"/>
        <v>44841</v>
      </c>
      <c r="AV176" s="29">
        <f t="shared" si="17"/>
        <v>4.8499713004291287</v>
      </c>
      <c r="AW176" s="30">
        <f t="shared" si="18"/>
        <v>-0.830568246711336</v>
      </c>
      <c r="AX176">
        <f t="shared" ca="1" si="11"/>
        <v>-0.81415114009847744</v>
      </c>
      <c r="AY176">
        <f t="shared" ca="1" si="12"/>
        <v>-0.8587001567727699</v>
      </c>
      <c r="AZ176">
        <f t="shared" ca="1" si="13"/>
        <v>-0.9619531499217624</v>
      </c>
      <c r="BA176">
        <f t="shared" ca="1" si="14"/>
        <v>-1.0108306344353257</v>
      </c>
      <c r="BB176">
        <f t="shared" ca="1" si="15"/>
        <v>-1.0442575128895102</v>
      </c>
    </row>
    <row r="177" spans="1:54" x14ac:dyDescent="0.25">
      <c r="A177" s="37">
        <v>44848</v>
      </c>
      <c r="B177" s="5">
        <v>3.2524999999999999</v>
      </c>
      <c r="C177">
        <v>8.3983000000000008</v>
      </c>
      <c r="D177">
        <v>0.84240000000000004</v>
      </c>
      <c r="E177">
        <v>42.605499999999999</v>
      </c>
      <c r="F177">
        <v>1.6899</v>
      </c>
      <c r="G177">
        <v>0</v>
      </c>
      <c r="H177">
        <v>25.5444</v>
      </c>
      <c r="I177">
        <v>10.29</v>
      </c>
      <c r="J177">
        <v>210.5</v>
      </c>
      <c r="K177">
        <v>826020.65659999999</v>
      </c>
      <c r="M177" s="37">
        <v>44848</v>
      </c>
      <c r="N177" s="5">
        <v>4.9077999999999999</v>
      </c>
      <c r="O177">
        <v>12.0801</v>
      </c>
      <c r="P177">
        <v>0.96220000000000006</v>
      </c>
      <c r="Q177">
        <v>42.487400000000001</v>
      </c>
      <c r="R177">
        <v>1.712</v>
      </c>
      <c r="S177" t="s">
        <v>33</v>
      </c>
      <c r="T177">
        <v>38.554900000000004</v>
      </c>
      <c r="U177">
        <v>26.6312</v>
      </c>
      <c r="V177">
        <v>280.95</v>
      </c>
      <c r="W177">
        <v>388734.95179999998</v>
      </c>
      <c r="Y177" s="5">
        <v>1.3720000000000001</v>
      </c>
      <c r="Z177">
        <v>17.6098</v>
      </c>
      <c r="AA177">
        <v>2.0343</v>
      </c>
      <c r="AB177">
        <v>0.54759999999999998</v>
      </c>
      <c r="AC177">
        <v>-0.54569999999999996</v>
      </c>
      <c r="AD177" t="s">
        <v>33</v>
      </c>
      <c r="AE177">
        <v>18.026399999999999</v>
      </c>
      <c r="AF177">
        <v>13.604900000000001</v>
      </c>
      <c r="AG177">
        <v>5.6970000000000001</v>
      </c>
      <c r="AH177">
        <v>43666.178099999997</v>
      </c>
      <c r="AJ177">
        <v>3.1991000000000001</v>
      </c>
      <c r="AK177">
        <v>25.887899999999998</v>
      </c>
      <c r="AL177">
        <v>1.1877</v>
      </c>
      <c r="AM177">
        <v>26.342400000000001</v>
      </c>
      <c r="AN177">
        <v>0.33310000000000001</v>
      </c>
      <c r="AO177">
        <v>195.11080000000001</v>
      </c>
      <c r="AP177">
        <v>47.88</v>
      </c>
      <c r="AQ177">
        <v>33.8005</v>
      </c>
      <c r="AR177">
        <v>456.49599999999998</v>
      </c>
      <c r="AS177">
        <v>358276.62560000003</v>
      </c>
      <c r="AU177" s="1">
        <f t="shared" si="16"/>
        <v>44848</v>
      </c>
      <c r="AV177" s="29">
        <f t="shared" si="17"/>
        <v>4.6093753251670204</v>
      </c>
      <c r="AW177" s="30">
        <f t="shared" si="18"/>
        <v>-0.90517597417094742</v>
      </c>
      <c r="AX177">
        <f t="shared" ca="1" si="11"/>
        <v>-0.81415114009847744</v>
      </c>
      <c r="AY177">
        <f t="shared" ca="1" si="12"/>
        <v>-0.85371819942680272</v>
      </c>
      <c r="AZ177">
        <f t="shared" ca="1" si="13"/>
        <v>-0.95124692518065235</v>
      </c>
      <c r="BA177">
        <f t="shared" ca="1" si="14"/>
        <v>-1.0108306344353257</v>
      </c>
      <c r="BB177">
        <f t="shared" ca="1" si="15"/>
        <v>-1.0442575128895102</v>
      </c>
    </row>
    <row r="178" spans="1:54" x14ac:dyDescent="0.25">
      <c r="A178" s="37">
        <v>44855</v>
      </c>
      <c r="B178" s="5">
        <v>3.3144</v>
      </c>
      <c r="C178">
        <v>8.3983000000000008</v>
      </c>
      <c r="D178">
        <v>0.84240000000000004</v>
      </c>
      <c r="E178">
        <v>42.605499999999999</v>
      </c>
      <c r="F178">
        <v>1.6899</v>
      </c>
      <c r="G178">
        <v>0</v>
      </c>
      <c r="H178">
        <v>25.5444</v>
      </c>
      <c r="I178">
        <v>10.29</v>
      </c>
      <c r="J178">
        <v>219.08</v>
      </c>
      <c r="K178">
        <v>859305.94709999999</v>
      </c>
      <c r="M178" s="37">
        <v>44855</v>
      </c>
      <c r="N178" s="5">
        <v>4.9150999999999998</v>
      </c>
      <c r="O178">
        <v>12.0801</v>
      </c>
      <c r="P178">
        <v>0.96220000000000006</v>
      </c>
      <c r="Q178">
        <v>42.487400000000001</v>
      </c>
      <c r="R178">
        <v>1.712</v>
      </c>
      <c r="S178" t="s">
        <v>33</v>
      </c>
      <c r="T178">
        <v>38.554900000000004</v>
      </c>
      <c r="U178">
        <v>26.6312</v>
      </c>
      <c r="V178">
        <v>287.05</v>
      </c>
      <c r="W178">
        <v>397175.1839</v>
      </c>
      <c r="Y178" s="5">
        <v>1.3376999999999999</v>
      </c>
      <c r="Z178">
        <v>17.6098</v>
      </c>
      <c r="AA178">
        <v>2.0343</v>
      </c>
      <c r="AB178">
        <v>0.54759999999999998</v>
      </c>
      <c r="AC178">
        <v>-0.54569999999999996</v>
      </c>
      <c r="AD178" t="s">
        <v>33</v>
      </c>
      <c r="AE178">
        <v>18.026399999999999</v>
      </c>
      <c r="AF178">
        <v>13.604900000000001</v>
      </c>
      <c r="AG178">
        <v>5.5949999999999998</v>
      </c>
      <c r="AH178">
        <v>42886.424899999998</v>
      </c>
      <c r="AJ178">
        <v>3.2902999999999998</v>
      </c>
      <c r="AK178">
        <v>25.887899999999998</v>
      </c>
      <c r="AL178">
        <v>1.1877</v>
      </c>
      <c r="AM178">
        <v>26.342400000000001</v>
      </c>
      <c r="AN178">
        <v>0.33310000000000001</v>
      </c>
      <c r="AO178">
        <v>195.11080000000001</v>
      </c>
      <c r="AP178">
        <v>47.88</v>
      </c>
      <c r="AQ178">
        <v>33.8005</v>
      </c>
      <c r="AR178">
        <v>471.02600000000001</v>
      </c>
      <c r="AS178">
        <v>369680.95559999999</v>
      </c>
      <c r="AU178" s="1">
        <f t="shared" si="16"/>
        <v>44855</v>
      </c>
      <c r="AV178" s="29">
        <f t="shared" si="17"/>
        <v>4.6745586102058994</v>
      </c>
      <c r="AW178" s="30">
        <f t="shared" si="18"/>
        <v>-0.88496293128939119</v>
      </c>
      <c r="AX178">
        <f t="shared" ca="1" si="11"/>
        <v>-0.81415114009847744</v>
      </c>
      <c r="AY178">
        <f t="shared" ca="1" si="12"/>
        <v>-0.85371819942680272</v>
      </c>
      <c r="AZ178">
        <f t="shared" ca="1" si="13"/>
        <v>-0.95124692518065235</v>
      </c>
      <c r="BA178">
        <f t="shared" ca="1" si="14"/>
        <v>-1.0108306344353257</v>
      </c>
      <c r="BB178">
        <f t="shared" ca="1" si="15"/>
        <v>-1.0442575128895102</v>
      </c>
    </row>
    <row r="179" spans="1:54" x14ac:dyDescent="0.25">
      <c r="A179" s="37">
        <v>44862</v>
      </c>
      <c r="B179" s="5">
        <v>3.4337</v>
      </c>
      <c r="C179">
        <v>8.3983000000000008</v>
      </c>
      <c r="D179">
        <v>0.84240000000000004</v>
      </c>
      <c r="E179">
        <v>42.605499999999999</v>
      </c>
      <c r="F179">
        <v>1.6899</v>
      </c>
      <c r="G179">
        <v>0</v>
      </c>
      <c r="H179">
        <v>25.5444</v>
      </c>
      <c r="I179">
        <v>10.29</v>
      </c>
      <c r="J179">
        <v>235.45500000000001</v>
      </c>
      <c r="K179">
        <v>923534.24210000003</v>
      </c>
      <c r="M179" s="37">
        <v>44862</v>
      </c>
      <c r="N179" s="5">
        <v>5.1589</v>
      </c>
      <c r="O179">
        <v>12.0801</v>
      </c>
      <c r="P179">
        <v>0.96220000000000006</v>
      </c>
      <c r="Q179">
        <v>42.487400000000001</v>
      </c>
      <c r="R179">
        <v>1.712</v>
      </c>
      <c r="S179" t="s">
        <v>33</v>
      </c>
      <c r="T179">
        <v>38.554900000000004</v>
      </c>
      <c r="U179">
        <v>26.6312</v>
      </c>
      <c r="V179">
        <v>312.05</v>
      </c>
      <c r="W179">
        <v>431766.299</v>
      </c>
      <c r="Y179" s="5">
        <v>1.4473</v>
      </c>
      <c r="Z179">
        <v>17.6098</v>
      </c>
      <c r="AA179">
        <v>2.0343</v>
      </c>
      <c r="AB179">
        <v>0.54759999999999998</v>
      </c>
      <c r="AC179">
        <v>-0.54569999999999996</v>
      </c>
      <c r="AD179" t="s">
        <v>33</v>
      </c>
      <c r="AE179">
        <v>18.026399999999999</v>
      </c>
      <c r="AF179">
        <v>13.604900000000001</v>
      </c>
      <c r="AG179">
        <v>5.9210000000000003</v>
      </c>
      <c r="AH179">
        <v>45381.6351</v>
      </c>
      <c r="AJ179">
        <v>3.4821</v>
      </c>
      <c r="AK179">
        <v>25.887899999999998</v>
      </c>
      <c r="AL179">
        <v>1.1877</v>
      </c>
      <c r="AM179">
        <v>26.342400000000001</v>
      </c>
      <c r="AN179">
        <v>0.33310000000000001</v>
      </c>
      <c r="AO179">
        <v>195.11080000000001</v>
      </c>
      <c r="AP179">
        <v>47.88</v>
      </c>
      <c r="AQ179">
        <v>33.8005</v>
      </c>
      <c r="AR179">
        <v>501.57400000000001</v>
      </c>
      <c r="AS179">
        <v>393656.39529999997</v>
      </c>
      <c r="AU179" s="1">
        <f t="shared" si="16"/>
        <v>44862</v>
      </c>
      <c r="AV179" s="29">
        <f t="shared" si="17"/>
        <v>4.8797725691829426</v>
      </c>
      <c r="AW179" s="30">
        <f t="shared" si="18"/>
        <v>-0.82132700759786803</v>
      </c>
      <c r="AX179">
        <f t="shared" ca="1" si="11"/>
        <v>-0.81415114009847744</v>
      </c>
      <c r="AY179">
        <f t="shared" ca="1" si="12"/>
        <v>-0.8587001567727699</v>
      </c>
      <c r="AZ179">
        <f t="shared" ca="1" si="13"/>
        <v>-0.95124692518065235</v>
      </c>
      <c r="BA179">
        <f t="shared" ca="1" si="14"/>
        <v>-1.0108306344353257</v>
      </c>
      <c r="BB179">
        <f t="shared" ca="1" si="15"/>
        <v>-1.0442575128895102</v>
      </c>
    </row>
    <row r="180" spans="1:54" x14ac:dyDescent="0.25">
      <c r="A180" s="37">
        <v>44869</v>
      </c>
      <c r="B180" s="5">
        <v>3.5137</v>
      </c>
      <c r="C180">
        <v>8.3983000000000008</v>
      </c>
      <c r="D180">
        <v>0.84240000000000004</v>
      </c>
      <c r="E180">
        <v>42.605499999999999</v>
      </c>
      <c r="F180">
        <v>1.6899</v>
      </c>
      <c r="G180">
        <v>0</v>
      </c>
      <c r="H180">
        <v>25.5444</v>
      </c>
      <c r="I180">
        <v>10.29</v>
      </c>
      <c r="J180">
        <v>246.965</v>
      </c>
      <c r="K180">
        <v>966558.19449999998</v>
      </c>
      <c r="M180" s="37">
        <v>44869</v>
      </c>
      <c r="N180" s="5">
        <v>5.1383000000000001</v>
      </c>
      <c r="O180">
        <v>12.0801</v>
      </c>
      <c r="P180">
        <v>0.96220000000000006</v>
      </c>
      <c r="Q180">
        <v>42.487400000000001</v>
      </c>
      <c r="R180">
        <v>1.712</v>
      </c>
      <c r="S180" t="s">
        <v>33</v>
      </c>
      <c r="T180">
        <v>38.554900000000004</v>
      </c>
      <c r="U180">
        <v>26.6312</v>
      </c>
      <c r="V180">
        <v>316.45</v>
      </c>
      <c r="W180">
        <v>437854.33529999998</v>
      </c>
      <c r="Y180" s="5">
        <v>1.4541999999999999</v>
      </c>
      <c r="Z180">
        <v>17.6098</v>
      </c>
      <c r="AA180">
        <v>2.0343</v>
      </c>
      <c r="AB180">
        <v>0.54759999999999998</v>
      </c>
      <c r="AC180">
        <v>-0.54569999999999996</v>
      </c>
      <c r="AD180" t="s">
        <v>33</v>
      </c>
      <c r="AE180">
        <v>18.026399999999999</v>
      </c>
      <c r="AF180">
        <v>13.604900000000001</v>
      </c>
      <c r="AG180">
        <v>5.9409999999999998</v>
      </c>
      <c r="AH180">
        <v>45537.585700000003</v>
      </c>
      <c r="AJ180">
        <v>3.7972999999999999</v>
      </c>
      <c r="AK180">
        <v>25.887899999999998</v>
      </c>
      <c r="AL180">
        <v>1.1877</v>
      </c>
      <c r="AM180">
        <v>26.342400000000001</v>
      </c>
      <c r="AN180">
        <v>0.33310000000000001</v>
      </c>
      <c r="AO180">
        <v>195.11080000000001</v>
      </c>
      <c r="AP180">
        <v>47.88</v>
      </c>
      <c r="AQ180">
        <v>33.8005</v>
      </c>
      <c r="AR180">
        <v>551.78499999999997</v>
      </c>
      <c r="AS180">
        <v>433063.43670000002</v>
      </c>
      <c r="AU180" s="1">
        <f t="shared" si="16"/>
        <v>44869</v>
      </c>
      <c r="AV180" s="29">
        <f t="shared" si="17"/>
        <v>5.0737711082257508</v>
      </c>
      <c r="AW180" s="30">
        <f t="shared" si="18"/>
        <v>-0.76116893507524708</v>
      </c>
      <c r="AX180">
        <f t="shared" ca="1" si="11"/>
        <v>-0.81415114009847744</v>
      </c>
      <c r="AY180">
        <f t="shared" ca="1" si="12"/>
        <v>-0.85371819942680272</v>
      </c>
      <c r="AZ180">
        <f t="shared" ca="1" si="13"/>
        <v>-0.95124692518065235</v>
      </c>
      <c r="BA180">
        <f t="shared" ca="1" si="14"/>
        <v>-1.0108306344353257</v>
      </c>
      <c r="BB180">
        <f t="shared" ca="1" si="15"/>
        <v>-1.0442575128895102</v>
      </c>
    </row>
    <row r="181" spans="1:54" x14ac:dyDescent="0.25">
      <c r="A181" s="37">
        <v>44876</v>
      </c>
      <c r="B181" s="5">
        <v>3.4561000000000002</v>
      </c>
      <c r="C181">
        <v>8.3983000000000008</v>
      </c>
      <c r="D181">
        <v>0.84240000000000004</v>
      </c>
      <c r="E181">
        <v>42.605499999999999</v>
      </c>
      <c r="F181">
        <v>1.6899</v>
      </c>
      <c r="G181">
        <v>0</v>
      </c>
      <c r="H181">
        <v>25.5444</v>
      </c>
      <c r="I181">
        <v>10.29</v>
      </c>
      <c r="J181">
        <v>239.04499999999999</v>
      </c>
      <c r="K181">
        <v>935561.32889999996</v>
      </c>
      <c r="M181" s="37">
        <v>44876</v>
      </c>
      <c r="N181" s="5">
        <v>5.1186999999999996</v>
      </c>
      <c r="O181">
        <v>12.0801</v>
      </c>
      <c r="P181">
        <v>0.96220000000000006</v>
      </c>
      <c r="Q181">
        <v>42.487400000000001</v>
      </c>
      <c r="R181">
        <v>1.712</v>
      </c>
      <c r="S181" t="s">
        <v>33</v>
      </c>
      <c r="T181">
        <v>38.554900000000004</v>
      </c>
      <c r="U181">
        <v>26.6312</v>
      </c>
      <c r="V181">
        <v>321.2</v>
      </c>
      <c r="W181">
        <v>444426.6471</v>
      </c>
      <c r="Y181" s="5">
        <v>1.5088999999999999</v>
      </c>
      <c r="Z181">
        <v>17.6098</v>
      </c>
      <c r="AA181">
        <v>2.0343</v>
      </c>
      <c r="AB181">
        <v>0.54759999999999998</v>
      </c>
      <c r="AC181">
        <v>-0.54569999999999996</v>
      </c>
      <c r="AD181" t="s">
        <v>33</v>
      </c>
      <c r="AE181">
        <v>18.026399999999999</v>
      </c>
      <c r="AF181">
        <v>13.604900000000001</v>
      </c>
      <c r="AG181">
        <v>6.1040000000000001</v>
      </c>
      <c r="AH181">
        <v>46785.190799999997</v>
      </c>
      <c r="AJ181">
        <v>3.5253999999999999</v>
      </c>
      <c r="AK181">
        <v>25.887899999999998</v>
      </c>
      <c r="AL181">
        <v>1.1877</v>
      </c>
      <c r="AM181">
        <v>26.342400000000001</v>
      </c>
      <c r="AN181">
        <v>0.33310000000000001</v>
      </c>
      <c r="AO181">
        <v>195.11080000000001</v>
      </c>
      <c r="AP181">
        <v>47.88</v>
      </c>
      <c r="AQ181">
        <v>33.8005</v>
      </c>
      <c r="AR181">
        <v>508.48</v>
      </c>
      <c r="AS181">
        <v>399076.27490000002</v>
      </c>
      <c r="AU181" s="1">
        <f t="shared" si="16"/>
        <v>44876</v>
      </c>
      <c r="AV181" s="29">
        <f t="shared" si="17"/>
        <v>4.8962077671536992</v>
      </c>
      <c r="AW181" s="30">
        <f t="shared" si="18"/>
        <v>-0.81623052678761698</v>
      </c>
      <c r="AX181">
        <f t="shared" ca="1" si="11"/>
        <v>-0.79658929561031566</v>
      </c>
      <c r="AY181">
        <f t="shared" ca="1" si="12"/>
        <v>-0.85371819942680272</v>
      </c>
      <c r="AZ181">
        <f t="shared" ca="1" si="13"/>
        <v>-0.95124692518065235</v>
      </c>
      <c r="BA181">
        <f t="shared" ca="1" si="14"/>
        <v>-1.0108306344353257</v>
      </c>
      <c r="BB181">
        <f t="shared" ca="1" si="15"/>
        <v>-1.0442575128895102</v>
      </c>
    </row>
    <row r="182" spans="1:54" x14ac:dyDescent="0.25">
      <c r="A182" s="37">
        <v>44883</v>
      </c>
      <c r="B182" s="5">
        <v>3.52</v>
      </c>
      <c r="C182">
        <v>8.3983000000000008</v>
      </c>
      <c r="D182">
        <v>0.84240000000000004</v>
      </c>
      <c r="E182">
        <v>42.605499999999999</v>
      </c>
      <c r="F182">
        <v>1.6899</v>
      </c>
      <c r="G182">
        <v>0</v>
      </c>
      <c r="H182">
        <v>25.5444</v>
      </c>
      <c r="I182">
        <v>10.29</v>
      </c>
      <c r="J182">
        <v>248.06</v>
      </c>
      <c r="K182">
        <v>969953.21550000005</v>
      </c>
      <c r="M182" s="37">
        <v>44883</v>
      </c>
      <c r="N182" s="5">
        <v>5.3949999999999996</v>
      </c>
      <c r="O182">
        <v>12.0801</v>
      </c>
      <c r="P182">
        <v>0.96220000000000006</v>
      </c>
      <c r="Q182">
        <v>42.487400000000001</v>
      </c>
      <c r="R182">
        <v>1.712</v>
      </c>
      <c r="S182" t="s">
        <v>33</v>
      </c>
      <c r="T182">
        <v>38.554900000000004</v>
      </c>
      <c r="U182">
        <v>26.6312</v>
      </c>
      <c r="V182">
        <v>350.75</v>
      </c>
      <c r="W182">
        <v>485313.34519999998</v>
      </c>
      <c r="Y182" s="5">
        <v>1.7076</v>
      </c>
      <c r="Z182">
        <v>17.6098</v>
      </c>
      <c r="AA182">
        <v>2.0343</v>
      </c>
      <c r="AB182">
        <v>0.54759999999999998</v>
      </c>
      <c r="AC182">
        <v>-0.54569999999999996</v>
      </c>
      <c r="AD182" t="s">
        <v>33</v>
      </c>
      <c r="AE182">
        <v>18.026399999999999</v>
      </c>
      <c r="AF182">
        <v>13.604900000000001</v>
      </c>
      <c r="AG182">
        <v>6.694</v>
      </c>
      <c r="AH182">
        <v>51307.7592</v>
      </c>
      <c r="AJ182">
        <v>3.8014999999999999</v>
      </c>
      <c r="AK182">
        <v>25.887899999999998</v>
      </c>
      <c r="AL182">
        <v>1.1877</v>
      </c>
      <c r="AM182">
        <v>26.342400000000001</v>
      </c>
      <c r="AN182">
        <v>0.33310000000000001</v>
      </c>
      <c r="AO182">
        <v>195.11080000000001</v>
      </c>
      <c r="AP182">
        <v>47.88</v>
      </c>
      <c r="AQ182">
        <v>33.8005</v>
      </c>
      <c r="AR182">
        <v>552.45600000000002</v>
      </c>
      <c r="AS182">
        <v>433590.36940000003</v>
      </c>
      <c r="AU182" s="1">
        <f t="shared" si="16"/>
        <v>44883</v>
      </c>
      <c r="AV182" s="29">
        <f t="shared" si="17"/>
        <v>5.1563388756776725</v>
      </c>
      <c r="AW182" s="30">
        <f t="shared" si="18"/>
        <v>-0.73556504255671862</v>
      </c>
      <c r="AX182">
        <f t="shared" ca="1" si="11"/>
        <v>-0.79658929561031566</v>
      </c>
      <c r="AY182">
        <f t="shared" ca="1" si="12"/>
        <v>-0.85371819942680272</v>
      </c>
      <c r="AZ182">
        <f t="shared" ca="1" si="13"/>
        <v>-0.95124692518065235</v>
      </c>
      <c r="BA182">
        <f t="shared" ca="1" si="14"/>
        <v>-1.0108306344353257</v>
      </c>
      <c r="BB182">
        <f t="shared" ca="1" si="15"/>
        <v>-1.0442575128895102</v>
      </c>
    </row>
    <row r="183" spans="1:54" x14ac:dyDescent="0.25">
      <c r="A183" s="37">
        <v>44890</v>
      </c>
      <c r="B183" s="5">
        <v>3.6652999999999998</v>
      </c>
      <c r="C183">
        <v>8.3983000000000008</v>
      </c>
      <c r="D183">
        <v>0.84240000000000004</v>
      </c>
      <c r="E183">
        <v>42.605499999999999</v>
      </c>
      <c r="F183">
        <v>1.6899</v>
      </c>
      <c r="G183">
        <v>0</v>
      </c>
      <c r="H183">
        <v>25.5444</v>
      </c>
      <c r="I183">
        <v>10.29</v>
      </c>
      <c r="J183">
        <v>268.06</v>
      </c>
      <c r="K183">
        <v>1048156.3289</v>
      </c>
      <c r="M183" s="37">
        <v>44890</v>
      </c>
      <c r="N183" s="5">
        <v>5.3867000000000003</v>
      </c>
      <c r="O183">
        <v>12.0801</v>
      </c>
      <c r="P183">
        <v>0.96220000000000006</v>
      </c>
      <c r="Q183">
        <v>42.487400000000001</v>
      </c>
      <c r="R183">
        <v>1.712</v>
      </c>
      <c r="S183" t="s">
        <v>33</v>
      </c>
      <c r="T183">
        <v>38.554900000000004</v>
      </c>
      <c r="U183">
        <v>26.6312</v>
      </c>
      <c r="V183">
        <v>356.75</v>
      </c>
      <c r="W183">
        <v>493615.21279999998</v>
      </c>
      <c r="Y183" s="5">
        <v>1.9883999999999999</v>
      </c>
      <c r="Z183">
        <v>17.6098</v>
      </c>
      <c r="AA183">
        <v>2.0343</v>
      </c>
      <c r="AB183">
        <v>0.54759999999999998</v>
      </c>
      <c r="AC183">
        <v>-0.54569999999999996</v>
      </c>
      <c r="AD183" t="s">
        <v>33</v>
      </c>
      <c r="AE183">
        <v>18.026399999999999</v>
      </c>
      <c r="AF183">
        <v>13.604900000000001</v>
      </c>
      <c r="AG183">
        <v>7.5279999999999996</v>
      </c>
      <c r="AH183">
        <v>57701.7353</v>
      </c>
      <c r="AJ183">
        <v>3.9578000000000002</v>
      </c>
      <c r="AK183">
        <v>25.887899999999998</v>
      </c>
      <c r="AL183">
        <v>1.1877</v>
      </c>
      <c r="AM183">
        <v>26.342400000000001</v>
      </c>
      <c r="AN183">
        <v>0.33310000000000001</v>
      </c>
      <c r="AO183">
        <v>195.11080000000001</v>
      </c>
      <c r="AP183">
        <v>47.88</v>
      </c>
      <c r="AQ183">
        <v>33.8005</v>
      </c>
      <c r="AR183">
        <v>577.34500000000003</v>
      </c>
      <c r="AS183">
        <v>453124.51890000002</v>
      </c>
      <c r="AU183" s="1">
        <f t="shared" si="16"/>
        <v>44890</v>
      </c>
      <c r="AV183" s="29">
        <f t="shared" si="17"/>
        <v>5.2572774621478535</v>
      </c>
      <c r="AW183" s="30">
        <f t="shared" si="18"/>
        <v>-0.70426444186578219</v>
      </c>
      <c r="AX183">
        <f t="shared" ca="1" si="11"/>
        <v>-0.78022142999493904</v>
      </c>
      <c r="AY183">
        <f t="shared" ca="1" si="12"/>
        <v>-0.84704176447275292</v>
      </c>
      <c r="AZ183">
        <f t="shared" ca="1" si="13"/>
        <v>-0.95124692518065235</v>
      </c>
      <c r="BA183">
        <f t="shared" ca="1" si="14"/>
        <v>-1.0108306344353257</v>
      </c>
      <c r="BB183">
        <f t="shared" ca="1" si="15"/>
        <v>-1.0442575128895102</v>
      </c>
    </row>
    <row r="184" spans="1:54" x14ac:dyDescent="0.25">
      <c r="A184" s="37">
        <v>44897</v>
      </c>
      <c r="B184" s="5">
        <v>3.7023999999999999</v>
      </c>
      <c r="C184">
        <v>8.3983000000000008</v>
      </c>
      <c r="D184">
        <v>0.84240000000000004</v>
      </c>
      <c r="E184">
        <v>42.605499999999999</v>
      </c>
      <c r="F184">
        <v>1.6899</v>
      </c>
      <c r="G184">
        <v>0</v>
      </c>
      <c r="H184">
        <v>25.5444</v>
      </c>
      <c r="I184">
        <v>10.29</v>
      </c>
      <c r="J184">
        <v>273.16500000000002</v>
      </c>
      <c r="K184">
        <v>1068117.6736000001</v>
      </c>
      <c r="M184" s="37">
        <v>44897</v>
      </c>
      <c r="N184" s="5">
        <v>5.5483000000000002</v>
      </c>
      <c r="O184">
        <v>12.0801</v>
      </c>
      <c r="P184">
        <v>0.96220000000000006</v>
      </c>
      <c r="Q184">
        <v>42.487400000000001</v>
      </c>
      <c r="R184">
        <v>1.712</v>
      </c>
      <c r="S184" t="s">
        <v>33</v>
      </c>
      <c r="T184">
        <v>38.554900000000004</v>
      </c>
      <c r="U184">
        <v>26.6312</v>
      </c>
      <c r="V184">
        <v>377.6</v>
      </c>
      <c r="W184">
        <v>522464.20280000003</v>
      </c>
      <c r="Y184" s="5">
        <v>1.9061999999999999</v>
      </c>
      <c r="Z184">
        <v>17.6098</v>
      </c>
      <c r="AA184">
        <v>2.0343</v>
      </c>
      <c r="AB184">
        <v>0.54759999999999998</v>
      </c>
      <c r="AC184">
        <v>-0.54569999999999996</v>
      </c>
      <c r="AD184" t="s">
        <v>33</v>
      </c>
      <c r="AE184">
        <v>18.026399999999999</v>
      </c>
      <c r="AF184">
        <v>13.604900000000001</v>
      </c>
      <c r="AG184">
        <v>7.2839999999999998</v>
      </c>
      <c r="AH184">
        <v>55830.327700000002</v>
      </c>
      <c r="AJ184">
        <v>4.2107000000000001</v>
      </c>
      <c r="AK184">
        <v>25.887899999999998</v>
      </c>
      <c r="AL184">
        <v>1.1877</v>
      </c>
      <c r="AM184">
        <v>26.342400000000001</v>
      </c>
      <c r="AN184">
        <v>0.33310000000000001</v>
      </c>
      <c r="AO184">
        <v>195.11080000000001</v>
      </c>
      <c r="AP184">
        <v>47.88</v>
      </c>
      <c r="AQ184">
        <v>33.8005</v>
      </c>
      <c r="AR184">
        <v>617.62900000000002</v>
      </c>
      <c r="AS184">
        <v>484740.48330000002</v>
      </c>
      <c r="AU184" s="1">
        <f t="shared" si="16"/>
        <v>44897</v>
      </c>
      <c r="AV184" s="29">
        <f t="shared" si="17"/>
        <v>5.4669830024402755</v>
      </c>
      <c r="AW184" s="30">
        <f t="shared" si="18"/>
        <v>-0.63923569905384192</v>
      </c>
      <c r="AX184">
        <f t="shared" ca="1" si="11"/>
        <v>-0.77681552896626516</v>
      </c>
      <c r="AY184">
        <f t="shared" ca="1" si="12"/>
        <v>-0.84205075034999877</v>
      </c>
      <c r="AZ184">
        <f t="shared" ca="1" si="13"/>
        <v>-0.94391250874053201</v>
      </c>
      <c r="BA184">
        <f t="shared" ca="1" si="14"/>
        <v>-1.0108306344353257</v>
      </c>
      <c r="BB184">
        <f t="shared" ca="1" si="15"/>
        <v>-1.0442575128895102</v>
      </c>
    </row>
    <row r="185" spans="1:54" x14ac:dyDescent="0.25">
      <c r="A185" s="37">
        <v>44904</v>
      </c>
      <c r="B185" s="5">
        <v>3.6423999999999999</v>
      </c>
      <c r="C185">
        <v>8.3983000000000008</v>
      </c>
      <c r="D185">
        <v>0.84240000000000004</v>
      </c>
      <c r="E185">
        <v>42.605499999999999</v>
      </c>
      <c r="F185">
        <v>1.6899</v>
      </c>
      <c r="G185">
        <v>0</v>
      </c>
      <c r="H185">
        <v>25.5444</v>
      </c>
      <c r="I185">
        <v>10.29</v>
      </c>
      <c r="J185">
        <v>264.91000000000003</v>
      </c>
      <c r="K185">
        <v>1035839.3385</v>
      </c>
      <c r="M185" s="37">
        <v>44904</v>
      </c>
      <c r="N185" s="5">
        <v>5.4671000000000003</v>
      </c>
      <c r="O185">
        <v>12.0801</v>
      </c>
      <c r="P185">
        <v>0.96220000000000006</v>
      </c>
      <c r="Q185">
        <v>42.487400000000001</v>
      </c>
      <c r="R185">
        <v>1.712</v>
      </c>
      <c r="S185" t="s">
        <v>33</v>
      </c>
      <c r="T185">
        <v>38.554900000000004</v>
      </c>
      <c r="U185">
        <v>26.6312</v>
      </c>
      <c r="V185">
        <v>375.65</v>
      </c>
      <c r="W185">
        <v>519766.09590000001</v>
      </c>
      <c r="Y185" s="5">
        <v>2.0363000000000002</v>
      </c>
      <c r="Z185">
        <v>17.6098</v>
      </c>
      <c r="AA185">
        <v>2.0343</v>
      </c>
      <c r="AB185">
        <v>0.54759999999999998</v>
      </c>
      <c r="AC185">
        <v>-0.54569999999999996</v>
      </c>
      <c r="AD185" t="s">
        <v>33</v>
      </c>
      <c r="AE185">
        <v>18.026399999999999</v>
      </c>
      <c r="AF185">
        <v>13.604900000000001</v>
      </c>
      <c r="AG185">
        <v>7.6710000000000003</v>
      </c>
      <c r="AH185">
        <v>58793.389799999997</v>
      </c>
      <c r="AJ185">
        <v>4.2241999999999997</v>
      </c>
      <c r="AK185">
        <v>25.887899999999998</v>
      </c>
      <c r="AL185">
        <v>1.1877</v>
      </c>
      <c r="AM185">
        <v>26.342400000000001</v>
      </c>
      <c r="AN185">
        <v>0.33310000000000001</v>
      </c>
      <c r="AO185">
        <v>195.11080000000001</v>
      </c>
      <c r="AP185">
        <v>47.88</v>
      </c>
      <c r="AQ185">
        <v>33.8005</v>
      </c>
      <c r="AR185">
        <v>619.78700000000003</v>
      </c>
      <c r="AS185">
        <v>486434.19569999998</v>
      </c>
      <c r="AU185" s="1">
        <f t="shared" si="16"/>
        <v>44904</v>
      </c>
      <c r="AV185" s="29">
        <f t="shared" si="17"/>
        <v>5.4441756317112722</v>
      </c>
      <c r="AW185" s="30">
        <f t="shared" si="18"/>
        <v>-0.64630816191431184</v>
      </c>
      <c r="AX185">
        <f t="shared" ca="1" si="11"/>
        <v>-0.7627135871935824</v>
      </c>
      <c r="AY185">
        <f t="shared" ca="1" si="12"/>
        <v>-0.82825793693296901</v>
      </c>
      <c r="AZ185">
        <f t="shared" ca="1" si="13"/>
        <v>-0.94391250874053201</v>
      </c>
      <c r="BA185">
        <f t="shared" ca="1" si="14"/>
        <v>-1.0108306344353257</v>
      </c>
      <c r="BB185">
        <f t="shared" ca="1" si="15"/>
        <v>-1.0442575128895102</v>
      </c>
    </row>
    <row r="186" spans="1:54" x14ac:dyDescent="0.25">
      <c r="A186" s="37">
        <v>44911</v>
      </c>
      <c r="B186" s="5">
        <v>3.5204</v>
      </c>
      <c r="C186">
        <v>8.3983000000000008</v>
      </c>
      <c r="D186">
        <v>0.84240000000000004</v>
      </c>
      <c r="E186">
        <v>42.605499999999999</v>
      </c>
      <c r="F186">
        <v>1.6899</v>
      </c>
      <c r="G186">
        <v>0</v>
      </c>
      <c r="H186">
        <v>25.5444</v>
      </c>
      <c r="I186">
        <v>10.29</v>
      </c>
      <c r="J186">
        <v>248.12</v>
      </c>
      <c r="K186">
        <v>970187.82479999994</v>
      </c>
      <c r="M186" s="37">
        <v>44911</v>
      </c>
      <c r="N186" s="5">
        <v>5.0453999999999999</v>
      </c>
      <c r="O186">
        <v>12.0801</v>
      </c>
      <c r="P186">
        <v>0.96220000000000006</v>
      </c>
      <c r="Q186">
        <v>42.487400000000001</v>
      </c>
      <c r="R186">
        <v>1.712</v>
      </c>
      <c r="S186" t="s">
        <v>33</v>
      </c>
      <c r="T186">
        <v>38.554900000000004</v>
      </c>
      <c r="U186">
        <v>26.6312</v>
      </c>
      <c r="V186">
        <v>346.15</v>
      </c>
      <c r="W186">
        <v>478948.58</v>
      </c>
      <c r="Y186" s="5">
        <v>2.1938</v>
      </c>
      <c r="Z186">
        <v>17.6098</v>
      </c>
      <c r="AA186">
        <v>2.0343</v>
      </c>
      <c r="AB186">
        <v>0.54759999999999998</v>
      </c>
      <c r="AC186">
        <v>-0.54569999999999996</v>
      </c>
      <c r="AD186" t="s">
        <v>33</v>
      </c>
      <c r="AE186">
        <v>18.026399999999999</v>
      </c>
      <c r="AF186">
        <v>13.604900000000001</v>
      </c>
      <c r="AG186">
        <v>8.1379999999999999</v>
      </c>
      <c r="AH186">
        <v>62380.254399999998</v>
      </c>
      <c r="AJ186">
        <v>3.9822000000000002</v>
      </c>
      <c r="AK186">
        <v>25.887899999999998</v>
      </c>
      <c r="AL186">
        <v>1.1877</v>
      </c>
      <c r="AM186">
        <v>26.342400000000001</v>
      </c>
      <c r="AN186">
        <v>0.33310000000000001</v>
      </c>
      <c r="AO186">
        <v>195.11080000000001</v>
      </c>
      <c r="AP186">
        <v>47.88</v>
      </c>
      <c r="AQ186">
        <v>33.8005</v>
      </c>
      <c r="AR186">
        <v>581.23</v>
      </c>
      <c r="AS186">
        <v>456173.20110000001</v>
      </c>
      <c r="AU186" s="1">
        <f t="shared" si="16"/>
        <v>44911</v>
      </c>
      <c r="AV186" s="29">
        <f t="shared" si="17"/>
        <v>5.1506935501469195</v>
      </c>
      <c r="AW186" s="30">
        <f t="shared" si="18"/>
        <v>-0.73731563255790367</v>
      </c>
      <c r="AX186">
        <f t="shared" ca="1" si="11"/>
        <v>-0.74439828158720478</v>
      </c>
      <c r="AY186">
        <f t="shared" ca="1" si="12"/>
        <v>-0.82015411583820941</v>
      </c>
      <c r="AZ186">
        <f t="shared" ca="1" si="13"/>
        <v>-0.93593254972090734</v>
      </c>
      <c r="BA186">
        <f t="shared" ca="1" si="14"/>
        <v>-1.0108306344353257</v>
      </c>
      <c r="BB186">
        <f t="shared" ca="1" si="15"/>
        <v>-1.0442575128895102</v>
      </c>
    </row>
    <row r="187" spans="1:54" x14ac:dyDescent="0.25">
      <c r="A187" s="37">
        <v>44918</v>
      </c>
      <c r="B187" s="5">
        <v>3.9190999999999998</v>
      </c>
      <c r="C187">
        <v>8.3983000000000008</v>
      </c>
      <c r="D187">
        <v>0.84240000000000004</v>
      </c>
      <c r="E187">
        <v>42.605499999999999</v>
      </c>
      <c r="F187">
        <v>1.6899</v>
      </c>
      <c r="G187">
        <v>0</v>
      </c>
      <c r="H187">
        <v>25.5444</v>
      </c>
      <c r="I187">
        <v>10.29</v>
      </c>
      <c r="J187">
        <v>302.98</v>
      </c>
      <c r="K187">
        <v>1184698.9649</v>
      </c>
      <c r="M187" s="37">
        <v>44918</v>
      </c>
      <c r="N187" s="5">
        <v>5.6031000000000004</v>
      </c>
      <c r="O187">
        <v>12.0801</v>
      </c>
      <c r="P187">
        <v>0.96220000000000006</v>
      </c>
      <c r="Q187">
        <v>42.487400000000001</v>
      </c>
      <c r="R187">
        <v>1.712</v>
      </c>
      <c r="S187" t="s">
        <v>33</v>
      </c>
      <c r="T187">
        <v>38.554900000000004</v>
      </c>
      <c r="U187">
        <v>26.6312</v>
      </c>
      <c r="V187">
        <v>401.65</v>
      </c>
      <c r="W187">
        <v>555740.85560000001</v>
      </c>
      <c r="Y187" s="5">
        <v>2.2349000000000001</v>
      </c>
      <c r="Z187">
        <v>17.6098</v>
      </c>
      <c r="AA187">
        <v>2.0343</v>
      </c>
      <c r="AB187">
        <v>0.54759999999999998</v>
      </c>
      <c r="AC187">
        <v>-0.54569999999999996</v>
      </c>
      <c r="AD187" t="s">
        <v>33</v>
      </c>
      <c r="AE187">
        <v>18.026399999999999</v>
      </c>
      <c r="AF187">
        <v>13.604900000000001</v>
      </c>
      <c r="AG187">
        <v>8.7100000000000009</v>
      </c>
      <c r="AH187">
        <v>63315.958200000001</v>
      </c>
      <c r="AJ187">
        <v>4.7096</v>
      </c>
      <c r="AK187">
        <v>25.887899999999998</v>
      </c>
      <c r="AL187">
        <v>1.1877</v>
      </c>
      <c r="AM187">
        <v>26.342400000000001</v>
      </c>
      <c r="AN187">
        <v>0.33310000000000001</v>
      </c>
      <c r="AO187">
        <v>195.11080000000001</v>
      </c>
      <c r="AP187">
        <v>47.88</v>
      </c>
      <c r="AQ187">
        <v>33.8005</v>
      </c>
      <c r="AR187">
        <v>697.09199999999998</v>
      </c>
      <c r="AS187">
        <v>547106.73699999996</v>
      </c>
      <c r="AU187" s="1">
        <f t="shared" si="16"/>
        <v>44918</v>
      </c>
      <c r="AV187" s="29">
        <f t="shared" si="17"/>
        <v>5.8073183457562338</v>
      </c>
      <c r="AW187" s="30">
        <f t="shared" si="18"/>
        <v>-0.5336992431288069</v>
      </c>
      <c r="AX187">
        <f t="shared" ref="AX187:AX250" ca="1" si="19">+_xlfn.PERCENTILE.INC(OFFSET(AW187,-52,0,52,1),0.9)</f>
        <v>-0.73783755686652219</v>
      </c>
      <c r="AY187">
        <f t="shared" ref="AY187:AY250" ca="1" si="20">+_xlfn.PERCENTILE.INC(OFFSET(AW187,-52,0,52,1),0.75)</f>
        <v>-0.81653421211632948</v>
      </c>
      <c r="AZ187">
        <f t="shared" ref="AZ187:AZ250" ca="1" si="21">+_xlfn.PERCENTILE.INC(OFFSET(AW187,-52,0,52,1),0.5)</f>
        <v>-0.91662985874648972</v>
      </c>
      <c r="BA187">
        <f t="shared" ref="BA187:BA250" ca="1" si="22">+_xlfn.PERCENTILE.INC(OFFSET(AW187,-52,0,52,1),0.25)</f>
        <v>-1.0108306344353257</v>
      </c>
      <c r="BB187">
        <f t="shared" ref="BB187:BB250" ca="1" si="23">+_xlfn.PERCENTILE.INC(OFFSET(AW187,-52,0,52,1),0.1)</f>
        <v>-1.0442575128895102</v>
      </c>
    </row>
    <row r="188" spans="1:54" x14ac:dyDescent="0.25">
      <c r="A188" s="37">
        <v>44925</v>
      </c>
      <c r="B188" s="5">
        <v>3.5958000000000001</v>
      </c>
      <c r="C188">
        <v>8.0496999999999996</v>
      </c>
      <c r="D188">
        <v>0.56359999999999999</v>
      </c>
      <c r="E188">
        <v>42.0428</v>
      </c>
      <c r="F188">
        <v>1.7337</v>
      </c>
      <c r="G188">
        <v>0</v>
      </c>
      <c r="H188">
        <v>26.666799999999999</v>
      </c>
      <c r="I188">
        <v>11.8422</v>
      </c>
      <c r="J188">
        <v>314.73500000000001</v>
      </c>
      <c r="K188">
        <v>1230662.8448000001</v>
      </c>
      <c r="M188" s="37">
        <v>44925</v>
      </c>
      <c r="N188" s="5">
        <v>5.5533000000000001</v>
      </c>
      <c r="O188">
        <v>11.1554</v>
      </c>
      <c r="P188">
        <v>0.49509999999999998</v>
      </c>
      <c r="Q188">
        <v>41.543700000000001</v>
      </c>
      <c r="R188">
        <v>1.6343000000000001</v>
      </c>
      <c r="S188" t="s">
        <v>33</v>
      </c>
      <c r="T188">
        <v>41.329700000000003</v>
      </c>
      <c r="U188">
        <v>29.879200000000001</v>
      </c>
      <c r="V188">
        <v>439.9</v>
      </c>
      <c r="W188">
        <v>608665.26170000003</v>
      </c>
      <c r="Y188" s="5">
        <v>0.65720000000000001</v>
      </c>
      <c r="Z188">
        <v>8.4431999999999992</v>
      </c>
      <c r="AA188">
        <v>0.98819999999999997</v>
      </c>
      <c r="AB188">
        <v>0.43440000000000001</v>
      </c>
      <c r="AC188">
        <v>-1.0377000000000001</v>
      </c>
      <c r="AD188" t="s">
        <v>33</v>
      </c>
      <c r="AE188">
        <v>15.6166</v>
      </c>
      <c r="AF188">
        <v>11.8002</v>
      </c>
      <c r="AG188">
        <v>8.56</v>
      </c>
      <c r="AH188">
        <v>62224.303800000002</v>
      </c>
      <c r="AJ188">
        <v>3.8582999999999998</v>
      </c>
      <c r="AK188">
        <v>12.2234</v>
      </c>
      <c r="AL188">
        <v>0.39410000000000001</v>
      </c>
      <c r="AM188">
        <v>26.148199999999999</v>
      </c>
      <c r="AN188">
        <v>0.81289999999999996</v>
      </c>
      <c r="AO188">
        <v>195.11080000000001</v>
      </c>
      <c r="AP188">
        <v>44.353099999999998</v>
      </c>
      <c r="AQ188">
        <v>30.868600000000001</v>
      </c>
      <c r="AR188">
        <v>777.89800000000002</v>
      </c>
      <c r="AS188">
        <v>610526.85609999998</v>
      </c>
      <c r="AU188" s="1">
        <f t="shared" si="16"/>
        <v>44925</v>
      </c>
      <c r="AV188" s="29">
        <f t="shared" si="17"/>
        <v>5.3649890380191749</v>
      </c>
      <c r="AW188" s="30">
        <f t="shared" si="18"/>
        <v>-0.67086356769031785</v>
      </c>
      <c r="AX188">
        <f t="shared" ca="1" si="19"/>
        <v>-0.73574010155683711</v>
      </c>
      <c r="AY188">
        <f t="shared" ca="1" si="20"/>
        <v>-0.81564167176919999</v>
      </c>
      <c r="AZ188">
        <f t="shared" ca="1" si="21"/>
        <v>-0.90989409044809233</v>
      </c>
      <c r="BA188">
        <f t="shared" ca="1" si="22"/>
        <v>-1.0108306344353257</v>
      </c>
      <c r="BB188">
        <f t="shared" ca="1" si="23"/>
        <v>-1.0442575128895102</v>
      </c>
    </row>
    <row r="189" spans="1:54" x14ac:dyDescent="0.25">
      <c r="A189" s="37">
        <v>44932</v>
      </c>
      <c r="B189" s="5">
        <v>3.6299000000000001</v>
      </c>
      <c r="C189">
        <v>8.0496999999999996</v>
      </c>
      <c r="D189">
        <v>0.56359999999999999</v>
      </c>
      <c r="E189">
        <v>42.0428</v>
      </c>
      <c r="F189">
        <v>1.7337</v>
      </c>
      <c r="G189">
        <v>0</v>
      </c>
      <c r="H189">
        <v>26.666799999999999</v>
      </c>
      <c r="I189">
        <v>11.8422</v>
      </c>
      <c r="J189">
        <v>320.58</v>
      </c>
      <c r="K189">
        <v>1253517.7046999999</v>
      </c>
      <c r="M189" s="37">
        <v>44932</v>
      </c>
      <c r="N189" s="5">
        <v>5.6223000000000001</v>
      </c>
      <c r="O189">
        <v>11.1554</v>
      </c>
      <c r="P189">
        <v>0.49509999999999998</v>
      </c>
      <c r="Q189">
        <v>41.543700000000001</v>
      </c>
      <c r="R189">
        <v>1.6343000000000001</v>
      </c>
      <c r="S189" t="s">
        <v>33</v>
      </c>
      <c r="T189">
        <v>41.329700000000003</v>
      </c>
      <c r="U189">
        <v>29.879200000000001</v>
      </c>
      <c r="V189">
        <v>453.6</v>
      </c>
      <c r="W189">
        <v>627621.19279999996</v>
      </c>
      <c r="Y189" s="5">
        <v>0.63170000000000004</v>
      </c>
      <c r="Z189">
        <v>8.4431999999999992</v>
      </c>
      <c r="AA189">
        <v>0.98819999999999997</v>
      </c>
      <c r="AB189">
        <v>0.43440000000000001</v>
      </c>
      <c r="AC189">
        <v>-1.0377000000000001</v>
      </c>
      <c r="AD189" t="s">
        <v>33</v>
      </c>
      <c r="AE189">
        <v>15.6166</v>
      </c>
      <c r="AF189">
        <v>11.8002</v>
      </c>
      <c r="AG189">
        <v>8.4309999999999992</v>
      </c>
      <c r="AH189">
        <v>61288.599900000001</v>
      </c>
      <c r="AJ189">
        <v>3.9245999999999999</v>
      </c>
      <c r="AK189">
        <v>12.2234</v>
      </c>
      <c r="AL189">
        <v>0.39410000000000001</v>
      </c>
      <c r="AM189">
        <v>26.148199999999999</v>
      </c>
      <c r="AN189">
        <v>0.81289999999999996</v>
      </c>
      <c r="AO189">
        <v>195.11080000000001</v>
      </c>
      <c r="AP189">
        <v>44.353099999999998</v>
      </c>
      <c r="AQ189">
        <v>30.868600000000001</v>
      </c>
      <c r="AR189">
        <v>794.827</v>
      </c>
      <c r="AS189">
        <v>623813.08880000003</v>
      </c>
      <c r="AU189" s="1">
        <f t="shared" si="16"/>
        <v>44932</v>
      </c>
      <c r="AV189" s="29">
        <f t="shared" si="17"/>
        <v>5.4394572871182421</v>
      </c>
      <c r="AW189" s="30">
        <f t="shared" si="18"/>
        <v>-0.64777129930500932</v>
      </c>
      <c r="AX189">
        <f t="shared" ca="1" si="19"/>
        <v>-0.73326038567750784</v>
      </c>
      <c r="AY189">
        <f t="shared" ca="1" si="20"/>
        <v>-0.80907349251849525</v>
      </c>
      <c r="AZ189">
        <f t="shared" ca="1" si="21"/>
        <v>-0.90675472712931571</v>
      </c>
      <c r="BA189">
        <f t="shared" ca="1" si="22"/>
        <v>-1.0075601893162995</v>
      </c>
      <c r="BB189">
        <f t="shared" ca="1" si="23"/>
        <v>-1.0442575128895102</v>
      </c>
    </row>
    <row r="190" spans="1:54" x14ac:dyDescent="0.25">
      <c r="A190" s="37">
        <v>44939</v>
      </c>
      <c r="B190" s="5">
        <v>4.0175999999999998</v>
      </c>
      <c r="C190">
        <v>8.0496999999999996</v>
      </c>
      <c r="D190">
        <v>0.56359999999999999</v>
      </c>
      <c r="E190">
        <v>42.0428</v>
      </c>
      <c r="F190">
        <v>1.7337</v>
      </c>
      <c r="G190">
        <v>0</v>
      </c>
      <c r="H190">
        <v>26.666799999999999</v>
      </c>
      <c r="I190">
        <v>11.8422</v>
      </c>
      <c r="J190">
        <v>387.03500000000003</v>
      </c>
      <c r="K190">
        <v>1513367.0996999999</v>
      </c>
      <c r="M190" s="37">
        <v>44939</v>
      </c>
      <c r="N190" s="5">
        <v>5.8926999999999996</v>
      </c>
      <c r="O190">
        <v>11.1554</v>
      </c>
      <c r="P190">
        <v>0.49509999999999998</v>
      </c>
      <c r="Q190">
        <v>41.543700000000001</v>
      </c>
      <c r="R190">
        <v>1.6343000000000001</v>
      </c>
      <c r="S190" t="s">
        <v>33</v>
      </c>
      <c r="T190">
        <v>41.329700000000003</v>
      </c>
      <c r="U190">
        <v>29.879200000000001</v>
      </c>
      <c r="V190">
        <v>487.9</v>
      </c>
      <c r="W190">
        <v>675080.20279999997</v>
      </c>
      <c r="Y190" s="5">
        <v>0.74639999999999995</v>
      </c>
      <c r="Z190">
        <v>8.4431999999999992</v>
      </c>
      <c r="AA190">
        <v>0.98819999999999997</v>
      </c>
      <c r="AB190">
        <v>0.43440000000000001</v>
      </c>
      <c r="AC190">
        <v>-1.0377000000000001</v>
      </c>
      <c r="AD190" t="s">
        <v>33</v>
      </c>
      <c r="AE190">
        <v>15.6166</v>
      </c>
      <c r="AF190">
        <v>11.8002</v>
      </c>
      <c r="AG190">
        <v>9.01</v>
      </c>
      <c r="AH190">
        <v>65499.267099999997</v>
      </c>
      <c r="AJ190">
        <v>3.9477000000000002</v>
      </c>
      <c r="AK190">
        <v>12.2234</v>
      </c>
      <c r="AL190">
        <v>0.39410000000000001</v>
      </c>
      <c r="AM190">
        <v>26.148199999999999</v>
      </c>
      <c r="AN190">
        <v>0.81289999999999996</v>
      </c>
      <c r="AO190">
        <v>195.11080000000001</v>
      </c>
      <c r="AP190">
        <v>44.353099999999998</v>
      </c>
      <c r="AQ190">
        <v>30.868600000000001</v>
      </c>
      <c r="AR190">
        <v>800.726</v>
      </c>
      <c r="AS190">
        <v>628442.56929999997</v>
      </c>
      <c r="AU190" s="1">
        <f t="shared" si="16"/>
        <v>44939</v>
      </c>
      <c r="AV190" s="29">
        <f t="shared" si="17"/>
        <v>5.5848440794305381</v>
      </c>
      <c r="AW190" s="30">
        <f t="shared" si="18"/>
        <v>-0.60268751032954504</v>
      </c>
      <c r="AX190">
        <f t="shared" ca="1" si="19"/>
        <v>-0.70713842894829693</v>
      </c>
      <c r="AY190">
        <f t="shared" ca="1" si="20"/>
        <v>-0.79065553328291327</v>
      </c>
      <c r="AZ190">
        <f t="shared" ca="1" si="21"/>
        <v>-0.89601168462363479</v>
      </c>
      <c r="BA190">
        <f t="shared" ca="1" si="22"/>
        <v>-1.0062432717402201</v>
      </c>
      <c r="BB190">
        <f t="shared" ca="1" si="23"/>
        <v>-1.041531086732564</v>
      </c>
    </row>
    <row r="191" spans="1:54" x14ac:dyDescent="0.25">
      <c r="A191" s="37">
        <v>44946</v>
      </c>
      <c r="B191" s="5">
        <v>4.2697000000000003</v>
      </c>
      <c r="C191">
        <v>8.0496999999999996</v>
      </c>
      <c r="D191">
        <v>0.56359999999999999</v>
      </c>
      <c r="E191">
        <v>42.0428</v>
      </c>
      <c r="F191">
        <v>1.7337</v>
      </c>
      <c r="G191">
        <v>0</v>
      </c>
      <c r="H191">
        <v>26.666799999999999</v>
      </c>
      <c r="I191">
        <v>11.8422</v>
      </c>
      <c r="J191">
        <v>430.24</v>
      </c>
      <c r="K191">
        <v>1682305.3755000001</v>
      </c>
      <c r="M191" s="37">
        <v>44946</v>
      </c>
      <c r="N191" s="5">
        <v>5.8907999999999996</v>
      </c>
      <c r="O191">
        <v>11.1554</v>
      </c>
      <c r="P191">
        <v>0.49509999999999998</v>
      </c>
      <c r="Q191">
        <v>41.543700000000001</v>
      </c>
      <c r="R191">
        <v>1.6343000000000001</v>
      </c>
      <c r="S191" t="s">
        <v>33</v>
      </c>
      <c r="T191">
        <v>41.329700000000003</v>
      </c>
      <c r="U191">
        <v>29.879200000000001</v>
      </c>
      <c r="V191">
        <v>495</v>
      </c>
      <c r="W191">
        <v>684904.07949999999</v>
      </c>
      <c r="Y191" s="5">
        <v>0.76339999999999997</v>
      </c>
      <c r="Z191">
        <v>8.4431999999999992</v>
      </c>
      <c r="AA191">
        <v>0.98819999999999997</v>
      </c>
      <c r="AB191">
        <v>0.43440000000000001</v>
      </c>
      <c r="AC191">
        <v>-1.0377000000000001</v>
      </c>
      <c r="AD191" t="s">
        <v>33</v>
      </c>
      <c r="AE191">
        <v>15.6166</v>
      </c>
      <c r="AF191">
        <v>11.8002</v>
      </c>
      <c r="AG191">
        <v>9.0960000000000001</v>
      </c>
      <c r="AH191">
        <v>66123.069699999993</v>
      </c>
      <c r="AJ191">
        <v>3.6715</v>
      </c>
      <c r="AK191">
        <v>12.2234</v>
      </c>
      <c r="AL191">
        <v>0.39410000000000001</v>
      </c>
      <c r="AM191">
        <v>26.148199999999999</v>
      </c>
      <c r="AN191">
        <v>0.81289999999999996</v>
      </c>
      <c r="AO191">
        <v>195.11080000000001</v>
      </c>
      <c r="AP191">
        <v>44.353099999999998</v>
      </c>
      <c r="AQ191">
        <v>30.868600000000001</v>
      </c>
      <c r="AR191">
        <v>730.18200000000002</v>
      </c>
      <c r="AS191">
        <v>573076.99349999998</v>
      </c>
      <c r="AU191" s="1">
        <f t="shared" si="16"/>
        <v>44946</v>
      </c>
      <c r="AV191" s="29">
        <f t="shared" si="17"/>
        <v>5.4953865164744773</v>
      </c>
      <c r="AW191" s="30">
        <f t="shared" si="18"/>
        <v>-0.63042789737864602</v>
      </c>
      <c r="AX191">
        <f t="shared" ca="1" si="19"/>
        <v>-0.67420365510786429</v>
      </c>
      <c r="AY191">
        <f t="shared" ca="1" si="20"/>
        <v>-0.77811600156608796</v>
      </c>
      <c r="AZ191">
        <f t="shared" ca="1" si="21"/>
        <v>-0.88590516318285673</v>
      </c>
      <c r="BA191">
        <f t="shared" ca="1" si="22"/>
        <v>-1.0027733425435534</v>
      </c>
      <c r="BB191">
        <f t="shared" ca="1" si="23"/>
        <v>-1.0411725321536907</v>
      </c>
    </row>
    <row r="192" spans="1:54" x14ac:dyDescent="0.25">
      <c r="A192" s="37">
        <v>44953</v>
      </c>
      <c r="B192" s="5">
        <v>4.2439</v>
      </c>
      <c r="C192">
        <v>8.0496999999999996</v>
      </c>
      <c r="D192">
        <v>0.56359999999999999</v>
      </c>
      <c r="E192">
        <v>42.0428</v>
      </c>
      <c r="F192">
        <v>1.7337</v>
      </c>
      <c r="G192">
        <v>0</v>
      </c>
      <c r="H192">
        <v>26.666799999999999</v>
      </c>
      <c r="I192">
        <v>11.8422</v>
      </c>
      <c r="J192">
        <v>425.81</v>
      </c>
      <c r="K192">
        <v>1664983.3858</v>
      </c>
      <c r="M192" s="37">
        <v>44953</v>
      </c>
      <c r="N192" s="5">
        <v>5.8807999999999998</v>
      </c>
      <c r="O192">
        <v>11.1554</v>
      </c>
      <c r="P192">
        <v>0.49509999999999998</v>
      </c>
      <c r="Q192">
        <v>41.543700000000001</v>
      </c>
      <c r="R192">
        <v>1.6343000000000001</v>
      </c>
      <c r="S192" t="s">
        <v>33</v>
      </c>
      <c r="T192">
        <v>41.329700000000003</v>
      </c>
      <c r="U192">
        <v>29.879200000000001</v>
      </c>
      <c r="V192">
        <v>501.2</v>
      </c>
      <c r="W192">
        <v>693482.67599999998</v>
      </c>
      <c r="Y192" s="5">
        <v>0.74639999999999995</v>
      </c>
      <c r="Z192">
        <v>8.4431999999999992</v>
      </c>
      <c r="AA192">
        <v>0.98819999999999997</v>
      </c>
      <c r="AB192">
        <v>0.43440000000000001</v>
      </c>
      <c r="AC192">
        <v>-1.0377000000000001</v>
      </c>
      <c r="AD192" t="s">
        <v>33</v>
      </c>
      <c r="AE192">
        <v>15.6166</v>
      </c>
      <c r="AF192">
        <v>11.8002</v>
      </c>
      <c r="AG192">
        <v>9.01</v>
      </c>
      <c r="AH192">
        <v>65499.267099999997</v>
      </c>
      <c r="AJ192">
        <v>3.9190999999999998</v>
      </c>
      <c r="AK192">
        <v>12.2234</v>
      </c>
      <c r="AL192">
        <v>0.39410000000000001</v>
      </c>
      <c r="AM192">
        <v>26.148199999999999</v>
      </c>
      <c r="AN192">
        <v>0.81289999999999996</v>
      </c>
      <c r="AO192">
        <v>195.11080000000001</v>
      </c>
      <c r="AP192">
        <v>44.353099999999998</v>
      </c>
      <c r="AQ192">
        <v>30.868600000000001</v>
      </c>
      <c r="AR192">
        <v>793.43600000000004</v>
      </c>
      <c r="AS192">
        <v>622721.58519999997</v>
      </c>
      <c r="AU192" s="1">
        <f t="shared" si="16"/>
        <v>44953</v>
      </c>
      <c r="AV192" s="29">
        <f t="shared" si="17"/>
        <v>5.6245246443872023</v>
      </c>
      <c r="AW192" s="30">
        <f t="shared" si="18"/>
        <v>-0.59038274599379492</v>
      </c>
      <c r="AX192">
        <f t="shared" ca="1" si="19"/>
        <v>-0.65008052614354017</v>
      </c>
      <c r="AY192">
        <f t="shared" ca="1" si="20"/>
        <v>-0.77275382596276176</v>
      </c>
      <c r="AZ192">
        <f t="shared" ca="1" si="21"/>
        <v>-0.88151815069080652</v>
      </c>
      <c r="BA192">
        <f t="shared" ca="1" si="22"/>
        <v>-0.99544768690001983</v>
      </c>
      <c r="BB192">
        <f t="shared" ca="1" si="23"/>
        <v>-1.0411725321536907</v>
      </c>
    </row>
    <row r="193" spans="1:54" x14ac:dyDescent="0.25">
      <c r="A193" s="37">
        <v>44960</v>
      </c>
      <c r="B193" s="5">
        <v>4.1512000000000002</v>
      </c>
      <c r="C193">
        <v>8.0496999999999996</v>
      </c>
      <c r="D193">
        <v>0.56359999999999999</v>
      </c>
      <c r="E193">
        <v>42.0428</v>
      </c>
      <c r="F193">
        <v>1.7337</v>
      </c>
      <c r="G193">
        <v>0</v>
      </c>
      <c r="H193">
        <v>26.666799999999999</v>
      </c>
      <c r="I193">
        <v>11.8422</v>
      </c>
      <c r="J193">
        <v>409.92</v>
      </c>
      <c r="K193">
        <v>1602851.0122</v>
      </c>
      <c r="M193" s="37">
        <v>44960</v>
      </c>
      <c r="N193" s="5">
        <v>5.5415999999999999</v>
      </c>
      <c r="O193">
        <v>11.1554</v>
      </c>
      <c r="P193">
        <v>0.49509999999999998</v>
      </c>
      <c r="Q193">
        <v>41.543700000000001</v>
      </c>
      <c r="R193">
        <v>1.6343000000000001</v>
      </c>
      <c r="S193" t="s">
        <v>33</v>
      </c>
      <c r="T193">
        <v>41.329700000000003</v>
      </c>
      <c r="U193">
        <v>29.879200000000001</v>
      </c>
      <c r="V193">
        <v>473</v>
      </c>
      <c r="W193">
        <v>654463.89820000005</v>
      </c>
      <c r="Y193" s="5">
        <v>0.76339999999999997</v>
      </c>
      <c r="Z193">
        <v>8.4431999999999992</v>
      </c>
      <c r="AA193">
        <v>0.98819999999999997</v>
      </c>
      <c r="AB193">
        <v>0.43440000000000001</v>
      </c>
      <c r="AC193">
        <v>-1.0377000000000001</v>
      </c>
      <c r="AD193" t="s">
        <v>33</v>
      </c>
      <c r="AE193">
        <v>15.6166</v>
      </c>
      <c r="AF193">
        <v>11.8002</v>
      </c>
      <c r="AG193">
        <v>9.0960000000000001</v>
      </c>
      <c r="AH193">
        <v>66123.069699999993</v>
      </c>
      <c r="AJ193">
        <v>3.7046999999999999</v>
      </c>
      <c r="AK193">
        <v>12.2234</v>
      </c>
      <c r="AL193">
        <v>0.39410000000000001</v>
      </c>
      <c r="AM193">
        <v>26.148199999999999</v>
      </c>
      <c r="AN193">
        <v>0.81289999999999996</v>
      </c>
      <c r="AO193">
        <v>195.11080000000001</v>
      </c>
      <c r="AP193">
        <v>44.353099999999998</v>
      </c>
      <c r="AQ193">
        <v>30.868600000000001</v>
      </c>
      <c r="AR193">
        <v>738.67</v>
      </c>
      <c r="AS193">
        <v>579738.92879999999</v>
      </c>
      <c r="AU193" s="1">
        <f t="shared" si="16"/>
        <v>44960</v>
      </c>
      <c r="AV193" s="29">
        <f t="shared" si="17"/>
        <v>5.3708209678603165</v>
      </c>
      <c r="AW193" s="30">
        <f t="shared" si="18"/>
        <v>-0.66905511253358685</v>
      </c>
      <c r="AX193">
        <f t="shared" ca="1" si="19"/>
        <v>-0.64645447565338154</v>
      </c>
      <c r="AY193">
        <f t="shared" ca="1" si="20"/>
        <v>-0.75651042021745751</v>
      </c>
      <c r="AZ193">
        <f t="shared" ca="1" si="21"/>
        <v>-0.86886772313918892</v>
      </c>
      <c r="BA193">
        <f t="shared" ca="1" si="22"/>
        <v>-0.99544768690001983</v>
      </c>
      <c r="BB193">
        <f t="shared" ca="1" si="23"/>
        <v>-1.0411725321536907</v>
      </c>
    </row>
    <row r="194" spans="1:54" x14ac:dyDescent="0.25">
      <c r="A194" s="37">
        <v>44967</v>
      </c>
      <c r="B194" s="5">
        <v>4.2690999999999999</v>
      </c>
      <c r="C194">
        <v>8.0496999999999996</v>
      </c>
      <c r="D194">
        <v>0.56359999999999999</v>
      </c>
      <c r="E194">
        <v>42.0428</v>
      </c>
      <c r="F194">
        <v>1.7337</v>
      </c>
      <c r="G194">
        <v>0</v>
      </c>
      <c r="H194">
        <v>26.666799999999999</v>
      </c>
      <c r="I194">
        <v>11.8422</v>
      </c>
      <c r="J194">
        <v>430.13</v>
      </c>
      <c r="K194">
        <v>1681875.2583000001</v>
      </c>
      <c r="M194" s="37">
        <v>44967</v>
      </c>
      <c r="N194" s="5">
        <v>5.6063999999999998</v>
      </c>
      <c r="O194">
        <v>11.1554</v>
      </c>
      <c r="P194">
        <v>0.49509999999999998</v>
      </c>
      <c r="Q194">
        <v>41.543700000000001</v>
      </c>
      <c r="R194">
        <v>1.6343000000000001</v>
      </c>
      <c r="S194" t="s">
        <v>33</v>
      </c>
      <c r="T194">
        <v>41.329700000000003</v>
      </c>
      <c r="U194">
        <v>29.879200000000001</v>
      </c>
      <c r="V194">
        <v>488</v>
      </c>
      <c r="W194">
        <v>675218.56720000005</v>
      </c>
      <c r="Y194" s="5">
        <v>0.9163</v>
      </c>
      <c r="Z194">
        <v>8.4431999999999992</v>
      </c>
      <c r="AA194">
        <v>0.98819999999999997</v>
      </c>
      <c r="AB194">
        <v>0.43440000000000001</v>
      </c>
      <c r="AC194">
        <v>-1.0377000000000001</v>
      </c>
      <c r="AD194" t="s">
        <v>33</v>
      </c>
      <c r="AE194">
        <v>15.6166</v>
      </c>
      <c r="AF194">
        <v>11.8002</v>
      </c>
      <c r="AG194">
        <v>9.8680000000000003</v>
      </c>
      <c r="AH194">
        <v>71737.292600000001</v>
      </c>
      <c r="AJ194">
        <v>3.9735999999999998</v>
      </c>
      <c r="AK194">
        <v>12.2234</v>
      </c>
      <c r="AL194">
        <v>0.39410000000000001</v>
      </c>
      <c r="AM194">
        <v>26.148199999999999</v>
      </c>
      <c r="AN194">
        <v>0.81289999999999996</v>
      </c>
      <c r="AO194">
        <v>195.11080000000001</v>
      </c>
      <c r="AP194">
        <v>44.353099999999998</v>
      </c>
      <c r="AQ194">
        <v>30.868600000000001</v>
      </c>
      <c r="AR194">
        <v>807.34299999999996</v>
      </c>
      <c r="AS194">
        <v>633636.62060000002</v>
      </c>
      <c r="AU194" s="1">
        <f t="shared" si="16"/>
        <v>44967</v>
      </c>
      <c r="AV194" s="29">
        <f t="shared" si="17"/>
        <v>5.5784818862923942</v>
      </c>
      <c r="AW194" s="30">
        <f t="shared" si="18"/>
        <v>-0.60466039774455249</v>
      </c>
      <c r="AX194">
        <f t="shared" ca="1" si="19"/>
        <v>-0.64645447565338154</v>
      </c>
      <c r="AY194">
        <f t="shared" ca="1" si="20"/>
        <v>-0.74123006487254262</v>
      </c>
      <c r="AZ194">
        <f t="shared" ca="1" si="21"/>
        <v>-0.85773823735938381</v>
      </c>
      <c r="BA194">
        <f t="shared" ca="1" si="22"/>
        <v>-0.99075204436780939</v>
      </c>
      <c r="BB194">
        <f t="shared" ca="1" si="23"/>
        <v>-1.0411725321536907</v>
      </c>
    </row>
    <row r="195" spans="1:54" x14ac:dyDescent="0.25">
      <c r="A195" s="37">
        <v>44974</v>
      </c>
      <c r="B195" s="5">
        <v>4.2333999999999996</v>
      </c>
      <c r="C195">
        <v>8.0496999999999996</v>
      </c>
      <c r="D195">
        <v>0.56359999999999999</v>
      </c>
      <c r="E195">
        <v>42.0428</v>
      </c>
      <c r="F195">
        <v>1.7337</v>
      </c>
      <c r="G195">
        <v>0</v>
      </c>
      <c r="H195">
        <v>26.666799999999999</v>
      </c>
      <c r="I195">
        <v>11.8422</v>
      </c>
      <c r="J195">
        <v>424.01499999999999</v>
      </c>
      <c r="K195">
        <v>1657964.6564</v>
      </c>
      <c r="M195" s="37">
        <v>44974</v>
      </c>
      <c r="N195" s="5">
        <v>5.5830000000000002</v>
      </c>
      <c r="O195">
        <v>11.1554</v>
      </c>
      <c r="P195">
        <v>0.49509999999999998</v>
      </c>
      <c r="Q195">
        <v>41.543700000000001</v>
      </c>
      <c r="R195">
        <v>1.6343000000000001</v>
      </c>
      <c r="S195" t="s">
        <v>33</v>
      </c>
      <c r="T195">
        <v>41.329700000000003</v>
      </c>
      <c r="U195">
        <v>29.879200000000001</v>
      </c>
      <c r="V195">
        <v>493.85</v>
      </c>
      <c r="W195">
        <v>683312.88820000004</v>
      </c>
      <c r="Y195" s="5">
        <v>0.84830000000000005</v>
      </c>
      <c r="Z195">
        <v>8.4431999999999992</v>
      </c>
      <c r="AA195">
        <v>0.98819999999999997</v>
      </c>
      <c r="AB195">
        <v>0.43440000000000001</v>
      </c>
      <c r="AC195">
        <v>-1.0377000000000001</v>
      </c>
      <c r="AD195" t="s">
        <v>33</v>
      </c>
      <c r="AE195">
        <v>15.6166</v>
      </c>
      <c r="AF195">
        <v>11.8002</v>
      </c>
      <c r="AG195">
        <v>9.5250000000000004</v>
      </c>
      <c r="AH195">
        <v>69242.082399999999</v>
      </c>
      <c r="AJ195">
        <v>3.9630000000000001</v>
      </c>
      <c r="AK195">
        <v>12.2234</v>
      </c>
      <c r="AL195">
        <v>0.39410000000000001</v>
      </c>
      <c r="AM195">
        <v>26.148199999999999</v>
      </c>
      <c r="AN195">
        <v>0.81289999999999996</v>
      </c>
      <c r="AO195">
        <v>195.11080000000001</v>
      </c>
      <c r="AP195">
        <v>44.353099999999998</v>
      </c>
      <c r="AQ195">
        <v>30.868600000000001</v>
      </c>
      <c r="AR195">
        <v>804.65800000000002</v>
      </c>
      <c r="AS195">
        <v>631528.88959999999</v>
      </c>
      <c r="AU195" s="1">
        <f t="shared" si="16"/>
        <v>44974</v>
      </c>
      <c r="AV195" s="29">
        <f t="shared" si="17"/>
        <v>5.5569970595427467</v>
      </c>
      <c r="AW195" s="30">
        <f t="shared" si="18"/>
        <v>-0.61132274567829659</v>
      </c>
      <c r="AX195">
        <f t="shared" ca="1" si="19"/>
        <v>-0.63994294533988894</v>
      </c>
      <c r="AY195">
        <f t="shared" ca="1" si="20"/>
        <v>-0.73687798505760738</v>
      </c>
      <c r="AZ195">
        <f t="shared" ca="1" si="21"/>
        <v>-0.85162200032099356</v>
      </c>
      <c r="BA195">
        <f t="shared" ca="1" si="22"/>
        <v>-0.99075204436780939</v>
      </c>
      <c r="BB195">
        <f t="shared" ca="1" si="23"/>
        <v>-1.0411725321536907</v>
      </c>
    </row>
    <row r="196" spans="1:54" x14ac:dyDescent="0.25">
      <c r="A196" s="37">
        <v>44981</v>
      </c>
      <c r="B196" s="5">
        <v>4.3056000000000001</v>
      </c>
      <c r="C196">
        <v>8.0496999999999996</v>
      </c>
      <c r="D196">
        <v>0.56359999999999999</v>
      </c>
      <c r="E196">
        <v>42.0428</v>
      </c>
      <c r="F196">
        <v>1.7337</v>
      </c>
      <c r="G196">
        <v>0</v>
      </c>
      <c r="H196">
        <v>26.666799999999999</v>
      </c>
      <c r="I196">
        <v>11.8422</v>
      </c>
      <c r="J196">
        <v>436.39</v>
      </c>
      <c r="K196">
        <v>1706352.8328</v>
      </c>
      <c r="M196" s="37">
        <v>44981</v>
      </c>
      <c r="N196" s="5">
        <v>5.4313000000000002</v>
      </c>
      <c r="O196">
        <v>11.1554</v>
      </c>
      <c r="P196">
        <v>0.49509999999999998</v>
      </c>
      <c r="Q196">
        <v>41.543700000000001</v>
      </c>
      <c r="R196">
        <v>1.6343000000000001</v>
      </c>
      <c r="S196" t="s">
        <v>33</v>
      </c>
      <c r="T196">
        <v>41.329700000000003</v>
      </c>
      <c r="U196">
        <v>29.879200000000001</v>
      </c>
      <c r="V196">
        <v>484.95</v>
      </c>
      <c r="W196">
        <v>670998.45120000001</v>
      </c>
      <c r="Y196" s="5">
        <v>0.95879999999999999</v>
      </c>
      <c r="Z196">
        <v>8.4431999999999992</v>
      </c>
      <c r="AA196">
        <v>0.98819999999999997</v>
      </c>
      <c r="AB196">
        <v>0.43440000000000001</v>
      </c>
      <c r="AC196">
        <v>-1.0377000000000001</v>
      </c>
      <c r="AD196" t="s">
        <v>33</v>
      </c>
      <c r="AE196">
        <v>15.6166</v>
      </c>
      <c r="AF196">
        <v>11.8002</v>
      </c>
      <c r="AG196">
        <v>10.083</v>
      </c>
      <c r="AH196">
        <v>73296.798899999994</v>
      </c>
      <c r="AJ196">
        <v>3.9679000000000002</v>
      </c>
      <c r="AK196">
        <v>12.2234</v>
      </c>
      <c r="AL196">
        <v>0.39410000000000001</v>
      </c>
      <c r="AM196">
        <v>26.148199999999999</v>
      </c>
      <c r="AN196">
        <v>0.81289999999999996</v>
      </c>
      <c r="AO196">
        <v>195.11080000000001</v>
      </c>
      <c r="AP196">
        <v>44.353099999999998</v>
      </c>
      <c r="AQ196">
        <v>30.868600000000001</v>
      </c>
      <c r="AR196">
        <v>805.90499999999997</v>
      </c>
      <c r="AS196">
        <v>632507.47900000005</v>
      </c>
      <c r="AU196" s="1">
        <f t="shared" si="16"/>
        <v>44981</v>
      </c>
      <c r="AV196" s="29">
        <f t="shared" si="17"/>
        <v>5.5378290078908252</v>
      </c>
      <c r="AW196" s="30">
        <f t="shared" si="18"/>
        <v>-0.6172666720969342</v>
      </c>
      <c r="AX196">
        <f t="shared" ca="1" si="19"/>
        <v>-0.6313086775461656</v>
      </c>
      <c r="AY196">
        <f t="shared" ca="1" si="20"/>
        <v>-0.73492486009027114</v>
      </c>
      <c r="AZ196">
        <f t="shared" ca="1" si="21"/>
        <v>-0.84665392683613072</v>
      </c>
      <c r="BA196">
        <f t="shared" ca="1" si="22"/>
        <v>-0.99075204436780939</v>
      </c>
      <c r="BB196">
        <f t="shared" ca="1" si="23"/>
        <v>-1.0411725321536907</v>
      </c>
    </row>
    <row r="197" spans="1:54" x14ac:dyDescent="0.25">
      <c r="A197" s="37">
        <v>44988</v>
      </c>
      <c r="B197" s="5">
        <v>4.3434999999999997</v>
      </c>
      <c r="C197">
        <v>8.0496999999999996</v>
      </c>
      <c r="D197">
        <v>0.56359999999999999</v>
      </c>
      <c r="E197">
        <v>42.0428</v>
      </c>
      <c r="F197">
        <v>1.7337</v>
      </c>
      <c r="G197">
        <v>0</v>
      </c>
      <c r="H197">
        <v>26.666799999999999</v>
      </c>
      <c r="I197">
        <v>11.8422</v>
      </c>
      <c r="J197">
        <v>442.89499999999998</v>
      </c>
      <c r="K197">
        <v>1731788.3955000001</v>
      </c>
      <c r="M197" s="37">
        <v>44988</v>
      </c>
      <c r="N197" s="5">
        <v>5.3630000000000004</v>
      </c>
      <c r="O197">
        <v>11.1554</v>
      </c>
      <c r="P197">
        <v>0.49509999999999998</v>
      </c>
      <c r="Q197">
        <v>41.543700000000001</v>
      </c>
      <c r="R197">
        <v>1.6343000000000001</v>
      </c>
      <c r="S197" t="s">
        <v>33</v>
      </c>
      <c r="T197">
        <v>41.329700000000003</v>
      </c>
      <c r="U197">
        <v>29.879200000000001</v>
      </c>
      <c r="V197">
        <v>485.2</v>
      </c>
      <c r="W197">
        <v>671344.36230000004</v>
      </c>
      <c r="Y197" s="5">
        <v>1.1329</v>
      </c>
      <c r="Z197">
        <v>8.4431999999999992</v>
      </c>
      <c r="AA197">
        <v>0.98819999999999997</v>
      </c>
      <c r="AB197">
        <v>0.43440000000000001</v>
      </c>
      <c r="AC197">
        <v>-1.0377000000000001</v>
      </c>
      <c r="AD197" t="s">
        <v>33</v>
      </c>
      <c r="AE197">
        <v>15.6166</v>
      </c>
      <c r="AF197">
        <v>11.8002</v>
      </c>
      <c r="AG197">
        <v>10.962</v>
      </c>
      <c r="AH197">
        <v>79690.774999999994</v>
      </c>
      <c r="AJ197">
        <v>3.8056999999999999</v>
      </c>
      <c r="AK197">
        <v>12.2234</v>
      </c>
      <c r="AL197">
        <v>0.39410000000000001</v>
      </c>
      <c r="AM197">
        <v>26.148199999999999</v>
      </c>
      <c r="AN197">
        <v>0.81289999999999996</v>
      </c>
      <c r="AO197">
        <v>195.11080000000001</v>
      </c>
      <c r="AP197">
        <v>44.353099999999998</v>
      </c>
      <c r="AQ197">
        <v>30.868600000000001</v>
      </c>
      <c r="AR197">
        <v>764.471</v>
      </c>
      <c r="AS197">
        <v>599988.20129999996</v>
      </c>
      <c r="AU197" s="1">
        <f t="shared" si="16"/>
        <v>44988</v>
      </c>
      <c r="AV197" s="29">
        <f t="shared" si="17"/>
        <v>5.4357868407723107</v>
      </c>
      <c r="AW197" s="30">
        <f t="shared" si="18"/>
        <v>-0.64890948817260796</v>
      </c>
      <c r="AX197">
        <f t="shared" ca="1" si="19"/>
        <v>-0.61858279462510535</v>
      </c>
      <c r="AY197">
        <f t="shared" ca="1" si="20"/>
        <v>-0.72581934498464218</v>
      </c>
      <c r="AZ197">
        <f t="shared" ca="1" si="21"/>
        <v>-0.8382232491371111</v>
      </c>
      <c r="BA197">
        <f t="shared" ca="1" si="22"/>
        <v>-0.99075204436780939</v>
      </c>
      <c r="BB197">
        <f t="shared" ca="1" si="23"/>
        <v>-1.0411725321536907</v>
      </c>
    </row>
    <row r="198" spans="1:54" x14ac:dyDescent="0.25">
      <c r="A198" s="37">
        <v>44995</v>
      </c>
      <c r="B198" s="5">
        <v>4.2286000000000001</v>
      </c>
      <c r="C198">
        <v>8.0496999999999996</v>
      </c>
      <c r="D198">
        <v>0.56359999999999999</v>
      </c>
      <c r="E198">
        <v>42.0428</v>
      </c>
      <c r="F198">
        <v>1.7337</v>
      </c>
      <c r="G198">
        <v>0</v>
      </c>
      <c r="H198">
        <v>26.666799999999999</v>
      </c>
      <c r="I198">
        <v>11.8422</v>
      </c>
      <c r="J198">
        <v>423.2</v>
      </c>
      <c r="K198">
        <v>1654777.8795</v>
      </c>
      <c r="M198" s="37">
        <v>44995</v>
      </c>
      <c r="N198" s="5">
        <v>5.1685999999999996</v>
      </c>
      <c r="O198">
        <v>11.1554</v>
      </c>
      <c r="P198">
        <v>0.49509999999999998</v>
      </c>
      <c r="Q198">
        <v>41.543700000000001</v>
      </c>
      <c r="R198">
        <v>1.6343000000000001</v>
      </c>
      <c r="S198" t="s">
        <v>33</v>
      </c>
      <c r="T198">
        <v>41.329700000000003</v>
      </c>
      <c r="U198">
        <v>29.879200000000001</v>
      </c>
      <c r="V198">
        <v>470.5</v>
      </c>
      <c r="W198">
        <v>651004.78670000006</v>
      </c>
      <c r="Y198" s="5">
        <v>1.0607</v>
      </c>
      <c r="Z198">
        <v>8.4431999999999992</v>
      </c>
      <c r="AA198">
        <v>0.98819999999999997</v>
      </c>
      <c r="AB198">
        <v>0.43440000000000001</v>
      </c>
      <c r="AC198">
        <v>-1.0377000000000001</v>
      </c>
      <c r="AD198" t="s">
        <v>33</v>
      </c>
      <c r="AE198">
        <v>15.6166</v>
      </c>
      <c r="AF198">
        <v>11.8002</v>
      </c>
      <c r="AG198">
        <v>10.598000000000001</v>
      </c>
      <c r="AH198">
        <v>77039.614199999996</v>
      </c>
      <c r="AJ198">
        <v>3.7383000000000002</v>
      </c>
      <c r="AK198">
        <v>12.2234</v>
      </c>
      <c r="AL198">
        <v>0.39410000000000001</v>
      </c>
      <c r="AM198">
        <v>26.148199999999999</v>
      </c>
      <c r="AN198">
        <v>0.81289999999999996</v>
      </c>
      <c r="AO198">
        <v>195.11080000000001</v>
      </c>
      <c r="AP198">
        <v>44.353099999999998</v>
      </c>
      <c r="AQ198">
        <v>30.868600000000001</v>
      </c>
      <c r="AR198">
        <v>747.25400000000002</v>
      </c>
      <c r="AS198">
        <v>586476.14029999997</v>
      </c>
      <c r="AU198" s="1">
        <f t="shared" si="16"/>
        <v>44995</v>
      </c>
      <c r="AV198" s="29">
        <f t="shared" si="17"/>
        <v>5.3030882159350616</v>
      </c>
      <c r="AW198" s="30">
        <f t="shared" si="18"/>
        <v>-0.69005873360506853</v>
      </c>
      <c r="AX198">
        <f t="shared" ca="1" si="19"/>
        <v>-0.61858279462510535</v>
      </c>
      <c r="AY198">
        <f t="shared" ca="1" si="20"/>
        <v>-0.6959142233219161</v>
      </c>
      <c r="AZ198">
        <f t="shared" ca="1" si="21"/>
        <v>-0.82594762715460202</v>
      </c>
      <c r="BA198">
        <f t="shared" ca="1" si="22"/>
        <v>-0.99075204436780939</v>
      </c>
      <c r="BB198">
        <f t="shared" ca="1" si="23"/>
        <v>-1.0411725321536907</v>
      </c>
    </row>
    <row r="199" spans="1:54" x14ac:dyDescent="0.25">
      <c r="A199" s="37">
        <v>45002</v>
      </c>
      <c r="B199" s="5">
        <v>3.9079999999999999</v>
      </c>
      <c r="C199">
        <v>8.0496999999999996</v>
      </c>
      <c r="D199">
        <v>0.56359999999999999</v>
      </c>
      <c r="E199">
        <v>42.0428</v>
      </c>
      <c r="F199">
        <v>1.7337</v>
      </c>
      <c r="G199">
        <v>0</v>
      </c>
      <c r="H199">
        <v>26.666799999999999</v>
      </c>
      <c r="I199">
        <v>11.8422</v>
      </c>
      <c r="J199">
        <v>368.245</v>
      </c>
      <c r="K199">
        <v>1439895.2747</v>
      </c>
      <c r="M199" s="37">
        <v>45002</v>
      </c>
      <c r="N199" s="5">
        <v>5.0259</v>
      </c>
      <c r="O199">
        <v>11.1554</v>
      </c>
      <c r="P199">
        <v>0.49509999999999998</v>
      </c>
      <c r="Q199">
        <v>41.543700000000001</v>
      </c>
      <c r="R199">
        <v>1.6343000000000001</v>
      </c>
      <c r="S199" t="s">
        <v>33</v>
      </c>
      <c r="T199">
        <v>41.329700000000003</v>
      </c>
      <c r="U199">
        <v>29.879200000000001</v>
      </c>
      <c r="V199">
        <v>461.65</v>
      </c>
      <c r="W199">
        <v>638759.53189999994</v>
      </c>
      <c r="Y199" s="5">
        <v>0.85260000000000002</v>
      </c>
      <c r="Z199">
        <v>8.4431999999999992</v>
      </c>
      <c r="AA199">
        <v>0.98819999999999997</v>
      </c>
      <c r="AB199">
        <v>0.43440000000000001</v>
      </c>
      <c r="AC199">
        <v>-1.0377000000000001</v>
      </c>
      <c r="AD199" t="s">
        <v>33</v>
      </c>
      <c r="AE199">
        <v>15.6166</v>
      </c>
      <c r="AF199">
        <v>11.8002</v>
      </c>
      <c r="AG199">
        <v>9.5470000000000006</v>
      </c>
      <c r="AH199">
        <v>69398.032999999996</v>
      </c>
      <c r="AJ199">
        <v>3.4710000000000001</v>
      </c>
      <c r="AK199">
        <v>12.2234</v>
      </c>
      <c r="AL199">
        <v>0.39410000000000001</v>
      </c>
      <c r="AM199">
        <v>26.148199999999999</v>
      </c>
      <c r="AN199">
        <v>0.81289999999999996</v>
      </c>
      <c r="AO199">
        <v>195.11080000000001</v>
      </c>
      <c r="AP199">
        <v>44.353099999999998</v>
      </c>
      <c r="AQ199">
        <v>30.868600000000001</v>
      </c>
      <c r="AR199">
        <v>678.96500000000003</v>
      </c>
      <c r="AS199">
        <v>532879.55299999996</v>
      </c>
      <c r="AU199" s="1">
        <f t="shared" ref="AU199:AU262" si="24">+A199</f>
        <v>45002</v>
      </c>
      <c r="AV199" s="29">
        <f t="shared" ref="AV199:AV251" si="25">+(Y199*AH199+N199*W199+B199*K199+AJ199*AS199)/(K199+W199+AH199)</f>
        <v>5.0027847351761263</v>
      </c>
      <c r="AW199" s="30">
        <f t="shared" ref="AW199:AW252" si="26">+(AV199-$AW$1)/$AX$1</f>
        <v>-0.783181489391931</v>
      </c>
      <c r="AX199">
        <f t="shared" ca="1" si="19"/>
        <v>-0.61858279462510535</v>
      </c>
      <c r="AY199">
        <f t="shared" ca="1" si="20"/>
        <v>-0.68525994212638086</v>
      </c>
      <c r="AZ199">
        <f t="shared" ca="1" si="21"/>
        <v>-0.81898122407855078</v>
      </c>
      <c r="BA199">
        <f t="shared" ca="1" si="22"/>
        <v>-0.99075204436780939</v>
      </c>
      <c r="BB199">
        <f t="shared" ca="1" si="23"/>
        <v>-1.0411725321536907</v>
      </c>
    </row>
    <row r="200" spans="1:54" x14ac:dyDescent="0.25">
      <c r="A200" s="37">
        <v>45009</v>
      </c>
      <c r="B200" s="5">
        <v>3.9514999999999998</v>
      </c>
      <c r="C200">
        <v>8.0496999999999996</v>
      </c>
      <c r="D200">
        <v>0.56359999999999999</v>
      </c>
      <c r="E200">
        <v>42.0428</v>
      </c>
      <c r="F200">
        <v>1.7337</v>
      </c>
      <c r="G200">
        <v>0</v>
      </c>
      <c r="H200">
        <v>26.666799999999999</v>
      </c>
      <c r="I200">
        <v>11.8422</v>
      </c>
      <c r="J200">
        <v>375.7</v>
      </c>
      <c r="K200">
        <v>1469045.4852</v>
      </c>
      <c r="M200" s="37">
        <v>45009</v>
      </c>
      <c r="N200" s="5">
        <v>4.7651000000000003</v>
      </c>
      <c r="O200">
        <v>11.1554</v>
      </c>
      <c r="P200">
        <v>0.49509999999999998</v>
      </c>
      <c r="Q200">
        <v>41.543700000000001</v>
      </c>
      <c r="R200">
        <v>1.6343000000000001</v>
      </c>
      <c r="S200" t="s">
        <v>33</v>
      </c>
      <c r="T200">
        <v>41.329700000000003</v>
      </c>
      <c r="U200">
        <v>29.879200000000001</v>
      </c>
      <c r="V200">
        <v>438.1</v>
      </c>
      <c r="W200">
        <v>606174.70149999997</v>
      </c>
      <c r="Y200" s="5">
        <v>0.75490000000000002</v>
      </c>
      <c r="Z200">
        <v>8.4431999999999992</v>
      </c>
      <c r="AA200">
        <v>0.98819999999999997</v>
      </c>
      <c r="AB200">
        <v>0.43440000000000001</v>
      </c>
      <c r="AC200">
        <v>-1.0377000000000001</v>
      </c>
      <c r="AD200" t="s">
        <v>33</v>
      </c>
      <c r="AE200">
        <v>15.6166</v>
      </c>
      <c r="AF200">
        <v>11.8002</v>
      </c>
      <c r="AG200">
        <v>9.0530000000000008</v>
      </c>
      <c r="AH200">
        <v>65811.168399999995</v>
      </c>
      <c r="AJ200">
        <v>3.4716999999999998</v>
      </c>
      <c r="AK200">
        <v>12.2234</v>
      </c>
      <c r="AL200">
        <v>0.39410000000000001</v>
      </c>
      <c r="AM200">
        <v>26.148199999999999</v>
      </c>
      <c r="AN200">
        <v>0.81289999999999996</v>
      </c>
      <c r="AO200">
        <v>195.11080000000001</v>
      </c>
      <c r="AP200">
        <v>44.353099999999998</v>
      </c>
      <c r="AQ200">
        <v>30.868600000000001</v>
      </c>
      <c r="AR200">
        <v>679.15599999999995</v>
      </c>
      <c r="AS200">
        <v>533030.10519999999</v>
      </c>
      <c r="AU200" s="1">
        <f t="shared" si="24"/>
        <v>45009</v>
      </c>
      <c r="AV200" s="29">
        <f t="shared" si="25"/>
        <v>4.9479040775835159</v>
      </c>
      <c r="AW200" s="30">
        <f t="shared" si="26"/>
        <v>-0.8001997339407565</v>
      </c>
      <c r="AX200">
        <f t="shared" ca="1" si="19"/>
        <v>-0.61858279462510535</v>
      </c>
      <c r="AY200">
        <f t="shared" ca="1" si="20"/>
        <v>-0.68525994212638086</v>
      </c>
      <c r="AZ200">
        <f t="shared" ca="1" si="21"/>
        <v>-0.81643298367342532</v>
      </c>
      <c r="BA200">
        <f t="shared" ca="1" si="22"/>
        <v>-0.99075204436780939</v>
      </c>
      <c r="BB200">
        <f t="shared" ca="1" si="23"/>
        <v>-1.0411725321536907</v>
      </c>
    </row>
    <row r="201" spans="1:54" x14ac:dyDescent="0.25">
      <c r="A201" s="37">
        <v>45016</v>
      </c>
      <c r="B201" s="5">
        <v>4.1036000000000001</v>
      </c>
      <c r="C201">
        <v>7.5567000000000002</v>
      </c>
      <c r="D201">
        <v>0.36620000000000003</v>
      </c>
      <c r="E201">
        <v>42.014299999999999</v>
      </c>
      <c r="F201">
        <v>1.8042</v>
      </c>
      <c r="G201">
        <v>0</v>
      </c>
      <c r="H201">
        <v>25.9694</v>
      </c>
      <c r="I201">
        <v>10.597200000000001</v>
      </c>
      <c r="J201">
        <v>444.435</v>
      </c>
      <c r="K201">
        <v>1737810.0352</v>
      </c>
      <c r="M201" s="37">
        <v>45016</v>
      </c>
      <c r="N201" s="5">
        <v>5.5658000000000003</v>
      </c>
      <c r="O201">
        <v>11.235099999999999</v>
      </c>
      <c r="P201">
        <v>0.36359999999999998</v>
      </c>
      <c r="Q201">
        <v>40.7699</v>
      </c>
      <c r="R201">
        <v>1.6284000000000001</v>
      </c>
      <c r="S201" t="s">
        <v>33</v>
      </c>
      <c r="T201">
        <v>41.613199999999999</v>
      </c>
      <c r="U201">
        <v>29.657299999999999</v>
      </c>
      <c r="V201">
        <v>532.95000000000005</v>
      </c>
      <c r="W201">
        <v>737413.3922</v>
      </c>
      <c r="Y201" s="5">
        <v>1.1075999999999999</v>
      </c>
      <c r="Z201">
        <v>34.438200000000002</v>
      </c>
      <c r="AA201">
        <v>2.4502999999999999</v>
      </c>
      <c r="AB201">
        <v>0.66069999999999995</v>
      </c>
      <c r="AC201">
        <v>-0.26800000000000002</v>
      </c>
      <c r="AD201" t="s">
        <v>33</v>
      </c>
      <c r="AE201">
        <v>17.433499999999999</v>
      </c>
      <c r="AF201">
        <v>13.584199999999999</v>
      </c>
      <c r="AG201">
        <v>9.9329999999999998</v>
      </c>
      <c r="AH201">
        <v>72205.144499999995</v>
      </c>
      <c r="AJ201">
        <v>2.8031999999999999</v>
      </c>
      <c r="AK201">
        <v>29.031600000000001</v>
      </c>
      <c r="AL201">
        <v>0.69769999999999999</v>
      </c>
      <c r="AM201">
        <v>24.729900000000001</v>
      </c>
      <c r="AN201">
        <v>0.28010000000000002</v>
      </c>
      <c r="AO201">
        <v>195.11080000000001</v>
      </c>
      <c r="AP201">
        <v>42.936300000000003</v>
      </c>
      <c r="AQ201">
        <v>29.502600000000001</v>
      </c>
      <c r="AR201">
        <v>791.03800000000001</v>
      </c>
      <c r="AS201">
        <v>620839.68259999994</v>
      </c>
      <c r="AU201" s="1">
        <f t="shared" si="24"/>
        <v>45016</v>
      </c>
      <c r="AV201" s="29">
        <f t="shared" si="25"/>
        <v>5.1251230668769123</v>
      </c>
      <c r="AW201" s="30">
        <f t="shared" si="26"/>
        <v>-0.74524492416280652</v>
      </c>
      <c r="AX201">
        <f t="shared" ca="1" si="19"/>
        <v>-0.61858279462510535</v>
      </c>
      <c r="AY201">
        <f t="shared" ca="1" si="20"/>
        <v>-0.68525994212638086</v>
      </c>
      <c r="AZ201">
        <f t="shared" ca="1" si="21"/>
        <v>-0.81505281675078289</v>
      </c>
      <c r="BA201">
        <f t="shared" ca="1" si="22"/>
        <v>-0.99075204436780939</v>
      </c>
      <c r="BB201">
        <f t="shared" ca="1" si="23"/>
        <v>-1.0411725321536907</v>
      </c>
    </row>
    <row r="202" spans="1:54" x14ac:dyDescent="0.25">
      <c r="A202" s="37">
        <v>45023</v>
      </c>
      <c r="B202" s="5">
        <v>4.2220000000000004</v>
      </c>
      <c r="C202">
        <v>7.5567000000000002</v>
      </c>
      <c r="D202">
        <v>0.36620000000000003</v>
      </c>
      <c r="E202">
        <v>42.014299999999999</v>
      </c>
      <c r="F202">
        <v>1.8042</v>
      </c>
      <c r="G202">
        <v>0</v>
      </c>
      <c r="H202">
        <v>25.9694</v>
      </c>
      <c r="I202">
        <v>10.597200000000001</v>
      </c>
      <c r="J202">
        <v>467.60500000000002</v>
      </c>
      <c r="K202">
        <v>1828408.3421</v>
      </c>
      <c r="M202" s="37">
        <v>45023</v>
      </c>
      <c r="N202" s="5">
        <v>5.6542000000000003</v>
      </c>
      <c r="O202">
        <v>11.235099999999999</v>
      </c>
      <c r="P202">
        <v>0.36359999999999998</v>
      </c>
      <c r="Q202">
        <v>40.7699</v>
      </c>
      <c r="R202">
        <v>1.6284000000000001</v>
      </c>
      <c r="S202" t="s">
        <v>33</v>
      </c>
      <c r="T202">
        <v>41.613199999999999</v>
      </c>
      <c r="U202">
        <v>29.657299999999999</v>
      </c>
      <c r="V202">
        <v>551.04999999999995</v>
      </c>
      <c r="W202">
        <v>762457.35959999997</v>
      </c>
      <c r="Y202" s="5">
        <v>1.075</v>
      </c>
      <c r="Z202">
        <v>34.438200000000002</v>
      </c>
      <c r="AA202">
        <v>2.4502999999999999</v>
      </c>
      <c r="AB202">
        <v>0.66069999999999995</v>
      </c>
      <c r="AC202">
        <v>-0.26800000000000002</v>
      </c>
      <c r="AD202" t="s">
        <v>33</v>
      </c>
      <c r="AE202">
        <v>17.433499999999999</v>
      </c>
      <c r="AF202">
        <v>13.584199999999999</v>
      </c>
      <c r="AG202">
        <v>9.6969999999999992</v>
      </c>
      <c r="AH202">
        <v>70489.6875</v>
      </c>
      <c r="AJ202">
        <v>2.8201999999999998</v>
      </c>
      <c r="AK202">
        <v>29.031600000000001</v>
      </c>
      <c r="AL202">
        <v>0.69769999999999999</v>
      </c>
      <c r="AM202">
        <v>24.729900000000001</v>
      </c>
      <c r="AN202">
        <v>0.28010000000000002</v>
      </c>
      <c r="AO202">
        <v>195.11080000000001</v>
      </c>
      <c r="AP202">
        <v>42.936300000000003</v>
      </c>
      <c r="AQ202">
        <v>29.502600000000001</v>
      </c>
      <c r="AR202">
        <v>796.36099999999999</v>
      </c>
      <c r="AS202">
        <v>625017.50650000002</v>
      </c>
      <c r="AU202" s="1">
        <f t="shared" si="24"/>
        <v>45023</v>
      </c>
      <c r="AV202" s="29">
        <f t="shared" si="25"/>
        <v>5.2112834179050953</v>
      </c>
      <c r="AW202" s="30">
        <f t="shared" si="26"/>
        <v>-0.7185269876705932</v>
      </c>
      <c r="AX202">
        <f t="shared" ca="1" si="19"/>
        <v>-0.61858279462510535</v>
      </c>
      <c r="AY202">
        <f t="shared" ca="1" si="20"/>
        <v>-0.68525994212638086</v>
      </c>
      <c r="AZ202">
        <f t="shared" ca="1" si="21"/>
        <v>-0.80703742032735271</v>
      </c>
      <c r="BA202">
        <f t="shared" ca="1" si="22"/>
        <v>-0.93037131154961117</v>
      </c>
      <c r="BB202">
        <f t="shared" ca="1" si="23"/>
        <v>-1.0411725321536907</v>
      </c>
    </row>
    <row r="203" spans="1:54" x14ac:dyDescent="0.25">
      <c r="A203" s="37">
        <v>45030</v>
      </c>
      <c r="B203" s="5">
        <v>4.399</v>
      </c>
      <c r="C203">
        <v>7.5567000000000002</v>
      </c>
      <c r="D203">
        <v>0.36620000000000003</v>
      </c>
      <c r="E203">
        <v>42.014299999999999</v>
      </c>
      <c r="F203">
        <v>1.8042</v>
      </c>
      <c r="G203">
        <v>0</v>
      </c>
      <c r="H203">
        <v>25.9694</v>
      </c>
      <c r="I203">
        <v>10.597200000000001</v>
      </c>
      <c r="J203">
        <v>502.21499999999997</v>
      </c>
      <c r="K203">
        <v>1963738.8297999999</v>
      </c>
      <c r="M203" s="37">
        <v>45030</v>
      </c>
      <c r="N203" s="5">
        <v>5.9813999999999998</v>
      </c>
      <c r="O203">
        <v>11.235099999999999</v>
      </c>
      <c r="P203">
        <v>0.36359999999999998</v>
      </c>
      <c r="Q203">
        <v>40.7699</v>
      </c>
      <c r="R203">
        <v>1.6284000000000001</v>
      </c>
      <c r="S203" t="s">
        <v>33</v>
      </c>
      <c r="T203">
        <v>41.613199999999999</v>
      </c>
      <c r="U203">
        <v>29.657299999999999</v>
      </c>
      <c r="V203">
        <v>604.25</v>
      </c>
      <c r="W203">
        <v>836067.25260000001</v>
      </c>
      <c r="Y203" s="5">
        <v>1.2621</v>
      </c>
      <c r="Z203">
        <v>34.438200000000002</v>
      </c>
      <c r="AA203">
        <v>2.4502999999999999</v>
      </c>
      <c r="AB203">
        <v>0.66069999999999995</v>
      </c>
      <c r="AC203">
        <v>-0.26800000000000002</v>
      </c>
      <c r="AD203" t="s">
        <v>33</v>
      </c>
      <c r="AE203">
        <v>17.433499999999999</v>
      </c>
      <c r="AF203">
        <v>13.584199999999999</v>
      </c>
      <c r="AG203">
        <v>11.048</v>
      </c>
      <c r="AH203">
        <v>80314.577499999999</v>
      </c>
      <c r="AJ203">
        <v>3.0863999999999998</v>
      </c>
      <c r="AK203">
        <v>29.031600000000001</v>
      </c>
      <c r="AL203">
        <v>0.69769999999999999</v>
      </c>
      <c r="AM203">
        <v>24.729900000000001</v>
      </c>
      <c r="AN203">
        <v>0.28010000000000002</v>
      </c>
      <c r="AO203">
        <v>195.11080000000001</v>
      </c>
      <c r="AP203">
        <v>42.936300000000003</v>
      </c>
      <c r="AQ203">
        <v>29.502600000000001</v>
      </c>
      <c r="AR203">
        <v>879.80499999999995</v>
      </c>
      <c r="AS203">
        <v>690507.71849999996</v>
      </c>
      <c r="AU203" s="1">
        <f t="shared" si="24"/>
        <v>45030</v>
      </c>
      <c r="AV203" s="29">
        <f t="shared" si="25"/>
        <v>5.5108412812760683</v>
      </c>
      <c r="AW203" s="30">
        <f t="shared" si="26"/>
        <v>-0.62563544447492081</v>
      </c>
      <c r="AX203">
        <f t="shared" ca="1" si="19"/>
        <v>-0.61858279462510535</v>
      </c>
      <c r="AY203">
        <f t="shared" ca="1" si="20"/>
        <v>-0.68525994212638086</v>
      </c>
      <c r="AZ203">
        <f t="shared" ca="1" si="21"/>
        <v>-0.79743419193644538</v>
      </c>
      <c r="BA203">
        <f t="shared" ca="1" si="22"/>
        <v>-0.90911378526788811</v>
      </c>
      <c r="BB203">
        <f t="shared" ca="1" si="23"/>
        <v>-1.0411725321536907</v>
      </c>
    </row>
    <row r="204" spans="1:54" x14ac:dyDescent="0.25">
      <c r="A204" s="37">
        <v>45037</v>
      </c>
      <c r="B204" s="5">
        <v>4.4824999999999999</v>
      </c>
      <c r="C204">
        <v>7.5567000000000002</v>
      </c>
      <c r="D204">
        <v>0.36620000000000003</v>
      </c>
      <c r="E204">
        <v>42.014299999999999</v>
      </c>
      <c r="F204">
        <v>1.8042</v>
      </c>
      <c r="G204">
        <v>0</v>
      </c>
      <c r="H204">
        <v>25.9694</v>
      </c>
      <c r="I204">
        <v>10.597200000000001</v>
      </c>
      <c r="J204">
        <v>518.56500000000005</v>
      </c>
      <c r="K204">
        <v>2027669.875</v>
      </c>
      <c r="M204" s="37">
        <v>45037</v>
      </c>
      <c r="N204" s="5">
        <v>6.0311000000000003</v>
      </c>
      <c r="O204">
        <v>11.235099999999999</v>
      </c>
      <c r="P204">
        <v>0.36359999999999998</v>
      </c>
      <c r="Q204">
        <v>40.7699</v>
      </c>
      <c r="R204">
        <v>1.6284000000000001</v>
      </c>
      <c r="S204" t="s">
        <v>33</v>
      </c>
      <c r="T204">
        <v>41.613199999999999</v>
      </c>
      <c r="U204">
        <v>29.657299999999999</v>
      </c>
      <c r="V204">
        <v>622.29999999999995</v>
      </c>
      <c r="W204">
        <v>861042.03769999999</v>
      </c>
      <c r="Y204" s="5">
        <v>1.3364</v>
      </c>
      <c r="Z204">
        <v>34.438200000000002</v>
      </c>
      <c r="AA204">
        <v>2.4502999999999999</v>
      </c>
      <c r="AB204">
        <v>0.66069999999999995</v>
      </c>
      <c r="AC204">
        <v>-0.26800000000000002</v>
      </c>
      <c r="AD204" t="s">
        <v>33</v>
      </c>
      <c r="AE204">
        <v>17.433499999999999</v>
      </c>
      <c r="AF204">
        <v>13.584199999999999</v>
      </c>
      <c r="AG204">
        <v>11.585000000000001</v>
      </c>
      <c r="AH204">
        <v>84213.343399999998</v>
      </c>
      <c r="AJ204">
        <v>3.1516999999999999</v>
      </c>
      <c r="AK204">
        <v>29.031600000000001</v>
      </c>
      <c r="AL204">
        <v>0.69769999999999999</v>
      </c>
      <c r="AM204">
        <v>24.729900000000001</v>
      </c>
      <c r="AN204">
        <v>0.28010000000000002</v>
      </c>
      <c r="AO204">
        <v>195.11080000000001</v>
      </c>
      <c r="AP204">
        <v>42.936300000000003</v>
      </c>
      <c r="AQ204">
        <v>29.502600000000001</v>
      </c>
      <c r="AR204">
        <v>900.28300000000002</v>
      </c>
      <c r="AS204">
        <v>706579.16709999996</v>
      </c>
      <c r="AU204" s="1">
        <f t="shared" si="24"/>
        <v>45037</v>
      </c>
      <c r="AV204" s="29">
        <f t="shared" si="25"/>
        <v>5.5909677134411284</v>
      </c>
      <c r="AW204" s="30">
        <f t="shared" si="26"/>
        <v>-0.60078859902470372</v>
      </c>
      <c r="AX204">
        <f t="shared" ca="1" si="19"/>
        <v>-0.61810354933473288</v>
      </c>
      <c r="AY204">
        <f t="shared" ca="1" si="20"/>
        <v>-0.6704114539011351</v>
      </c>
      <c r="AZ204">
        <f t="shared" ca="1" si="21"/>
        <v>-0.78892506966203257</v>
      </c>
      <c r="BA204">
        <f t="shared" ca="1" si="22"/>
        <v>-0.90596535065013151</v>
      </c>
      <c r="BB204">
        <f t="shared" ca="1" si="23"/>
        <v>-1.0411725321536907</v>
      </c>
    </row>
    <row r="205" spans="1:54" x14ac:dyDescent="0.25">
      <c r="A205" s="37">
        <v>45044</v>
      </c>
      <c r="B205" s="5">
        <v>4.4397000000000002</v>
      </c>
      <c r="C205">
        <v>7.5567000000000002</v>
      </c>
      <c r="D205">
        <v>0.36620000000000003</v>
      </c>
      <c r="E205">
        <v>42.014299999999999</v>
      </c>
      <c r="F205">
        <v>1.8042</v>
      </c>
      <c r="G205">
        <v>0</v>
      </c>
      <c r="H205">
        <v>25.9694</v>
      </c>
      <c r="I205">
        <v>10.597200000000001</v>
      </c>
      <c r="J205">
        <v>510.17500000000001</v>
      </c>
      <c r="K205">
        <v>1994863.6688999999</v>
      </c>
      <c r="M205" s="37">
        <v>45044</v>
      </c>
      <c r="N205" s="5">
        <v>5.9470000000000001</v>
      </c>
      <c r="O205">
        <v>11.235099999999999</v>
      </c>
      <c r="P205">
        <v>0.36359999999999998</v>
      </c>
      <c r="Q205">
        <v>40.7699</v>
      </c>
      <c r="R205">
        <v>1.6284000000000001</v>
      </c>
      <c r="S205" t="s">
        <v>33</v>
      </c>
      <c r="T205">
        <v>41.613199999999999</v>
      </c>
      <c r="U205">
        <v>29.657299999999999</v>
      </c>
      <c r="V205">
        <v>625.70000000000005</v>
      </c>
      <c r="W205">
        <v>865746.42929999996</v>
      </c>
      <c r="Y205" s="5">
        <v>1.4522999999999999</v>
      </c>
      <c r="Z205">
        <v>34.438200000000002</v>
      </c>
      <c r="AA205">
        <v>2.4502999999999999</v>
      </c>
      <c r="AB205">
        <v>0.66069999999999995</v>
      </c>
      <c r="AC205">
        <v>-0.26800000000000002</v>
      </c>
      <c r="AD205" t="s">
        <v>33</v>
      </c>
      <c r="AE205">
        <v>17.433499999999999</v>
      </c>
      <c r="AF205">
        <v>13.584199999999999</v>
      </c>
      <c r="AG205">
        <v>12.420999999999999</v>
      </c>
      <c r="AH205">
        <v>90295.4182</v>
      </c>
      <c r="AJ205">
        <v>3.4552999999999998</v>
      </c>
      <c r="AK205">
        <v>29.031600000000001</v>
      </c>
      <c r="AL205">
        <v>0.69769999999999999</v>
      </c>
      <c r="AM205">
        <v>24.729900000000001</v>
      </c>
      <c r="AN205">
        <v>0.28010000000000002</v>
      </c>
      <c r="AO205">
        <v>195.11080000000001</v>
      </c>
      <c r="AP205">
        <v>42.936300000000003</v>
      </c>
      <c r="AQ205">
        <v>29.502600000000001</v>
      </c>
      <c r="AR205">
        <v>995.476</v>
      </c>
      <c r="AS205">
        <v>781290.70209999999</v>
      </c>
      <c r="AU205" s="1">
        <f t="shared" si="24"/>
        <v>45044</v>
      </c>
      <c r="AV205" s="29">
        <f t="shared" si="25"/>
        <v>5.705340259494192</v>
      </c>
      <c r="AW205" s="30">
        <f t="shared" si="26"/>
        <v>-0.56532218801972833</v>
      </c>
      <c r="AX205">
        <f t="shared" ca="1" si="19"/>
        <v>-0.61191713832016037</v>
      </c>
      <c r="AY205">
        <f t="shared" ca="1" si="20"/>
        <v>-0.66401870644334215</v>
      </c>
      <c r="AZ205">
        <f t="shared" ca="1" si="21"/>
        <v>-0.78089883636359081</v>
      </c>
      <c r="BA205">
        <f t="shared" ca="1" si="22"/>
        <v>-0.89001619200978022</v>
      </c>
      <c r="BB205">
        <f t="shared" ca="1" si="23"/>
        <v>-1.0411725321536907</v>
      </c>
    </row>
    <row r="206" spans="1:54" x14ac:dyDescent="0.25">
      <c r="A206" s="37">
        <v>45051</v>
      </c>
      <c r="B206" s="5">
        <v>4.4912000000000001</v>
      </c>
      <c r="C206">
        <v>7.5567000000000002</v>
      </c>
      <c r="D206">
        <v>0.36620000000000003</v>
      </c>
      <c r="E206">
        <v>42.014299999999999</v>
      </c>
      <c r="F206">
        <v>1.8042</v>
      </c>
      <c r="G206">
        <v>0</v>
      </c>
      <c r="H206">
        <v>25.9694</v>
      </c>
      <c r="I206">
        <v>10.597200000000001</v>
      </c>
      <c r="J206">
        <v>520.255</v>
      </c>
      <c r="K206">
        <v>2034278.0381</v>
      </c>
      <c r="M206" s="37">
        <v>45051</v>
      </c>
      <c r="N206" s="5">
        <v>5.8335999999999997</v>
      </c>
      <c r="O206">
        <v>11.235099999999999</v>
      </c>
      <c r="P206">
        <v>0.36359999999999998</v>
      </c>
      <c r="Q206">
        <v>40.7699</v>
      </c>
      <c r="R206">
        <v>1.6284000000000001</v>
      </c>
      <c r="S206" t="s">
        <v>33</v>
      </c>
      <c r="T206">
        <v>41.613199999999999</v>
      </c>
      <c r="U206">
        <v>29.657299999999999</v>
      </c>
      <c r="V206">
        <v>623.45000000000005</v>
      </c>
      <c r="W206">
        <v>862633.22900000005</v>
      </c>
      <c r="Y206" s="5">
        <v>1.4196</v>
      </c>
      <c r="Z206">
        <v>34.438200000000002</v>
      </c>
      <c r="AA206">
        <v>2.4502999999999999</v>
      </c>
      <c r="AB206">
        <v>0.66069999999999995</v>
      </c>
      <c r="AC206">
        <v>-0.26800000000000002</v>
      </c>
      <c r="AD206" t="s">
        <v>33</v>
      </c>
      <c r="AE206">
        <v>17.433499999999999</v>
      </c>
      <c r="AF206">
        <v>13.584199999999999</v>
      </c>
      <c r="AG206">
        <v>12.396000000000001</v>
      </c>
      <c r="AH206">
        <v>88579.961200000005</v>
      </c>
      <c r="AJ206">
        <v>3.5695999999999999</v>
      </c>
      <c r="AK206">
        <v>29.031600000000001</v>
      </c>
      <c r="AL206">
        <v>0.69769999999999999</v>
      </c>
      <c r="AM206">
        <v>24.729900000000001</v>
      </c>
      <c r="AN206">
        <v>0.28010000000000002</v>
      </c>
      <c r="AO206">
        <v>195.11080000000001</v>
      </c>
      <c r="AP206">
        <v>42.936300000000003</v>
      </c>
      <c r="AQ206">
        <v>29.502600000000001</v>
      </c>
      <c r="AR206">
        <v>1031.299</v>
      </c>
      <c r="AS206">
        <v>809406.32759999996</v>
      </c>
      <c r="AU206" s="1">
        <f t="shared" si="24"/>
        <v>45051</v>
      </c>
      <c r="AV206" s="29">
        <f t="shared" si="25"/>
        <v>5.755706634286212</v>
      </c>
      <c r="AW206" s="30">
        <f t="shared" si="26"/>
        <v>-0.54970380221955872</v>
      </c>
      <c r="AX206">
        <f t="shared" ca="1" si="19"/>
        <v>-0.60532663253792696</v>
      </c>
      <c r="AY206">
        <f t="shared" ca="1" si="20"/>
        <v>-0.64862494095570833</v>
      </c>
      <c r="AZ206">
        <f t="shared" ca="1" si="21"/>
        <v>-0.7776158197969254</v>
      </c>
      <c r="BA206">
        <f t="shared" ca="1" si="22"/>
        <v>-0.8797957603915143</v>
      </c>
      <c r="BB206">
        <f t="shared" ca="1" si="23"/>
        <v>-1.0235335798488898</v>
      </c>
    </row>
    <row r="207" spans="1:54" x14ac:dyDescent="0.25">
      <c r="A207" s="37">
        <v>45058</v>
      </c>
      <c r="B207" s="5">
        <v>4.5467000000000004</v>
      </c>
      <c r="C207">
        <v>7.5567000000000002</v>
      </c>
      <c r="D207">
        <v>0.36620000000000003</v>
      </c>
      <c r="E207">
        <v>42.014299999999999</v>
      </c>
      <c r="F207">
        <v>1.8042</v>
      </c>
      <c r="G207">
        <v>0</v>
      </c>
      <c r="H207">
        <v>25.9694</v>
      </c>
      <c r="I207">
        <v>10.597200000000001</v>
      </c>
      <c r="J207">
        <v>531.12</v>
      </c>
      <c r="K207">
        <v>2076761.8795</v>
      </c>
      <c r="M207" s="37">
        <v>45058</v>
      </c>
      <c r="N207" s="5">
        <v>6.3414000000000001</v>
      </c>
      <c r="O207">
        <v>11.235099999999999</v>
      </c>
      <c r="P207">
        <v>0.36359999999999998</v>
      </c>
      <c r="Q207">
        <v>40.7699</v>
      </c>
      <c r="R207">
        <v>1.6284000000000001</v>
      </c>
      <c r="S207" t="s">
        <v>33</v>
      </c>
      <c r="T207">
        <v>41.613199999999999</v>
      </c>
      <c r="U207">
        <v>29.657299999999999</v>
      </c>
      <c r="V207">
        <v>700.95</v>
      </c>
      <c r="W207">
        <v>969865.68590000004</v>
      </c>
      <c r="Y207" s="5">
        <v>1.4612000000000001</v>
      </c>
      <c r="Z207">
        <v>34.438200000000002</v>
      </c>
      <c r="AA207">
        <v>2.4502999999999999</v>
      </c>
      <c r="AB207">
        <v>0.66069999999999995</v>
      </c>
      <c r="AC207">
        <v>-0.26800000000000002</v>
      </c>
      <c r="AD207" t="s">
        <v>33</v>
      </c>
      <c r="AE207">
        <v>17.433499999999999</v>
      </c>
      <c r="AF207">
        <v>13.584199999999999</v>
      </c>
      <c r="AG207">
        <v>12.702</v>
      </c>
      <c r="AH207">
        <v>90763.270199999999</v>
      </c>
      <c r="AJ207">
        <v>4.0465</v>
      </c>
      <c r="AK207">
        <v>29.031600000000001</v>
      </c>
      <c r="AL207">
        <v>0.69769999999999999</v>
      </c>
      <c r="AM207">
        <v>24.729900000000001</v>
      </c>
      <c r="AN207">
        <v>0.28010000000000002</v>
      </c>
      <c r="AO207">
        <v>195.11080000000001</v>
      </c>
      <c r="AP207">
        <v>42.936300000000003</v>
      </c>
      <c r="AQ207">
        <v>29.502600000000001</v>
      </c>
      <c r="AR207">
        <v>1180.827</v>
      </c>
      <c r="AS207">
        <v>926761.77659999998</v>
      </c>
      <c r="AU207" s="1">
        <f t="shared" si="24"/>
        <v>45058</v>
      </c>
      <c r="AV207" s="29">
        <f t="shared" si="25"/>
        <v>6.2075416605825984</v>
      </c>
      <c r="AW207" s="30">
        <f t="shared" si="26"/>
        <v>-0.40959179717914757</v>
      </c>
      <c r="AX207">
        <f t="shared" ca="1" si="19"/>
        <v>-0.60288479907104575</v>
      </c>
      <c r="AY207">
        <f t="shared" ca="1" si="20"/>
        <v>-0.647405514957335</v>
      </c>
      <c r="AZ207">
        <f t="shared" ca="1" si="21"/>
        <v>-0.76889219566692357</v>
      </c>
      <c r="BA207">
        <f t="shared" ca="1" si="22"/>
        <v>-0.86426489966267239</v>
      </c>
      <c r="BB207">
        <f t="shared" ca="1" si="23"/>
        <v>-1.0140954329250096</v>
      </c>
    </row>
    <row r="208" spans="1:54" x14ac:dyDescent="0.25">
      <c r="A208" s="37">
        <v>45065</v>
      </c>
      <c r="B208" s="5">
        <v>4.5585000000000004</v>
      </c>
      <c r="C208">
        <v>7.5567000000000002</v>
      </c>
      <c r="D208">
        <v>0.36620000000000003</v>
      </c>
      <c r="E208">
        <v>42.014299999999999</v>
      </c>
      <c r="F208">
        <v>1.8042</v>
      </c>
      <c r="G208">
        <v>0</v>
      </c>
      <c r="H208">
        <v>25.9694</v>
      </c>
      <c r="I208">
        <v>10.597200000000001</v>
      </c>
      <c r="J208">
        <v>533.42999999999995</v>
      </c>
      <c r="K208">
        <v>2085794.3389999999</v>
      </c>
      <c r="M208" s="37">
        <v>45065</v>
      </c>
      <c r="N208" s="5">
        <v>6.3667999999999996</v>
      </c>
      <c r="O208">
        <v>11.235099999999999</v>
      </c>
      <c r="P208">
        <v>0.36359999999999998</v>
      </c>
      <c r="Q208">
        <v>40.7699</v>
      </c>
      <c r="R208">
        <v>1.6284000000000001</v>
      </c>
      <c r="S208" t="s">
        <v>33</v>
      </c>
      <c r="T208">
        <v>41.613199999999999</v>
      </c>
      <c r="U208">
        <v>29.657299999999999</v>
      </c>
      <c r="V208">
        <v>717.2</v>
      </c>
      <c r="W208">
        <v>992349.91070000001</v>
      </c>
      <c r="Y208" s="5">
        <v>1.6068</v>
      </c>
      <c r="Z208">
        <v>34.438200000000002</v>
      </c>
      <c r="AA208">
        <v>2.4502999999999999</v>
      </c>
      <c r="AB208">
        <v>0.66069999999999995</v>
      </c>
      <c r="AC208">
        <v>-0.26800000000000002</v>
      </c>
      <c r="AD208" t="s">
        <v>33</v>
      </c>
      <c r="AE208">
        <v>17.433499999999999</v>
      </c>
      <c r="AF208">
        <v>13.584199999999999</v>
      </c>
      <c r="AG208">
        <v>13.771000000000001</v>
      </c>
      <c r="AH208">
        <v>98404.851299999995</v>
      </c>
      <c r="AJ208">
        <v>4.0785999999999998</v>
      </c>
      <c r="AK208">
        <v>29.031600000000001</v>
      </c>
      <c r="AL208">
        <v>0.69769999999999999</v>
      </c>
      <c r="AM208">
        <v>24.729900000000001</v>
      </c>
      <c r="AN208">
        <v>0.28010000000000002</v>
      </c>
      <c r="AO208">
        <v>195.11080000000001</v>
      </c>
      <c r="AP208">
        <v>42.936300000000003</v>
      </c>
      <c r="AQ208">
        <v>29.502600000000001</v>
      </c>
      <c r="AR208">
        <v>1190.8979999999999</v>
      </c>
      <c r="AS208">
        <v>934665.76769999997</v>
      </c>
      <c r="AU208" s="1">
        <f t="shared" si="24"/>
        <v>45065</v>
      </c>
      <c r="AV208" s="29">
        <f t="shared" si="25"/>
        <v>6.2320559171442564</v>
      </c>
      <c r="AW208" s="30">
        <f t="shared" si="26"/>
        <v>-0.40199003671563738</v>
      </c>
      <c r="AX208">
        <f t="shared" ca="1" si="19"/>
        <v>-0.60097849015518789</v>
      </c>
      <c r="AY208">
        <f t="shared" ca="1" si="20"/>
        <v>-0.64454004619919436</v>
      </c>
      <c r="AZ208">
        <f t="shared" ca="1" si="21"/>
        <v>-0.7532069296190268</v>
      </c>
      <c r="BA208">
        <f t="shared" ca="1" si="22"/>
        <v>-0.85048772062857037</v>
      </c>
      <c r="BB208">
        <f t="shared" ca="1" si="23"/>
        <v>-1.0086674573888001</v>
      </c>
    </row>
    <row r="209" spans="1:54" x14ac:dyDescent="0.25">
      <c r="A209" s="37">
        <v>45072</v>
      </c>
      <c r="B209" s="5">
        <v>4.6797000000000004</v>
      </c>
      <c r="C209">
        <v>7.5567000000000002</v>
      </c>
      <c r="D209">
        <v>0.36620000000000003</v>
      </c>
      <c r="E209">
        <v>42.014299999999999</v>
      </c>
      <c r="F209">
        <v>1.8042</v>
      </c>
      <c r="G209">
        <v>0</v>
      </c>
      <c r="H209">
        <v>25.9694</v>
      </c>
      <c r="I209">
        <v>10.597200000000001</v>
      </c>
      <c r="J209">
        <v>557.13499999999999</v>
      </c>
      <c r="K209">
        <v>2178484.5792</v>
      </c>
      <c r="M209" s="37">
        <v>45072</v>
      </c>
      <c r="N209" s="5">
        <v>6.3418000000000001</v>
      </c>
      <c r="O209">
        <v>11.235099999999999</v>
      </c>
      <c r="P209">
        <v>0.36359999999999998</v>
      </c>
      <c r="Q209">
        <v>40.7699</v>
      </c>
      <c r="R209">
        <v>1.6284000000000001</v>
      </c>
      <c r="S209" t="s">
        <v>33</v>
      </c>
      <c r="T209">
        <v>41.613199999999999</v>
      </c>
      <c r="U209">
        <v>29.657299999999999</v>
      </c>
      <c r="V209">
        <v>724.55</v>
      </c>
      <c r="W209">
        <v>1002519.6986</v>
      </c>
      <c r="Y209" s="5">
        <v>1.5563</v>
      </c>
      <c r="Z209">
        <v>34.438200000000002</v>
      </c>
      <c r="AA209">
        <v>2.4502999999999999</v>
      </c>
      <c r="AB209">
        <v>0.66069999999999995</v>
      </c>
      <c r="AC209">
        <v>-0.26800000000000002</v>
      </c>
      <c r="AD209" t="s">
        <v>33</v>
      </c>
      <c r="AE209">
        <v>17.433499999999999</v>
      </c>
      <c r="AF209">
        <v>13.584199999999999</v>
      </c>
      <c r="AG209">
        <v>13.4</v>
      </c>
      <c r="AH209">
        <v>95753.690499999997</v>
      </c>
      <c r="AJ209">
        <v>4.1375000000000002</v>
      </c>
      <c r="AK209">
        <v>29.031600000000001</v>
      </c>
      <c r="AL209">
        <v>0.69769999999999999</v>
      </c>
      <c r="AM209">
        <v>24.729900000000001</v>
      </c>
      <c r="AN209">
        <v>0.28010000000000002</v>
      </c>
      <c r="AO209">
        <v>195.11080000000001</v>
      </c>
      <c r="AP209">
        <v>42.936300000000003</v>
      </c>
      <c r="AQ209">
        <v>29.502600000000001</v>
      </c>
      <c r="AR209">
        <v>1209.3610000000001</v>
      </c>
      <c r="AS209">
        <v>949156.41799999995</v>
      </c>
      <c r="AU209" s="1">
        <f t="shared" si="24"/>
        <v>45072</v>
      </c>
      <c r="AV209" s="29">
        <f t="shared" si="25"/>
        <v>6.2954267777568251</v>
      </c>
      <c r="AW209" s="30">
        <f t="shared" si="26"/>
        <v>-0.38233901847930629</v>
      </c>
      <c r="AX209">
        <f t="shared" ca="1" si="19"/>
        <v>-0.59142333129688585</v>
      </c>
      <c r="AY209">
        <f t="shared" ca="1" si="20"/>
        <v>-0.63703374863504292</v>
      </c>
      <c r="AZ209">
        <f t="shared" ca="1" si="21"/>
        <v>-0.74388989990344778</v>
      </c>
      <c r="BA209">
        <f t="shared" ca="1" si="22"/>
        <v>-0.84626608919950852</v>
      </c>
      <c r="BB209">
        <f t="shared" ca="1" si="23"/>
        <v>-0.97955449947649842</v>
      </c>
    </row>
    <row r="210" spans="1:54" x14ac:dyDescent="0.25">
      <c r="A210" s="37">
        <v>45079</v>
      </c>
      <c r="B210" s="5">
        <v>4.7408000000000001</v>
      </c>
      <c r="C210">
        <v>7.5567000000000002</v>
      </c>
      <c r="D210">
        <v>0.36620000000000003</v>
      </c>
      <c r="E210">
        <v>42.014299999999999</v>
      </c>
      <c r="F210">
        <v>1.8042</v>
      </c>
      <c r="G210">
        <v>0</v>
      </c>
      <c r="H210">
        <v>25.9694</v>
      </c>
      <c r="I210">
        <v>10.597200000000001</v>
      </c>
      <c r="J210">
        <v>569.09</v>
      </c>
      <c r="K210">
        <v>2225230.4901999999</v>
      </c>
      <c r="M210" s="37">
        <v>45079</v>
      </c>
      <c r="N210" s="5">
        <v>6.5168999999999997</v>
      </c>
      <c r="O210">
        <v>11.235099999999999</v>
      </c>
      <c r="P210">
        <v>0.36359999999999998</v>
      </c>
      <c r="Q210">
        <v>40.7699</v>
      </c>
      <c r="R210">
        <v>1.6284000000000001</v>
      </c>
      <c r="S210" t="s">
        <v>33</v>
      </c>
      <c r="T210">
        <v>41.613199999999999</v>
      </c>
      <c r="U210">
        <v>29.657299999999999</v>
      </c>
      <c r="V210">
        <v>767.6</v>
      </c>
      <c r="W210">
        <v>1062085.5988</v>
      </c>
      <c r="Y210" s="5">
        <v>1.5622</v>
      </c>
      <c r="Z210">
        <v>34.438200000000002</v>
      </c>
      <c r="AA210">
        <v>2.4502999999999999</v>
      </c>
      <c r="AB210">
        <v>0.66069999999999995</v>
      </c>
      <c r="AC210">
        <v>-0.26800000000000002</v>
      </c>
      <c r="AD210" t="s">
        <v>33</v>
      </c>
      <c r="AE210">
        <v>17.433499999999999</v>
      </c>
      <c r="AF210">
        <v>13.584199999999999</v>
      </c>
      <c r="AG210">
        <v>13.444000000000001</v>
      </c>
      <c r="AH210">
        <v>96065.591799999995</v>
      </c>
      <c r="AJ210">
        <v>4.1733000000000002</v>
      </c>
      <c r="AK210">
        <v>29.031600000000001</v>
      </c>
      <c r="AL210">
        <v>0.69769999999999999</v>
      </c>
      <c r="AM210">
        <v>24.729900000000001</v>
      </c>
      <c r="AN210">
        <v>0.28010000000000002</v>
      </c>
      <c r="AO210">
        <v>195.11080000000001</v>
      </c>
      <c r="AP210">
        <v>42.936300000000003</v>
      </c>
      <c r="AQ210">
        <v>29.502600000000001</v>
      </c>
      <c r="AR210">
        <v>1220.5820000000001</v>
      </c>
      <c r="AS210">
        <v>957963.72239999997</v>
      </c>
      <c r="AU210" s="1">
        <f t="shared" si="24"/>
        <v>45079</v>
      </c>
      <c r="AV210" s="29">
        <f t="shared" si="25"/>
        <v>6.3897083026854942</v>
      </c>
      <c r="AW210" s="30">
        <f t="shared" si="26"/>
        <v>-0.35310274256616342</v>
      </c>
      <c r="AX210">
        <f t="shared" ca="1" si="19"/>
        <v>-0.56782824381713504</v>
      </c>
      <c r="AY210">
        <f t="shared" ca="1" si="20"/>
        <v>-0.62922978415271469</v>
      </c>
      <c r="AZ210">
        <f t="shared" ca="1" si="21"/>
        <v>-0.7399252541009963</v>
      </c>
      <c r="BA210">
        <f t="shared" ca="1" si="22"/>
        <v>-0.83439574792422355</v>
      </c>
      <c r="BB210">
        <f t="shared" ca="1" si="23"/>
        <v>-0.91114257873641902</v>
      </c>
    </row>
    <row r="211" spans="1:54" x14ac:dyDescent="0.25">
      <c r="A211" s="37">
        <v>45086</v>
      </c>
      <c r="B211" s="5">
        <v>5.0330000000000004</v>
      </c>
      <c r="C211">
        <v>7.5567000000000002</v>
      </c>
      <c r="D211">
        <v>0.36620000000000003</v>
      </c>
      <c r="E211">
        <v>42.014299999999999</v>
      </c>
      <c r="F211">
        <v>1.8042</v>
      </c>
      <c r="G211">
        <v>0</v>
      </c>
      <c r="H211">
        <v>25.9694</v>
      </c>
      <c r="I211">
        <v>10.597200000000001</v>
      </c>
      <c r="J211">
        <v>626.245</v>
      </c>
      <c r="K211">
        <v>2448715.4375999998</v>
      </c>
      <c r="M211" s="37">
        <v>45086</v>
      </c>
      <c r="N211" s="5">
        <v>6.4851000000000001</v>
      </c>
      <c r="O211">
        <v>11.235099999999999</v>
      </c>
      <c r="P211">
        <v>0.36359999999999998</v>
      </c>
      <c r="Q211">
        <v>40.7699</v>
      </c>
      <c r="R211">
        <v>1.6284000000000001</v>
      </c>
      <c r="S211" t="s">
        <v>33</v>
      </c>
      <c r="T211">
        <v>41.613199999999999</v>
      </c>
      <c r="U211">
        <v>29.657299999999999</v>
      </c>
      <c r="V211">
        <v>779</v>
      </c>
      <c r="W211">
        <v>1077859.1473000001</v>
      </c>
      <c r="Y211" s="5">
        <v>1.6395</v>
      </c>
      <c r="Z211">
        <v>34.438200000000002</v>
      </c>
      <c r="AA211">
        <v>2.4502999999999999</v>
      </c>
      <c r="AB211">
        <v>0.66069999999999995</v>
      </c>
      <c r="AC211">
        <v>-0.26800000000000002</v>
      </c>
      <c r="AD211" t="s">
        <v>33</v>
      </c>
      <c r="AE211">
        <v>17.433499999999999</v>
      </c>
      <c r="AF211">
        <v>13.584199999999999</v>
      </c>
      <c r="AG211">
        <v>14.010999999999999</v>
      </c>
      <c r="AH211">
        <v>100120.3083</v>
      </c>
      <c r="AJ211">
        <v>4.1840000000000002</v>
      </c>
      <c r="AK211">
        <v>29.031600000000001</v>
      </c>
      <c r="AL211">
        <v>0.69769999999999999</v>
      </c>
      <c r="AM211">
        <v>24.729900000000001</v>
      </c>
      <c r="AN211">
        <v>0.28010000000000002</v>
      </c>
      <c r="AO211">
        <v>195.11080000000001</v>
      </c>
      <c r="AP211">
        <v>42.936300000000003</v>
      </c>
      <c r="AQ211">
        <v>29.502600000000001</v>
      </c>
      <c r="AR211">
        <v>1223.9390000000001</v>
      </c>
      <c r="AS211">
        <v>960598.3861</v>
      </c>
      <c r="AU211" s="1">
        <f t="shared" si="24"/>
        <v>45086</v>
      </c>
      <c r="AV211" s="29">
        <f t="shared" si="25"/>
        <v>6.4790948062805409</v>
      </c>
      <c r="AW211" s="30">
        <f t="shared" si="26"/>
        <v>-0.32538439070461789</v>
      </c>
      <c r="AX211">
        <f t="shared" ca="1" si="19"/>
        <v>-0.55126564079957574</v>
      </c>
      <c r="AY211">
        <f t="shared" ca="1" si="20"/>
        <v>-0.62354325138042421</v>
      </c>
      <c r="AZ211">
        <f t="shared" ca="1" si="21"/>
        <v>-0.7364403375573112</v>
      </c>
      <c r="BA211">
        <f t="shared" ca="1" si="22"/>
        <v>-0.82363731737623502</v>
      </c>
      <c r="BB211">
        <f t="shared" ca="1" si="23"/>
        <v>-0.90801772949601034</v>
      </c>
    </row>
    <row r="212" spans="1:54" x14ac:dyDescent="0.25">
      <c r="A212" s="37">
        <v>45093</v>
      </c>
      <c r="B212" s="5">
        <v>5.6012000000000004</v>
      </c>
      <c r="C212">
        <v>7.5567000000000002</v>
      </c>
      <c r="D212">
        <v>0.36620000000000003</v>
      </c>
      <c r="E212">
        <v>42.014299999999999</v>
      </c>
      <c r="F212">
        <v>1.8042</v>
      </c>
      <c r="G212">
        <v>0</v>
      </c>
      <c r="H212">
        <v>25.9694</v>
      </c>
      <c r="I212">
        <v>10.597200000000001</v>
      </c>
      <c r="J212">
        <v>737.38499999999999</v>
      </c>
      <c r="K212">
        <v>2883290.1387</v>
      </c>
      <c r="M212" s="37">
        <v>45093</v>
      </c>
      <c r="N212" s="5">
        <v>6.7374000000000001</v>
      </c>
      <c r="O212">
        <v>11.235099999999999</v>
      </c>
      <c r="P212">
        <v>0.36359999999999998</v>
      </c>
      <c r="Q212">
        <v>40.7699</v>
      </c>
      <c r="R212">
        <v>1.6284000000000001</v>
      </c>
      <c r="S212" t="s">
        <v>33</v>
      </c>
      <c r="T212">
        <v>41.613199999999999</v>
      </c>
      <c r="U212">
        <v>29.657299999999999</v>
      </c>
      <c r="V212">
        <v>831.1</v>
      </c>
      <c r="W212">
        <v>1149947.0312000001</v>
      </c>
      <c r="Y212" s="5">
        <v>1.7316</v>
      </c>
      <c r="Z212">
        <v>34.438200000000002</v>
      </c>
      <c r="AA212">
        <v>2.4502999999999999</v>
      </c>
      <c r="AB212">
        <v>0.66069999999999995</v>
      </c>
      <c r="AC212">
        <v>-0.26800000000000002</v>
      </c>
      <c r="AD212" t="s">
        <v>33</v>
      </c>
      <c r="AE212">
        <v>17.433499999999999</v>
      </c>
      <c r="AF212">
        <v>13.584199999999999</v>
      </c>
      <c r="AG212">
        <v>14.688000000000001</v>
      </c>
      <c r="AH212">
        <v>104954.77800000001</v>
      </c>
      <c r="AJ212">
        <v>4.4271000000000003</v>
      </c>
      <c r="AK212">
        <v>29.031600000000001</v>
      </c>
      <c r="AL212">
        <v>0.69769999999999999</v>
      </c>
      <c r="AM212">
        <v>24.729900000000001</v>
      </c>
      <c r="AN212">
        <v>0.28010000000000002</v>
      </c>
      <c r="AO212">
        <v>195.11080000000001</v>
      </c>
      <c r="AP212">
        <v>42.936300000000003</v>
      </c>
      <c r="AQ212">
        <v>29.502600000000001</v>
      </c>
      <c r="AR212">
        <v>1300.1420000000001</v>
      </c>
      <c r="AS212">
        <v>1020405.2522</v>
      </c>
      <c r="AU212" s="1">
        <f t="shared" si="24"/>
        <v>45093</v>
      </c>
      <c r="AV212" s="29">
        <f t="shared" si="25"/>
        <v>6.9104367314340402</v>
      </c>
      <c r="AW212" s="30">
        <f t="shared" si="26"/>
        <v>-0.19162720395742677</v>
      </c>
      <c r="AX212">
        <f t="shared" ca="1" si="19"/>
        <v>-0.5352996990378821</v>
      </c>
      <c r="AY212">
        <f t="shared" ca="1" si="20"/>
        <v>-0.6157806904922748</v>
      </c>
      <c r="AZ212">
        <f t="shared" ca="1" si="21"/>
        <v>-0.73428467762382366</v>
      </c>
      <c r="BA212">
        <f t="shared" ca="1" si="22"/>
        <v>-0.81780833231889227</v>
      </c>
      <c r="BB212">
        <f t="shared" ca="1" si="23"/>
        <v>-0.90315466988279181</v>
      </c>
    </row>
    <row r="213" spans="1:54" x14ac:dyDescent="0.25">
      <c r="A213" s="37">
        <v>45100</v>
      </c>
      <c r="B213" s="5">
        <v>5.7393000000000001</v>
      </c>
      <c r="C213">
        <v>7.5567000000000002</v>
      </c>
      <c r="D213">
        <v>0.36620000000000003</v>
      </c>
      <c r="E213">
        <v>42.014299999999999</v>
      </c>
      <c r="F213">
        <v>1.8042</v>
      </c>
      <c r="G213">
        <v>0</v>
      </c>
      <c r="H213">
        <v>25.9694</v>
      </c>
      <c r="I213">
        <v>10.597200000000001</v>
      </c>
      <c r="J213">
        <v>764.41</v>
      </c>
      <c r="K213">
        <v>2988962.0956999999</v>
      </c>
      <c r="M213" s="37">
        <v>45100</v>
      </c>
      <c r="N213" s="5">
        <v>6.8315000000000001</v>
      </c>
      <c r="O213">
        <v>11.235099999999999</v>
      </c>
      <c r="P213">
        <v>0.36359999999999998</v>
      </c>
      <c r="Q213">
        <v>40.7699</v>
      </c>
      <c r="R213">
        <v>1.6284000000000001</v>
      </c>
      <c r="S213" t="s">
        <v>33</v>
      </c>
      <c r="T213">
        <v>41.613199999999999</v>
      </c>
      <c r="U213">
        <v>29.657299999999999</v>
      </c>
      <c r="V213">
        <v>872.1</v>
      </c>
      <c r="W213">
        <v>1189126.1233999999</v>
      </c>
      <c r="Y213" s="5">
        <v>1.7643</v>
      </c>
      <c r="Z213">
        <v>34.438200000000002</v>
      </c>
      <c r="AA213">
        <v>2.4502999999999999</v>
      </c>
      <c r="AB213">
        <v>0.66069999999999995</v>
      </c>
      <c r="AC213">
        <v>-0.26800000000000002</v>
      </c>
      <c r="AD213" t="s">
        <v>33</v>
      </c>
      <c r="AE213">
        <v>17.433499999999999</v>
      </c>
      <c r="AF213">
        <v>13.584199999999999</v>
      </c>
      <c r="AG213">
        <v>14.928000000000001</v>
      </c>
      <c r="AH213">
        <v>106670.235</v>
      </c>
      <c r="AJ213">
        <v>4.4733000000000001</v>
      </c>
      <c r="AK213">
        <v>29.031600000000001</v>
      </c>
      <c r="AL213">
        <v>0.69769999999999999</v>
      </c>
      <c r="AM213">
        <v>24.729900000000001</v>
      </c>
      <c r="AN213">
        <v>0.28010000000000002</v>
      </c>
      <c r="AO213">
        <v>195.11080000000001</v>
      </c>
      <c r="AP213">
        <v>42.936300000000003</v>
      </c>
      <c r="AQ213">
        <v>29.502600000000001</v>
      </c>
      <c r="AR213">
        <v>1314.625</v>
      </c>
      <c r="AS213">
        <v>1031771.9441</v>
      </c>
      <c r="AU213" s="1">
        <f t="shared" si="24"/>
        <v>45100</v>
      </c>
      <c r="AV213" s="29">
        <f t="shared" si="25"/>
        <v>7.0206265588265717</v>
      </c>
      <c r="AW213" s="30">
        <f t="shared" si="26"/>
        <v>-0.15745783515577685</v>
      </c>
      <c r="AX213">
        <f t="shared" ca="1" si="19"/>
        <v>-0.42200254177411367</v>
      </c>
      <c r="AY213">
        <f t="shared" ca="1" si="20"/>
        <v>-0.60965715869486059</v>
      </c>
      <c r="AZ213">
        <f t="shared" ca="1" si="21"/>
        <v>-0.725765650180761</v>
      </c>
      <c r="BA213">
        <f t="shared" ca="1" si="22"/>
        <v>-0.81633175523052115</v>
      </c>
      <c r="BB213">
        <f t="shared" ca="1" si="23"/>
        <v>-0.88427397516967421</v>
      </c>
    </row>
    <row r="214" spans="1:54" x14ac:dyDescent="0.25">
      <c r="A214" s="37">
        <v>45107</v>
      </c>
      <c r="B214" s="5">
        <v>5.8651999999999997</v>
      </c>
      <c r="C214">
        <v>4.7698</v>
      </c>
      <c r="D214">
        <v>0.44779999999999998</v>
      </c>
      <c r="E214">
        <v>42.432600000000001</v>
      </c>
      <c r="F214">
        <v>2.1534</v>
      </c>
      <c r="G214">
        <v>0</v>
      </c>
      <c r="H214">
        <v>24.0901</v>
      </c>
      <c r="I214">
        <v>7.2371999999999996</v>
      </c>
      <c r="J214">
        <v>764.72500000000002</v>
      </c>
      <c r="K214">
        <v>2990193.7947</v>
      </c>
      <c r="M214" s="37">
        <v>45107</v>
      </c>
      <c r="N214" s="5">
        <v>6.6402999999999999</v>
      </c>
      <c r="O214">
        <v>10.849299999999999</v>
      </c>
      <c r="P214">
        <v>0.63780000000000003</v>
      </c>
      <c r="Q214">
        <v>38.964100000000002</v>
      </c>
      <c r="R214">
        <v>1.4251</v>
      </c>
      <c r="S214" t="s">
        <v>33</v>
      </c>
      <c r="T214">
        <v>42.625300000000003</v>
      </c>
      <c r="U214">
        <v>29.950900000000001</v>
      </c>
      <c r="V214">
        <v>889.8</v>
      </c>
      <c r="W214">
        <v>1213260.4341</v>
      </c>
      <c r="Y214" s="5">
        <v>1.4453</v>
      </c>
      <c r="Z214">
        <v>34.673999999999999</v>
      </c>
      <c r="AA214">
        <v>4.1479999999999997</v>
      </c>
      <c r="AB214">
        <v>1.4107000000000001</v>
      </c>
      <c r="AC214">
        <v>-0.27029999999999998</v>
      </c>
      <c r="AD214" t="s">
        <v>33</v>
      </c>
      <c r="AE214">
        <v>15.9497</v>
      </c>
      <c r="AF214">
        <v>11.878</v>
      </c>
      <c r="AG214">
        <v>14.775</v>
      </c>
      <c r="AH214">
        <v>105578.5806</v>
      </c>
      <c r="AJ214">
        <v>3.5785999999999998</v>
      </c>
      <c r="AK214">
        <v>28.361699999999999</v>
      </c>
      <c r="AL214">
        <v>1.3733</v>
      </c>
      <c r="AM214">
        <v>24.539400000000001</v>
      </c>
      <c r="AN214">
        <v>7.3300000000000004E-2</v>
      </c>
      <c r="AO214">
        <v>195.11080000000001</v>
      </c>
      <c r="AP214">
        <v>41.997100000000003</v>
      </c>
      <c r="AQ214">
        <v>28.363700000000001</v>
      </c>
      <c r="AR214">
        <v>1356.778</v>
      </c>
      <c r="AS214">
        <v>1064855.7926</v>
      </c>
      <c r="AU214" s="1">
        <f t="shared" si="24"/>
        <v>45107</v>
      </c>
      <c r="AV214" s="29">
        <f t="shared" si="25"/>
        <v>6.8594937366661428</v>
      </c>
      <c r="AW214" s="30">
        <f t="shared" si="26"/>
        <v>-0.20742439701304263</v>
      </c>
      <c r="AX214">
        <f t="shared" ca="1" si="19"/>
        <v>-0.40275021276198841</v>
      </c>
      <c r="AY214">
        <f t="shared" ca="1" si="20"/>
        <v>-0.6041671758908006</v>
      </c>
      <c r="AZ214">
        <f t="shared" ca="1" si="21"/>
        <v>-0.71139571476818775</v>
      </c>
      <c r="BA214">
        <f t="shared" ca="1" si="22"/>
        <v>-0.8144639617323659</v>
      </c>
      <c r="BB214">
        <f t="shared" ca="1" si="23"/>
        <v>-0.87623224070161532</v>
      </c>
    </row>
    <row r="215" spans="1:54" x14ac:dyDescent="0.25">
      <c r="A215" s="37">
        <v>45114</v>
      </c>
      <c r="B215" s="5">
        <v>5.7596999999999996</v>
      </c>
      <c r="C215">
        <v>4.7698</v>
      </c>
      <c r="D215">
        <v>0.44779999999999998</v>
      </c>
      <c r="E215">
        <v>42.432600000000001</v>
      </c>
      <c r="F215">
        <v>2.1534</v>
      </c>
      <c r="G215">
        <v>0</v>
      </c>
      <c r="H215">
        <v>24.0901</v>
      </c>
      <c r="I215">
        <v>7.2371999999999996</v>
      </c>
      <c r="J215">
        <v>742.71500000000003</v>
      </c>
      <c r="K215">
        <v>2904131.2683999999</v>
      </c>
      <c r="M215" s="37">
        <v>45114</v>
      </c>
      <c r="N215" s="5">
        <v>6.3647999999999998</v>
      </c>
      <c r="O215">
        <v>10.849299999999999</v>
      </c>
      <c r="P215">
        <v>0.63780000000000003</v>
      </c>
      <c r="Q215">
        <v>38.964100000000002</v>
      </c>
      <c r="R215">
        <v>1.4251</v>
      </c>
      <c r="S215" t="s">
        <v>33</v>
      </c>
      <c r="T215">
        <v>42.625300000000003</v>
      </c>
      <c r="U215">
        <v>29.950900000000001</v>
      </c>
      <c r="V215">
        <v>863.55</v>
      </c>
      <c r="W215">
        <v>1177468.0241</v>
      </c>
      <c r="Y215" s="5">
        <v>1.6734</v>
      </c>
      <c r="Z215">
        <v>34.673999999999999</v>
      </c>
      <c r="AA215">
        <v>4.1479999999999997</v>
      </c>
      <c r="AB215">
        <v>1.4107000000000001</v>
      </c>
      <c r="AC215">
        <v>-0.27029999999999998</v>
      </c>
      <c r="AD215" t="s">
        <v>33</v>
      </c>
      <c r="AE215">
        <v>15.9497</v>
      </c>
      <c r="AF215">
        <v>11.878</v>
      </c>
      <c r="AG215">
        <v>16.739000000000001</v>
      </c>
      <c r="AH215">
        <v>119614.1378</v>
      </c>
      <c r="AJ215">
        <v>3.6034000000000002</v>
      </c>
      <c r="AK215">
        <v>28.361699999999999</v>
      </c>
      <c r="AL215">
        <v>1.3733</v>
      </c>
      <c r="AM215">
        <v>24.539400000000001</v>
      </c>
      <c r="AN215">
        <v>7.3300000000000004E-2</v>
      </c>
      <c r="AO215">
        <v>195.11080000000001</v>
      </c>
      <c r="AP215">
        <v>41.997100000000003</v>
      </c>
      <c r="AQ215">
        <v>28.363700000000001</v>
      </c>
      <c r="AR215">
        <v>1366.3689999999999</v>
      </c>
      <c r="AS215">
        <v>1072383.4032000001</v>
      </c>
      <c r="AU215" s="1">
        <f t="shared" si="24"/>
        <v>45114</v>
      </c>
      <c r="AV215" s="29">
        <f t="shared" si="25"/>
        <v>6.7327362603572212</v>
      </c>
      <c r="AW215" s="30">
        <f t="shared" si="26"/>
        <v>-0.24673131906617135</v>
      </c>
      <c r="AX215">
        <f t="shared" ca="1" si="19"/>
        <v>-0.38430412030293942</v>
      </c>
      <c r="AY215">
        <f t="shared" ca="1" si="20"/>
        <v>-0.60221278250333476</v>
      </c>
      <c r="AZ215">
        <f t="shared" ca="1" si="21"/>
        <v>-0.69716158773542536</v>
      </c>
      <c r="BA215">
        <f t="shared" ca="1" si="22"/>
        <v>-0.8036185771340546</v>
      </c>
      <c r="BB215">
        <f t="shared" ca="1" si="23"/>
        <v>-0.85843882877847777</v>
      </c>
    </row>
    <row r="216" spans="1:54" x14ac:dyDescent="0.25">
      <c r="A216" s="37">
        <v>45121</v>
      </c>
      <c r="B216" s="5">
        <v>5.9564000000000004</v>
      </c>
      <c r="C216">
        <v>4.7698</v>
      </c>
      <c r="D216">
        <v>0.44779999999999998</v>
      </c>
      <c r="E216">
        <v>42.432600000000001</v>
      </c>
      <c r="F216">
        <v>2.1534</v>
      </c>
      <c r="G216">
        <v>0</v>
      </c>
      <c r="H216">
        <v>24.0901</v>
      </c>
      <c r="I216">
        <v>7.2371999999999996</v>
      </c>
      <c r="J216">
        <v>783.75</v>
      </c>
      <c r="K216">
        <v>3064584.5063999998</v>
      </c>
      <c r="M216" s="37">
        <v>45121</v>
      </c>
      <c r="N216" s="5">
        <v>6.65</v>
      </c>
      <c r="O216">
        <v>10.849299999999999</v>
      </c>
      <c r="P216">
        <v>0.63780000000000003</v>
      </c>
      <c r="Q216">
        <v>38.964100000000002</v>
      </c>
      <c r="R216">
        <v>1.4251</v>
      </c>
      <c r="S216" t="s">
        <v>33</v>
      </c>
      <c r="T216">
        <v>42.625300000000003</v>
      </c>
      <c r="U216">
        <v>29.950900000000001</v>
      </c>
      <c r="V216">
        <v>925.85</v>
      </c>
      <c r="W216">
        <v>1262415.3437999999</v>
      </c>
      <c r="Y216" s="5">
        <v>1.8964000000000001</v>
      </c>
      <c r="Z216">
        <v>34.673999999999999</v>
      </c>
      <c r="AA216">
        <v>4.1479999999999997</v>
      </c>
      <c r="AB216">
        <v>1.4107000000000001</v>
      </c>
      <c r="AC216">
        <v>-0.27029999999999998</v>
      </c>
      <c r="AD216" t="s">
        <v>33</v>
      </c>
      <c r="AE216">
        <v>15.9497</v>
      </c>
      <c r="AF216">
        <v>11.878</v>
      </c>
      <c r="AG216">
        <v>18.66</v>
      </c>
      <c r="AH216">
        <v>133337.79380000001</v>
      </c>
      <c r="AJ216">
        <v>3.5367000000000002</v>
      </c>
      <c r="AK216">
        <v>28.361699999999999</v>
      </c>
      <c r="AL216">
        <v>1.3733</v>
      </c>
      <c r="AM216">
        <v>24.539400000000001</v>
      </c>
      <c r="AN216">
        <v>7.3300000000000004E-2</v>
      </c>
      <c r="AO216">
        <v>195.11080000000001</v>
      </c>
      <c r="AP216">
        <v>41.997100000000003</v>
      </c>
      <c r="AQ216">
        <v>28.363700000000001</v>
      </c>
      <c r="AR216">
        <v>1340.569</v>
      </c>
      <c r="AS216">
        <v>1052134.1307999999</v>
      </c>
      <c r="AU216" s="1">
        <f t="shared" si="24"/>
        <v>45121</v>
      </c>
      <c r="AV216" s="29">
        <f t="shared" si="25"/>
        <v>6.8656008147605698</v>
      </c>
      <c r="AW216" s="30">
        <f t="shared" si="26"/>
        <v>-0.20553061962317898</v>
      </c>
      <c r="AX216">
        <f t="shared" ca="1" si="19"/>
        <v>-0.35602637015747773</v>
      </c>
      <c r="AY216">
        <f t="shared" ca="1" si="20"/>
        <v>-0.59818713576697657</v>
      </c>
      <c r="AZ216">
        <f t="shared" ca="1" si="21"/>
        <v>-0.68046115064769319</v>
      </c>
      <c r="BA216">
        <f t="shared" ca="1" si="22"/>
        <v>-0.79605142093428971</v>
      </c>
      <c r="BB216">
        <f t="shared" ca="1" si="23"/>
        <v>-0.8472744670547262</v>
      </c>
    </row>
    <row r="217" spans="1:54" x14ac:dyDescent="0.25">
      <c r="A217" s="37">
        <v>45128</v>
      </c>
      <c r="B217" s="5">
        <v>6.1685999999999996</v>
      </c>
      <c r="C217">
        <v>4.7698</v>
      </c>
      <c r="D217">
        <v>0.44779999999999998</v>
      </c>
      <c r="E217">
        <v>42.432600000000001</v>
      </c>
      <c r="F217">
        <v>2.1534</v>
      </c>
      <c r="G217">
        <v>0</v>
      </c>
      <c r="H217">
        <v>24.0901</v>
      </c>
      <c r="I217">
        <v>7.2371999999999996</v>
      </c>
      <c r="J217">
        <v>828.02</v>
      </c>
      <c r="K217">
        <v>3237687.0978999999</v>
      </c>
      <c r="M217" s="37">
        <v>45128</v>
      </c>
      <c r="N217" s="5">
        <v>6.7347000000000001</v>
      </c>
      <c r="O217">
        <v>10.849299999999999</v>
      </c>
      <c r="P217">
        <v>0.63780000000000003</v>
      </c>
      <c r="Q217">
        <v>38.964100000000002</v>
      </c>
      <c r="R217">
        <v>1.4251</v>
      </c>
      <c r="S217" t="s">
        <v>33</v>
      </c>
      <c r="T217">
        <v>42.625300000000003</v>
      </c>
      <c r="U217">
        <v>29.950900000000001</v>
      </c>
      <c r="V217">
        <v>957.1</v>
      </c>
      <c r="W217">
        <v>1305025.3557</v>
      </c>
      <c r="Y217" s="5">
        <v>2.056</v>
      </c>
      <c r="Z217">
        <v>34.673999999999999</v>
      </c>
      <c r="AA217">
        <v>4.1479999999999997</v>
      </c>
      <c r="AB217">
        <v>1.4107000000000001</v>
      </c>
      <c r="AC217">
        <v>-0.27029999999999998</v>
      </c>
      <c r="AD217" t="s">
        <v>33</v>
      </c>
      <c r="AE217">
        <v>15.9497</v>
      </c>
      <c r="AF217">
        <v>11.878</v>
      </c>
      <c r="AG217">
        <v>20.035</v>
      </c>
      <c r="AH217">
        <v>143162.6838</v>
      </c>
      <c r="AJ217">
        <v>3.7444999999999999</v>
      </c>
      <c r="AK217">
        <v>28.361699999999999</v>
      </c>
      <c r="AL217">
        <v>1.3733</v>
      </c>
      <c r="AM217">
        <v>24.539400000000001</v>
      </c>
      <c r="AN217">
        <v>7.3300000000000004E-2</v>
      </c>
      <c r="AO217">
        <v>195.11080000000001</v>
      </c>
      <c r="AP217">
        <v>41.997100000000003</v>
      </c>
      <c r="AQ217">
        <v>28.363700000000001</v>
      </c>
      <c r="AR217">
        <v>1420.992</v>
      </c>
      <c r="AS217">
        <v>1115253.1455000001</v>
      </c>
      <c r="AU217" s="1">
        <f t="shared" si="24"/>
        <v>45128</v>
      </c>
      <c r="AV217" s="29">
        <f t="shared" si="25"/>
        <v>7.0918148268873846</v>
      </c>
      <c r="AW217" s="30">
        <f t="shared" si="26"/>
        <v>-0.13538267410615079</v>
      </c>
      <c r="AX217">
        <f t="shared" ca="1" si="19"/>
        <v>-0.32815622589077248</v>
      </c>
      <c r="AY217">
        <f t="shared" ca="1" si="20"/>
        <v>-0.58411760650027822</v>
      </c>
      <c r="AZ217">
        <f t="shared" ca="1" si="21"/>
        <v>-0.66995934011195235</v>
      </c>
      <c r="BA217">
        <f t="shared" ca="1" si="22"/>
        <v>-0.78605327952698179</v>
      </c>
      <c r="BB217">
        <f t="shared" ca="1" si="23"/>
        <v>-0.84434725107773123</v>
      </c>
    </row>
    <row r="218" spans="1:54" x14ac:dyDescent="0.25">
      <c r="A218" s="37">
        <v>45135</v>
      </c>
      <c r="B218" s="5">
        <v>6.0502000000000002</v>
      </c>
      <c r="C218">
        <v>4.7698</v>
      </c>
      <c r="D218">
        <v>0.44779999999999998</v>
      </c>
      <c r="E218">
        <v>42.432600000000001</v>
      </c>
      <c r="F218">
        <v>2.1534</v>
      </c>
      <c r="G218">
        <v>0</v>
      </c>
      <c r="H218">
        <v>24.0901</v>
      </c>
      <c r="I218">
        <v>7.2371999999999996</v>
      </c>
      <c r="J218">
        <v>803.33</v>
      </c>
      <c r="K218">
        <v>3141145.3544000001</v>
      </c>
      <c r="M218" s="37">
        <v>45135</v>
      </c>
      <c r="N218" s="5">
        <v>6.3103999999999996</v>
      </c>
      <c r="O218">
        <v>10.849299999999999</v>
      </c>
      <c r="P218">
        <v>0.63780000000000003</v>
      </c>
      <c r="Q218">
        <v>38.964100000000002</v>
      </c>
      <c r="R218">
        <v>1.4251</v>
      </c>
      <c r="S218" t="s">
        <v>33</v>
      </c>
      <c r="T218">
        <v>42.625300000000003</v>
      </c>
      <c r="U218">
        <v>29.950900000000001</v>
      </c>
      <c r="V218">
        <v>903.7</v>
      </c>
      <c r="W218">
        <v>1232213.3674000001</v>
      </c>
      <c r="Y218" s="5">
        <v>2.0687000000000002</v>
      </c>
      <c r="Z218">
        <v>34.673999999999999</v>
      </c>
      <c r="AA218">
        <v>4.1479999999999997</v>
      </c>
      <c r="AB218">
        <v>1.4107000000000001</v>
      </c>
      <c r="AC218">
        <v>-0.27029999999999998</v>
      </c>
      <c r="AD218" t="s">
        <v>33</v>
      </c>
      <c r="AE218">
        <v>15.9497</v>
      </c>
      <c r="AF218">
        <v>11.878</v>
      </c>
      <c r="AG218">
        <v>20.143999999999998</v>
      </c>
      <c r="AH218">
        <v>143942.43700000001</v>
      </c>
      <c r="AJ218">
        <v>3.4493999999999998</v>
      </c>
      <c r="AK218">
        <v>28.361699999999999</v>
      </c>
      <c r="AL218">
        <v>1.3733</v>
      </c>
      <c r="AM218">
        <v>24.539400000000001</v>
      </c>
      <c r="AN218">
        <v>7.3300000000000004E-2</v>
      </c>
      <c r="AO218">
        <v>195.11080000000001</v>
      </c>
      <c r="AP218">
        <v>41.997100000000003</v>
      </c>
      <c r="AQ218">
        <v>28.363700000000001</v>
      </c>
      <c r="AR218">
        <v>1306.76</v>
      </c>
      <c r="AS218">
        <v>1025599.3035</v>
      </c>
      <c r="AU218" s="1">
        <f t="shared" si="24"/>
        <v>45135</v>
      </c>
      <c r="AV218" s="29">
        <f t="shared" si="25"/>
        <v>6.7774522303223153</v>
      </c>
      <c r="AW218" s="30">
        <f t="shared" si="26"/>
        <v>-0.23286509833403543</v>
      </c>
      <c r="AX218">
        <f t="shared" ca="1" si="19"/>
        <v>-0.25459662623001611</v>
      </c>
      <c r="AY218">
        <f t="shared" ca="1" si="20"/>
        <v>-0.56141759156968596</v>
      </c>
      <c r="AZ218">
        <f t="shared" ca="1" si="21"/>
        <v>-0.65898230035309746</v>
      </c>
      <c r="BA218">
        <f t="shared" ca="1" si="22"/>
        <v>-0.77975750984942072</v>
      </c>
      <c r="BB218">
        <f t="shared" ca="1" si="23"/>
        <v>-0.82964412279998923</v>
      </c>
    </row>
    <row r="219" spans="1:54" x14ac:dyDescent="0.25">
      <c r="A219" s="37">
        <v>45142</v>
      </c>
      <c r="B219" s="5">
        <v>6.1550000000000002</v>
      </c>
      <c r="C219">
        <v>4.7698</v>
      </c>
      <c r="D219">
        <v>0.44779999999999998</v>
      </c>
      <c r="E219">
        <v>42.432600000000001</v>
      </c>
      <c r="F219">
        <v>2.1534</v>
      </c>
      <c r="G219">
        <v>0</v>
      </c>
      <c r="H219">
        <v>24.0901</v>
      </c>
      <c r="I219">
        <v>7.2371999999999996</v>
      </c>
      <c r="J219">
        <v>825.19</v>
      </c>
      <c r="K219">
        <v>3226621.3572999998</v>
      </c>
      <c r="M219" s="37">
        <v>45142</v>
      </c>
      <c r="N219" s="5">
        <v>6.4176000000000002</v>
      </c>
      <c r="O219">
        <v>10.849299999999999</v>
      </c>
      <c r="P219">
        <v>0.63780000000000003</v>
      </c>
      <c r="Q219">
        <v>38.964100000000002</v>
      </c>
      <c r="R219">
        <v>1.4251</v>
      </c>
      <c r="S219" t="s">
        <v>33</v>
      </c>
      <c r="T219">
        <v>42.625300000000003</v>
      </c>
      <c r="U219">
        <v>29.950900000000001</v>
      </c>
      <c r="V219">
        <v>943.75</v>
      </c>
      <c r="W219">
        <v>1286822.3585999999</v>
      </c>
      <c r="Y219" s="5">
        <v>1.8152999999999999</v>
      </c>
      <c r="Z219">
        <v>34.673999999999999</v>
      </c>
      <c r="AA219">
        <v>4.1479999999999997</v>
      </c>
      <c r="AB219">
        <v>1.4107000000000001</v>
      </c>
      <c r="AC219">
        <v>-0.27029999999999998</v>
      </c>
      <c r="AD219" t="s">
        <v>33</v>
      </c>
      <c r="AE219">
        <v>15.9497</v>
      </c>
      <c r="AF219">
        <v>11.878</v>
      </c>
      <c r="AG219">
        <v>17.962</v>
      </c>
      <c r="AH219">
        <v>128347.3734</v>
      </c>
      <c r="AJ219">
        <v>3.4329000000000001</v>
      </c>
      <c r="AK219">
        <v>28.361699999999999</v>
      </c>
      <c r="AL219">
        <v>1.3733</v>
      </c>
      <c r="AM219">
        <v>24.539400000000001</v>
      </c>
      <c r="AN219">
        <v>7.3300000000000004E-2</v>
      </c>
      <c r="AO219">
        <v>195.11080000000001</v>
      </c>
      <c r="AP219">
        <v>41.997100000000003</v>
      </c>
      <c r="AQ219">
        <v>28.363700000000001</v>
      </c>
      <c r="AR219">
        <v>1300.3820000000001</v>
      </c>
      <c r="AS219">
        <v>1020593.4424000001</v>
      </c>
      <c r="AU219" s="1">
        <f t="shared" si="24"/>
        <v>45142</v>
      </c>
      <c r="AV219" s="29">
        <f t="shared" si="25"/>
        <v>6.8625987738893821</v>
      </c>
      <c r="AW219" s="30">
        <f t="shared" si="26"/>
        <v>-0.20646153896584954</v>
      </c>
      <c r="AX219">
        <f t="shared" ca="1" si="19"/>
        <v>-0.23425172040724904</v>
      </c>
      <c r="AY219">
        <f t="shared" ca="1" si="20"/>
        <v>-0.54570266244687082</v>
      </c>
      <c r="AZ219">
        <f t="shared" ca="1" si="21"/>
        <v>-0.64834039373880858</v>
      </c>
      <c r="BA219">
        <f t="shared" ca="1" si="22"/>
        <v>-0.77711563802776273</v>
      </c>
      <c r="BB219">
        <f t="shared" ca="1" si="23"/>
        <v>-0.82964412279998923</v>
      </c>
    </row>
    <row r="220" spans="1:54" x14ac:dyDescent="0.25">
      <c r="A220" s="37">
        <v>45149</v>
      </c>
      <c r="B220" s="5">
        <v>6.3559999999999999</v>
      </c>
      <c r="C220">
        <v>4.7698</v>
      </c>
      <c r="D220">
        <v>0.44779999999999998</v>
      </c>
      <c r="E220">
        <v>42.432600000000001</v>
      </c>
      <c r="F220">
        <v>2.1534</v>
      </c>
      <c r="G220">
        <v>0</v>
      </c>
      <c r="H220">
        <v>24.0901</v>
      </c>
      <c r="I220">
        <v>7.2371999999999996</v>
      </c>
      <c r="J220">
        <v>867.11500000000001</v>
      </c>
      <c r="K220">
        <v>3390554.6338</v>
      </c>
      <c r="M220" s="37">
        <v>45149</v>
      </c>
      <c r="N220" s="5">
        <v>7.0301</v>
      </c>
      <c r="O220">
        <v>10.849299999999999</v>
      </c>
      <c r="P220">
        <v>0.63780000000000003</v>
      </c>
      <c r="Q220">
        <v>38.964100000000002</v>
      </c>
      <c r="R220">
        <v>1.4251</v>
      </c>
      <c r="S220" t="s">
        <v>33</v>
      </c>
      <c r="T220">
        <v>42.625300000000003</v>
      </c>
      <c r="U220">
        <v>29.950900000000001</v>
      </c>
      <c r="V220">
        <v>1082.5999999999999</v>
      </c>
      <c r="W220">
        <v>1476147.1634</v>
      </c>
      <c r="Y220" s="5">
        <v>1.7569999999999999</v>
      </c>
      <c r="Z220">
        <v>34.673999999999999</v>
      </c>
      <c r="AA220">
        <v>4.1479999999999997</v>
      </c>
      <c r="AB220">
        <v>1.4107000000000001</v>
      </c>
      <c r="AC220">
        <v>-0.27029999999999998</v>
      </c>
      <c r="AD220" t="s">
        <v>33</v>
      </c>
      <c r="AE220">
        <v>15.9497</v>
      </c>
      <c r="AF220">
        <v>11.878</v>
      </c>
      <c r="AG220">
        <v>17.46</v>
      </c>
      <c r="AH220">
        <v>124760.5088</v>
      </c>
      <c r="AJ220">
        <v>3.7664</v>
      </c>
      <c r="AK220">
        <v>28.361699999999999</v>
      </c>
      <c r="AL220">
        <v>1.3733</v>
      </c>
      <c r="AM220">
        <v>24.539400000000001</v>
      </c>
      <c r="AN220">
        <v>7.3300000000000004E-2</v>
      </c>
      <c r="AO220">
        <v>195.11080000000001</v>
      </c>
      <c r="AP220">
        <v>41.997100000000003</v>
      </c>
      <c r="AQ220">
        <v>28.363700000000001</v>
      </c>
      <c r="AR220">
        <v>1429.48</v>
      </c>
      <c r="AS220">
        <v>1121915.0808000001</v>
      </c>
      <c r="AU220" s="1">
        <f t="shared" si="24"/>
        <v>45149</v>
      </c>
      <c r="AV220" s="29">
        <f t="shared" si="25"/>
        <v>7.2869652960047535</v>
      </c>
      <c r="AW220" s="30">
        <f t="shared" si="26"/>
        <v>-7.486739325965111E-2</v>
      </c>
      <c r="AX220">
        <f t="shared" ca="1" si="19"/>
        <v>-0.20996846714514195</v>
      </c>
      <c r="AY220">
        <f t="shared" ca="1" si="20"/>
        <v>-0.50267238164139205</v>
      </c>
      <c r="AZ220">
        <f t="shared" ca="1" si="21"/>
        <v>-0.64703973060966058</v>
      </c>
      <c r="BA220">
        <f t="shared" ca="1" si="22"/>
        <v>-0.76503056537108538</v>
      </c>
      <c r="BB220">
        <f t="shared" ca="1" si="23"/>
        <v>-0.82081735951684287</v>
      </c>
    </row>
    <row r="221" spans="1:54" x14ac:dyDescent="0.25">
      <c r="A221" s="37">
        <v>45156</v>
      </c>
      <c r="B221" s="5">
        <v>7.4490999999999996</v>
      </c>
      <c r="C221">
        <v>4.7698</v>
      </c>
      <c r="D221">
        <v>0.44779999999999998</v>
      </c>
      <c r="E221">
        <v>42.432600000000001</v>
      </c>
      <c r="F221">
        <v>2.1534</v>
      </c>
      <c r="G221">
        <v>0</v>
      </c>
      <c r="H221">
        <v>24.0901</v>
      </c>
      <c r="I221">
        <v>7.2371999999999996</v>
      </c>
      <c r="J221">
        <v>1095.1600000000001</v>
      </c>
      <c r="K221">
        <v>4282246.0835999995</v>
      </c>
      <c r="M221" s="37">
        <v>45156</v>
      </c>
      <c r="N221" s="5">
        <v>6.9954000000000001</v>
      </c>
      <c r="O221">
        <v>10.849299999999999</v>
      </c>
      <c r="P221">
        <v>0.63780000000000003</v>
      </c>
      <c r="Q221">
        <v>38.964100000000002</v>
      </c>
      <c r="R221">
        <v>1.4251</v>
      </c>
      <c r="S221" t="s">
        <v>33</v>
      </c>
      <c r="T221">
        <v>42.625300000000003</v>
      </c>
      <c r="U221">
        <v>29.950900000000001</v>
      </c>
      <c r="V221">
        <v>1344.15</v>
      </c>
      <c r="W221">
        <v>1832775.9188000001</v>
      </c>
      <c r="Y221" s="5">
        <v>2.2385000000000002</v>
      </c>
      <c r="Z221">
        <v>34.673999999999999</v>
      </c>
      <c r="AA221">
        <v>4.1479999999999997</v>
      </c>
      <c r="AB221">
        <v>1.4107000000000001</v>
      </c>
      <c r="AC221">
        <v>-0.27029999999999998</v>
      </c>
      <c r="AD221" t="s">
        <v>33</v>
      </c>
      <c r="AE221">
        <v>15.9497</v>
      </c>
      <c r="AF221">
        <v>11.878</v>
      </c>
      <c r="AG221">
        <v>21.606000000000002</v>
      </c>
      <c r="AH221">
        <v>154391.12959999999</v>
      </c>
      <c r="AJ221">
        <v>4.8563000000000001</v>
      </c>
      <c r="AK221">
        <v>28.361699999999999</v>
      </c>
      <c r="AL221">
        <v>1.3733</v>
      </c>
      <c r="AM221">
        <v>24.539400000000001</v>
      </c>
      <c r="AN221">
        <v>7.3300000000000004E-2</v>
      </c>
      <c r="AO221">
        <v>195.11080000000001</v>
      </c>
      <c r="AP221">
        <v>41.997100000000003</v>
      </c>
      <c r="AQ221">
        <v>28.363700000000001</v>
      </c>
      <c r="AR221">
        <v>1851.3510000000001</v>
      </c>
      <c r="AS221">
        <v>1453017.0322</v>
      </c>
      <c r="AU221" s="1">
        <f t="shared" si="24"/>
        <v>45156</v>
      </c>
      <c r="AV221" s="29">
        <f t="shared" si="25"/>
        <v>8.3136603097287711</v>
      </c>
      <c r="AW221" s="30">
        <f t="shared" si="26"/>
        <v>0.24350610274174786</v>
      </c>
      <c r="AX221">
        <f t="shared" ca="1" si="19"/>
        <v>-0.20655782477056886</v>
      </c>
      <c r="AY221">
        <f t="shared" ca="1" si="20"/>
        <v>-0.40769135706327003</v>
      </c>
      <c r="AZ221">
        <f t="shared" ca="1" si="21"/>
        <v>-0.64277193048407688</v>
      </c>
      <c r="BA221">
        <f t="shared" ca="1" si="22"/>
        <v>-0.74922592689091672</v>
      </c>
      <c r="BB221">
        <f t="shared" ca="1" si="23"/>
        <v>-0.82081735951684287</v>
      </c>
    </row>
    <row r="222" spans="1:54" x14ac:dyDescent="0.25">
      <c r="A222" s="37">
        <v>45163</v>
      </c>
      <c r="B222" s="5">
        <v>7.6840000000000002</v>
      </c>
      <c r="C222">
        <v>4.7698</v>
      </c>
      <c r="D222">
        <v>0.44779999999999998</v>
      </c>
      <c r="E222">
        <v>42.432600000000001</v>
      </c>
      <c r="F222">
        <v>2.1534</v>
      </c>
      <c r="G222">
        <v>0</v>
      </c>
      <c r="H222">
        <v>24.0901</v>
      </c>
      <c r="I222">
        <v>7.2371999999999996</v>
      </c>
      <c r="J222">
        <v>1144.165</v>
      </c>
      <c r="K222">
        <v>4473863.2621999998</v>
      </c>
      <c r="M222" s="37">
        <v>45163</v>
      </c>
      <c r="N222" s="5">
        <v>7.3611000000000004</v>
      </c>
      <c r="O222">
        <v>10.849299999999999</v>
      </c>
      <c r="P222">
        <v>0.63780000000000003</v>
      </c>
      <c r="Q222">
        <v>38.964100000000002</v>
      </c>
      <c r="R222">
        <v>1.4251</v>
      </c>
      <c r="S222" t="s">
        <v>33</v>
      </c>
      <c r="T222">
        <v>42.625300000000003</v>
      </c>
      <c r="U222">
        <v>29.950900000000001</v>
      </c>
      <c r="V222">
        <v>1422.45</v>
      </c>
      <c r="W222">
        <v>1939539.5645000001</v>
      </c>
      <c r="Y222" s="5">
        <v>2.2461000000000002</v>
      </c>
      <c r="Z222">
        <v>34.673999999999999</v>
      </c>
      <c r="AA222">
        <v>4.1479999999999997</v>
      </c>
      <c r="AB222">
        <v>1.4107000000000001</v>
      </c>
      <c r="AC222">
        <v>-0.27029999999999998</v>
      </c>
      <c r="AD222" t="s">
        <v>33</v>
      </c>
      <c r="AE222">
        <v>15.9497</v>
      </c>
      <c r="AF222">
        <v>11.878</v>
      </c>
      <c r="AG222">
        <v>21.672000000000001</v>
      </c>
      <c r="AH222">
        <v>154858.98149999999</v>
      </c>
      <c r="AJ222">
        <v>5.0194000000000001</v>
      </c>
      <c r="AK222">
        <v>28.361699999999999</v>
      </c>
      <c r="AL222">
        <v>1.3733</v>
      </c>
      <c r="AM222">
        <v>24.539400000000001</v>
      </c>
      <c r="AN222">
        <v>7.3300000000000004E-2</v>
      </c>
      <c r="AO222">
        <v>195.11080000000001</v>
      </c>
      <c r="AP222">
        <v>41.997100000000003</v>
      </c>
      <c r="AQ222">
        <v>28.363700000000001</v>
      </c>
      <c r="AR222">
        <v>1914.461</v>
      </c>
      <c r="AS222">
        <v>1502548.7098000001</v>
      </c>
      <c r="AU222" s="1">
        <f t="shared" si="24"/>
        <v>45163</v>
      </c>
      <c r="AV222" s="29">
        <f t="shared" si="25"/>
        <v>8.6086750800206957</v>
      </c>
      <c r="AW222" s="30">
        <f t="shared" si="26"/>
        <v>0.33498885325127487</v>
      </c>
      <c r="AX222">
        <f t="shared" ca="1" si="19"/>
        <v>-0.20562371155744605</v>
      </c>
      <c r="AY222">
        <f t="shared" ca="1" si="20"/>
        <v>-0.39707728215655458</v>
      </c>
      <c r="AZ222">
        <f t="shared" ca="1" si="21"/>
        <v>-0.63483179821624391</v>
      </c>
      <c r="BA222">
        <f t="shared" ca="1" si="22"/>
        <v>-0.7432123877737683</v>
      </c>
      <c r="BB222">
        <f t="shared" ca="1" si="23"/>
        <v>-0.82081735951684287</v>
      </c>
    </row>
    <row r="223" spans="1:54" x14ac:dyDescent="0.25">
      <c r="A223" s="37">
        <v>45170</v>
      </c>
      <c r="B223" s="5">
        <v>7.4180000000000001</v>
      </c>
      <c r="C223">
        <v>4.7698</v>
      </c>
      <c r="D223">
        <v>0.44779999999999998</v>
      </c>
      <c r="E223">
        <v>42.432600000000001</v>
      </c>
      <c r="F223">
        <v>2.1534</v>
      </c>
      <c r="G223">
        <v>0</v>
      </c>
      <c r="H223">
        <v>24.0901</v>
      </c>
      <c r="I223">
        <v>7.2371999999999996</v>
      </c>
      <c r="J223">
        <v>1088.665</v>
      </c>
      <c r="K223">
        <v>4256849.6224999996</v>
      </c>
      <c r="M223" s="37">
        <v>45170</v>
      </c>
      <c r="N223" s="5">
        <v>7.3028000000000004</v>
      </c>
      <c r="O223">
        <v>10.849299999999999</v>
      </c>
      <c r="P223">
        <v>0.63780000000000003</v>
      </c>
      <c r="Q223">
        <v>38.964100000000002</v>
      </c>
      <c r="R223">
        <v>1.4251</v>
      </c>
      <c r="S223" t="s">
        <v>33</v>
      </c>
      <c r="T223">
        <v>42.625300000000003</v>
      </c>
      <c r="U223">
        <v>29.950900000000001</v>
      </c>
      <c r="V223">
        <v>1409.95</v>
      </c>
      <c r="W223">
        <v>1922495.5597999999</v>
      </c>
      <c r="Y223" s="5">
        <v>2.383</v>
      </c>
      <c r="Z223">
        <v>34.673999999999999</v>
      </c>
      <c r="AA223">
        <v>4.1479999999999997</v>
      </c>
      <c r="AB223">
        <v>1.4107000000000001</v>
      </c>
      <c r="AC223">
        <v>-0.27029999999999998</v>
      </c>
      <c r="AD223" t="s">
        <v>33</v>
      </c>
      <c r="AE223">
        <v>15.9497</v>
      </c>
      <c r="AF223">
        <v>11.878</v>
      </c>
      <c r="AG223">
        <v>22.85</v>
      </c>
      <c r="AH223">
        <v>163280.31589999999</v>
      </c>
      <c r="AJ223">
        <v>4.8429000000000002</v>
      </c>
      <c r="AK223">
        <v>28.361699999999999</v>
      </c>
      <c r="AL223">
        <v>1.3733</v>
      </c>
      <c r="AM223">
        <v>24.539400000000001</v>
      </c>
      <c r="AN223">
        <v>7.3300000000000004E-2</v>
      </c>
      <c r="AO223">
        <v>195.11080000000001</v>
      </c>
      <c r="AP223">
        <v>41.997100000000003</v>
      </c>
      <c r="AQ223">
        <v>28.363700000000001</v>
      </c>
      <c r="AR223">
        <v>1846.172</v>
      </c>
      <c r="AS223">
        <v>1448952.1225000001</v>
      </c>
      <c r="AU223" s="1">
        <f t="shared" si="24"/>
        <v>45170</v>
      </c>
      <c r="AV223" s="29">
        <f t="shared" si="25"/>
        <v>8.3598090909994696</v>
      </c>
      <c r="AW223" s="30">
        <f t="shared" si="26"/>
        <v>0.25781663180145714</v>
      </c>
      <c r="AX223">
        <f t="shared" ca="1" si="19"/>
        <v>-0.19301754552400202</v>
      </c>
      <c r="AY223">
        <f t="shared" ca="1" si="20"/>
        <v>-0.37502994950102059</v>
      </c>
      <c r="AZ223">
        <f t="shared" ca="1" si="21"/>
        <v>-0.62803167092678347</v>
      </c>
      <c r="BA223">
        <f t="shared" ca="1" si="22"/>
        <v>-0.73929795545912935</v>
      </c>
      <c r="BB223">
        <f t="shared" ca="1" si="23"/>
        <v>-0.82081735951684287</v>
      </c>
    </row>
    <row r="224" spans="1:54" x14ac:dyDescent="0.25">
      <c r="A224" s="37">
        <v>45177</v>
      </c>
      <c r="B224" s="5">
        <v>6.6535000000000002</v>
      </c>
      <c r="C224">
        <v>4.7698</v>
      </c>
      <c r="D224">
        <v>0.44779999999999998</v>
      </c>
      <c r="E224">
        <v>42.432600000000001</v>
      </c>
      <c r="F224">
        <v>2.1534</v>
      </c>
      <c r="G224">
        <v>0</v>
      </c>
      <c r="H224">
        <v>24.0901</v>
      </c>
      <c r="I224">
        <v>7.2371999999999996</v>
      </c>
      <c r="J224">
        <v>929.18499999999995</v>
      </c>
      <c r="K224">
        <v>3633257.9961999999</v>
      </c>
      <c r="M224" s="37">
        <v>45177</v>
      </c>
      <c r="N224" s="5">
        <v>6.1131000000000002</v>
      </c>
      <c r="O224">
        <v>10.849299999999999</v>
      </c>
      <c r="P224">
        <v>0.63780000000000003</v>
      </c>
      <c r="Q224">
        <v>38.964100000000002</v>
      </c>
      <c r="R224">
        <v>1.4251</v>
      </c>
      <c r="S224" t="s">
        <v>33</v>
      </c>
      <c r="T224">
        <v>42.625300000000003</v>
      </c>
      <c r="U224">
        <v>29.950900000000001</v>
      </c>
      <c r="V224">
        <v>1155.55</v>
      </c>
      <c r="W224">
        <v>1575615.9750999999</v>
      </c>
      <c r="Y224" s="5">
        <v>2.0661999999999998</v>
      </c>
      <c r="Z224">
        <v>34.673999999999999</v>
      </c>
      <c r="AA224">
        <v>4.1479999999999997</v>
      </c>
      <c r="AB224">
        <v>1.4107000000000001</v>
      </c>
      <c r="AC224">
        <v>-0.27029999999999998</v>
      </c>
      <c r="AD224" t="s">
        <v>33</v>
      </c>
      <c r="AE224">
        <v>15.9497</v>
      </c>
      <c r="AF224">
        <v>11.878</v>
      </c>
      <c r="AG224">
        <v>20.122</v>
      </c>
      <c r="AH224">
        <v>143786.48639999999</v>
      </c>
      <c r="AJ224">
        <v>4.0670999999999999</v>
      </c>
      <c r="AK224">
        <v>28.361699999999999</v>
      </c>
      <c r="AL224">
        <v>1.3733</v>
      </c>
      <c r="AM224">
        <v>24.539400000000001</v>
      </c>
      <c r="AN224">
        <v>7.3300000000000004E-2</v>
      </c>
      <c r="AO224">
        <v>195.11080000000001</v>
      </c>
      <c r="AP224">
        <v>41.997100000000003</v>
      </c>
      <c r="AQ224">
        <v>28.363700000000001</v>
      </c>
      <c r="AR224">
        <v>1545.87</v>
      </c>
      <c r="AS224">
        <v>1213262.6351999999</v>
      </c>
      <c r="AU224" s="1">
        <f t="shared" si="24"/>
        <v>45177</v>
      </c>
      <c r="AV224" s="29">
        <f t="shared" si="25"/>
        <v>7.293070895383523</v>
      </c>
      <c r="AW224" s="30">
        <f t="shared" si="26"/>
        <v>-7.2974074412847645E-2</v>
      </c>
      <c r="AX224">
        <f t="shared" ca="1" si="19"/>
        <v>-0.16087477203594189</v>
      </c>
      <c r="AY224">
        <f t="shared" ca="1" si="20"/>
        <v>-0.34617315460077702</v>
      </c>
      <c r="AZ224">
        <f t="shared" ca="1" si="21"/>
        <v>-0.6214510582859275</v>
      </c>
      <c r="BA224">
        <f t="shared" ca="1" si="22"/>
        <v>-0.73600269005701491</v>
      </c>
      <c r="BB224">
        <f t="shared" ca="1" si="23"/>
        <v>-0.81462744750293092</v>
      </c>
    </row>
    <row r="225" spans="1:54" x14ac:dyDescent="0.25">
      <c r="A225" s="37">
        <v>45184</v>
      </c>
      <c r="B225" s="5">
        <v>6.7127999999999997</v>
      </c>
      <c r="C225">
        <v>4.7698</v>
      </c>
      <c r="D225">
        <v>0.44779999999999998</v>
      </c>
      <c r="E225">
        <v>42.432600000000001</v>
      </c>
      <c r="F225">
        <v>2.1534</v>
      </c>
      <c r="G225">
        <v>0</v>
      </c>
      <c r="H225">
        <v>24.0901</v>
      </c>
      <c r="I225">
        <v>7.2371999999999996</v>
      </c>
      <c r="J225">
        <v>941.55</v>
      </c>
      <c r="K225">
        <v>3681607.0710999998</v>
      </c>
      <c r="M225" s="37">
        <v>45184</v>
      </c>
      <c r="N225" s="5">
        <v>6.3160999999999996</v>
      </c>
      <c r="O225">
        <v>10.849299999999999</v>
      </c>
      <c r="P225">
        <v>0.63780000000000003</v>
      </c>
      <c r="Q225">
        <v>38.964100000000002</v>
      </c>
      <c r="R225">
        <v>1.4251</v>
      </c>
      <c r="S225" t="s">
        <v>33</v>
      </c>
      <c r="T225">
        <v>42.625300000000003</v>
      </c>
      <c r="U225">
        <v>29.950900000000001</v>
      </c>
      <c r="V225">
        <v>1198.95</v>
      </c>
      <c r="W225">
        <v>1634792.7596</v>
      </c>
      <c r="Y225" s="5">
        <v>2.1598999999999999</v>
      </c>
      <c r="Z225">
        <v>34.673999999999999</v>
      </c>
      <c r="AA225">
        <v>4.1479999999999997</v>
      </c>
      <c r="AB225">
        <v>1.4107000000000001</v>
      </c>
      <c r="AC225">
        <v>-0.27029999999999998</v>
      </c>
      <c r="AD225" t="s">
        <v>33</v>
      </c>
      <c r="AE225">
        <v>15.9497</v>
      </c>
      <c r="AF225">
        <v>11.878</v>
      </c>
      <c r="AG225">
        <v>20.93</v>
      </c>
      <c r="AH225">
        <v>149556.6599</v>
      </c>
      <c r="AJ225">
        <v>4.2407000000000004</v>
      </c>
      <c r="AK225">
        <v>28.361699999999999</v>
      </c>
      <c r="AL225">
        <v>1.3733</v>
      </c>
      <c r="AM225">
        <v>24.539400000000001</v>
      </c>
      <c r="AN225">
        <v>7.3300000000000004E-2</v>
      </c>
      <c r="AO225">
        <v>195.11080000000001</v>
      </c>
      <c r="AP225">
        <v>41.997100000000003</v>
      </c>
      <c r="AQ225">
        <v>28.363700000000001</v>
      </c>
      <c r="AR225">
        <v>1613.056</v>
      </c>
      <c r="AS225">
        <v>1265993.5473</v>
      </c>
      <c r="AU225" s="1">
        <f t="shared" si="24"/>
        <v>45184</v>
      </c>
      <c r="AV225" s="29">
        <f t="shared" si="25"/>
        <v>7.4517850318767698</v>
      </c>
      <c r="AW225" s="30">
        <f t="shared" si="26"/>
        <v>-2.3757536078922243E-2</v>
      </c>
      <c r="AX225">
        <f t="shared" ca="1" si="19"/>
        <v>-0.13759019021111343</v>
      </c>
      <c r="AY225">
        <f t="shared" ca="1" si="20"/>
        <v>-0.30572112279500624</v>
      </c>
      <c r="AZ225">
        <f t="shared" ca="1" si="21"/>
        <v>-0.61429470888761539</v>
      </c>
      <c r="BA225">
        <f t="shared" ca="1" si="22"/>
        <v>-0.73364449515737629</v>
      </c>
      <c r="BB225">
        <f t="shared" ca="1" si="23"/>
        <v>-0.81462744750293092</v>
      </c>
    </row>
    <row r="226" spans="1:54" x14ac:dyDescent="0.25">
      <c r="A226" s="37">
        <v>45191</v>
      </c>
      <c r="B226" s="5">
        <v>6.8205999999999998</v>
      </c>
      <c r="C226">
        <v>4.7698</v>
      </c>
      <c r="D226">
        <v>0.44779999999999998</v>
      </c>
      <c r="E226">
        <v>42.432600000000001</v>
      </c>
      <c r="F226">
        <v>2.1534</v>
      </c>
      <c r="G226">
        <v>0</v>
      </c>
      <c r="H226">
        <v>24.0901</v>
      </c>
      <c r="I226">
        <v>7.2371999999999996</v>
      </c>
      <c r="J226">
        <v>964.03499999999997</v>
      </c>
      <c r="K226">
        <v>3769526.9213</v>
      </c>
      <c r="M226" s="37">
        <v>45191</v>
      </c>
      <c r="N226" s="5">
        <v>6.3800999999999997</v>
      </c>
      <c r="O226">
        <v>10.849299999999999</v>
      </c>
      <c r="P226">
        <v>0.63780000000000003</v>
      </c>
      <c r="Q226">
        <v>38.964100000000002</v>
      </c>
      <c r="R226">
        <v>1.4251</v>
      </c>
      <c r="S226" t="s">
        <v>33</v>
      </c>
      <c r="T226">
        <v>42.625300000000003</v>
      </c>
      <c r="U226">
        <v>29.950900000000001</v>
      </c>
      <c r="V226">
        <v>1212.8</v>
      </c>
      <c r="W226">
        <v>1653677.5168999999</v>
      </c>
      <c r="Y226" s="5">
        <v>1.9471000000000001</v>
      </c>
      <c r="Z226">
        <v>34.673999999999999</v>
      </c>
      <c r="AA226">
        <v>4.1479999999999997</v>
      </c>
      <c r="AB226">
        <v>1.4107000000000001</v>
      </c>
      <c r="AC226">
        <v>-0.27029999999999998</v>
      </c>
      <c r="AD226" t="s">
        <v>33</v>
      </c>
      <c r="AE226">
        <v>15.9497</v>
      </c>
      <c r="AF226">
        <v>11.878</v>
      </c>
      <c r="AG226">
        <v>19.096</v>
      </c>
      <c r="AH226">
        <v>136456.80650000001</v>
      </c>
      <c r="AJ226">
        <v>4.1212</v>
      </c>
      <c r="AK226">
        <v>28.361699999999999</v>
      </c>
      <c r="AL226">
        <v>1.3733</v>
      </c>
      <c r="AM226">
        <v>24.539400000000001</v>
      </c>
      <c r="AN226">
        <v>7.3300000000000004E-2</v>
      </c>
      <c r="AO226">
        <v>195.11080000000001</v>
      </c>
      <c r="AP226">
        <v>41.997100000000003</v>
      </c>
      <c r="AQ226">
        <v>28.363700000000001</v>
      </c>
      <c r="AR226">
        <v>1566.827</v>
      </c>
      <c r="AS226">
        <v>1229710.4643000001</v>
      </c>
      <c r="AU226" s="1">
        <f t="shared" si="24"/>
        <v>45191</v>
      </c>
      <c r="AV226" s="29">
        <f t="shared" si="25"/>
        <v>7.4815063773991204</v>
      </c>
      <c r="AW226" s="30">
        <f t="shared" si="26"/>
        <v>-1.4541080799282721E-2</v>
      </c>
      <c r="AX226">
        <f t="shared" ca="1" si="19"/>
        <v>-8.0918921344301162E-2</v>
      </c>
      <c r="AY226">
        <f t="shared" ca="1" si="20"/>
        <v>-0.24326476388313736</v>
      </c>
      <c r="AZ226">
        <f t="shared" ca="1" si="21"/>
        <v>-0.60799157171142459</v>
      </c>
      <c r="BA226">
        <f t="shared" ca="1" si="22"/>
        <v>-0.72278650139212453</v>
      </c>
      <c r="BB226">
        <f t="shared" ca="1" si="23"/>
        <v>-0.81462744750293092</v>
      </c>
    </row>
    <row r="227" spans="1:54" x14ac:dyDescent="0.25">
      <c r="A227" s="37">
        <v>45198</v>
      </c>
      <c r="B227" s="5">
        <v>9.1544000000000008</v>
      </c>
      <c r="C227">
        <v>-0.55730000000000002</v>
      </c>
      <c r="D227">
        <v>6.6199999999999995E-2</v>
      </c>
      <c r="E227">
        <v>43.864699999999999</v>
      </c>
      <c r="F227">
        <v>3.5565000000000002</v>
      </c>
      <c r="G227">
        <v>0</v>
      </c>
      <c r="H227">
        <v>17.209399999999999</v>
      </c>
      <c r="I227">
        <v>-0.89229999999999998</v>
      </c>
      <c r="J227">
        <v>1002.18</v>
      </c>
      <c r="K227">
        <v>3918679.8094000001</v>
      </c>
      <c r="M227" s="37">
        <v>45198</v>
      </c>
      <c r="N227" s="5">
        <v>6.2422000000000004</v>
      </c>
      <c r="O227">
        <v>9.6395999999999997</v>
      </c>
      <c r="P227">
        <v>0.32390000000000002</v>
      </c>
      <c r="Q227">
        <v>37.491900000000001</v>
      </c>
      <c r="R227">
        <v>1.3236000000000001</v>
      </c>
      <c r="S227" t="s">
        <v>33</v>
      </c>
      <c r="T227">
        <v>43.520699999999998</v>
      </c>
      <c r="U227">
        <v>29.6493</v>
      </c>
      <c r="V227">
        <v>1209.4000000000001</v>
      </c>
      <c r="W227">
        <v>1649041.5475999999</v>
      </c>
      <c r="Y227" s="5">
        <v>1.9257</v>
      </c>
      <c r="Z227">
        <v>23.264500000000002</v>
      </c>
      <c r="AA227">
        <v>1.5224</v>
      </c>
      <c r="AB227">
        <v>5.7252000000000001</v>
      </c>
      <c r="AC227">
        <v>-0.1817</v>
      </c>
      <c r="AD227" t="s">
        <v>33</v>
      </c>
      <c r="AE227">
        <v>13.476900000000001</v>
      </c>
      <c r="AF227">
        <v>9.5389999999999997</v>
      </c>
      <c r="AG227">
        <v>18.66</v>
      </c>
      <c r="AH227">
        <v>133337.79380000001</v>
      </c>
      <c r="AJ227">
        <v>3.5941999999999998</v>
      </c>
      <c r="AK227">
        <v>22.915299999999998</v>
      </c>
      <c r="AL227">
        <v>0.64149999999999996</v>
      </c>
      <c r="AM227">
        <v>25.922799999999999</v>
      </c>
      <c r="AN227">
        <v>0.1014</v>
      </c>
      <c r="AO227">
        <v>195.11080000000001</v>
      </c>
      <c r="AP227">
        <v>41.062800000000003</v>
      </c>
      <c r="AQ227">
        <v>27.402799999999999</v>
      </c>
      <c r="AR227">
        <v>1606.1990000000001</v>
      </c>
      <c r="AS227">
        <v>1260611.3058</v>
      </c>
      <c r="AU227" s="1">
        <f t="shared" si="24"/>
        <v>45198</v>
      </c>
      <c r="AV227" s="29">
        <f t="shared" si="25"/>
        <v>8.9377194645098417</v>
      </c>
      <c r="AW227" s="30">
        <f t="shared" si="26"/>
        <v>0.43702403373730553</v>
      </c>
      <c r="AX227">
        <f t="shared" ca="1" si="19"/>
        <v>-7.3163406297527989E-2</v>
      </c>
      <c r="AY227">
        <f t="shared" ca="1" si="20"/>
        <v>-0.22650492300378722</v>
      </c>
      <c r="AZ227">
        <f t="shared" ca="1" si="21"/>
        <v>-0.60367395403704882</v>
      </c>
      <c r="BA227">
        <f t="shared" ca="1" si="22"/>
        <v>-0.70783007831698497</v>
      </c>
      <c r="BB227">
        <f t="shared" ca="1" si="23"/>
        <v>-0.81462744750293092</v>
      </c>
    </row>
    <row r="228" spans="1:54" x14ac:dyDescent="0.25">
      <c r="A228" s="37">
        <v>45205</v>
      </c>
      <c r="B228" s="5">
        <v>9.1175999999999995</v>
      </c>
      <c r="C228">
        <v>-0.55730000000000002</v>
      </c>
      <c r="D228">
        <v>6.6199999999999995E-2</v>
      </c>
      <c r="E228">
        <v>43.864699999999999</v>
      </c>
      <c r="F228">
        <v>3.5565000000000002</v>
      </c>
      <c r="G228">
        <v>0</v>
      </c>
      <c r="H228">
        <v>17.209399999999999</v>
      </c>
      <c r="I228">
        <v>-0.89229999999999998</v>
      </c>
      <c r="J228">
        <v>995.51499999999999</v>
      </c>
      <c r="K228">
        <v>3892618.6217999998</v>
      </c>
      <c r="M228" s="37">
        <v>45205</v>
      </c>
      <c r="N228" s="5">
        <v>6.8105000000000002</v>
      </c>
      <c r="O228">
        <v>9.6395999999999997</v>
      </c>
      <c r="P228">
        <v>0.32390000000000002</v>
      </c>
      <c r="Q228">
        <v>37.491900000000001</v>
      </c>
      <c r="R228">
        <v>1.3236000000000001</v>
      </c>
      <c r="S228" t="s">
        <v>33</v>
      </c>
      <c r="T228">
        <v>43.520699999999998</v>
      </c>
      <c r="U228">
        <v>29.6493</v>
      </c>
      <c r="V228">
        <v>1336.3</v>
      </c>
      <c r="W228">
        <v>1822072.2838000001</v>
      </c>
      <c r="Y228" s="5">
        <v>2.0831</v>
      </c>
      <c r="Z228">
        <v>23.264500000000002</v>
      </c>
      <c r="AA228">
        <v>1.5224</v>
      </c>
      <c r="AB228">
        <v>5.7252000000000001</v>
      </c>
      <c r="AC228">
        <v>-0.1817</v>
      </c>
      <c r="AD228" t="s">
        <v>33</v>
      </c>
      <c r="AE228">
        <v>13.476900000000001</v>
      </c>
      <c r="AF228">
        <v>9.5389999999999997</v>
      </c>
      <c r="AG228">
        <v>20.079000000000001</v>
      </c>
      <c r="AH228">
        <v>143474.5851</v>
      </c>
      <c r="AJ228">
        <v>4.0788000000000002</v>
      </c>
      <c r="AK228">
        <v>22.915299999999998</v>
      </c>
      <c r="AL228">
        <v>0.64149999999999996</v>
      </c>
      <c r="AM228">
        <v>25.922799999999999</v>
      </c>
      <c r="AN228">
        <v>0.1014</v>
      </c>
      <c r="AO228">
        <v>195.11080000000001</v>
      </c>
      <c r="AP228">
        <v>41.062800000000003</v>
      </c>
      <c r="AQ228">
        <v>27.402799999999999</v>
      </c>
      <c r="AR228">
        <v>1829.0509999999999</v>
      </c>
      <c r="AS228">
        <v>1435515.3376</v>
      </c>
      <c r="AU228" s="1">
        <f t="shared" si="24"/>
        <v>45205</v>
      </c>
      <c r="AV228" s="29">
        <f t="shared" si="25"/>
        <v>9.2272256200309588</v>
      </c>
      <c r="AW228" s="30">
        <f t="shared" si="26"/>
        <v>0.52679858763609266</v>
      </c>
      <c r="AX228">
        <f t="shared" ca="1" si="19"/>
        <v>-2.8679189912314849E-2</v>
      </c>
      <c r="AY228">
        <f t="shared" ca="1" si="20"/>
        <v>-0.20718368250124436</v>
      </c>
      <c r="AZ228">
        <f t="shared" ca="1" si="21"/>
        <v>-0.60173805467712438</v>
      </c>
      <c r="BA228">
        <f t="shared" ca="1" si="22"/>
        <v>-0.69361016067024694</v>
      </c>
      <c r="BB228">
        <f t="shared" ca="1" si="23"/>
        <v>-0.79849790948587396</v>
      </c>
    </row>
    <row r="229" spans="1:54" x14ac:dyDescent="0.25">
      <c r="A229" s="37">
        <v>45212</v>
      </c>
      <c r="B229" s="5">
        <v>10.4085</v>
      </c>
      <c r="C229">
        <v>-0.55730000000000002</v>
      </c>
      <c r="D229">
        <v>6.6199999999999995E-2</v>
      </c>
      <c r="E229">
        <v>43.864699999999999</v>
      </c>
      <c r="F229">
        <v>3.5565000000000002</v>
      </c>
      <c r="G229">
        <v>0</v>
      </c>
      <c r="H229">
        <v>17.209399999999999</v>
      </c>
      <c r="I229">
        <v>-0.89229999999999998</v>
      </c>
      <c r="J229">
        <v>1229.425</v>
      </c>
      <c r="K229">
        <v>4807243.1346000005</v>
      </c>
      <c r="M229" s="37">
        <v>45212</v>
      </c>
      <c r="N229" s="5">
        <v>7.8639999999999999</v>
      </c>
      <c r="O229">
        <v>9.6395999999999997</v>
      </c>
      <c r="P229">
        <v>0.32390000000000002</v>
      </c>
      <c r="Q229">
        <v>37.491900000000001</v>
      </c>
      <c r="R229">
        <v>1.3236000000000001</v>
      </c>
      <c r="S229" t="s">
        <v>33</v>
      </c>
      <c r="T229">
        <v>43.520699999999998</v>
      </c>
      <c r="U229">
        <v>29.6493</v>
      </c>
      <c r="V229">
        <v>1570.65</v>
      </c>
      <c r="W229">
        <v>2141613.2848</v>
      </c>
      <c r="Y229" s="5">
        <v>2.5867</v>
      </c>
      <c r="Z229">
        <v>23.264500000000002</v>
      </c>
      <c r="AA229">
        <v>1.5224</v>
      </c>
      <c r="AB229">
        <v>5.7252000000000001</v>
      </c>
      <c r="AC229">
        <v>-0.1817</v>
      </c>
      <c r="AD229" t="s">
        <v>33</v>
      </c>
      <c r="AE229">
        <v>13.476900000000001</v>
      </c>
      <c r="AF229">
        <v>9.5389999999999997</v>
      </c>
      <c r="AG229">
        <v>24.617999999999999</v>
      </c>
      <c r="AH229">
        <v>175912.3174</v>
      </c>
      <c r="AJ229">
        <v>4.9974999999999996</v>
      </c>
      <c r="AK229">
        <v>22.915299999999998</v>
      </c>
      <c r="AL229">
        <v>0.64149999999999996</v>
      </c>
      <c r="AM229">
        <v>25.922799999999999</v>
      </c>
      <c r="AN229">
        <v>0.1014</v>
      </c>
      <c r="AO229">
        <v>195.11080000000001</v>
      </c>
      <c r="AP229">
        <v>41.062800000000003</v>
      </c>
      <c r="AQ229">
        <v>27.402799999999999</v>
      </c>
      <c r="AR229">
        <v>2251.498</v>
      </c>
      <c r="AS229">
        <v>1767068.9456</v>
      </c>
      <c r="AU229" s="1">
        <f t="shared" si="24"/>
        <v>45212</v>
      </c>
      <c r="AV229" s="29">
        <f t="shared" si="25"/>
        <v>10.690002623076561</v>
      </c>
      <c r="AW229" s="30">
        <f t="shared" si="26"/>
        <v>0.98039914291770536</v>
      </c>
      <c r="AX229">
        <f t="shared" ca="1" si="19"/>
        <v>-1.5462726327246686E-2</v>
      </c>
      <c r="AY229">
        <f t="shared" ca="1" si="20"/>
        <v>-0.20622880913018191</v>
      </c>
      <c r="AZ229">
        <f t="shared" ca="1" si="21"/>
        <v>-0.59558567250924932</v>
      </c>
      <c r="BA229">
        <f t="shared" ca="1" si="22"/>
        <v>-0.67566235916900552</v>
      </c>
      <c r="BB229">
        <f t="shared" ca="1" si="23"/>
        <v>-0.78098023396026262</v>
      </c>
    </row>
    <row r="230" spans="1:54" x14ac:dyDescent="0.25">
      <c r="A230" s="37">
        <v>45219</v>
      </c>
      <c r="B230" s="5">
        <v>10.7568</v>
      </c>
      <c r="C230">
        <v>-0.55730000000000002</v>
      </c>
      <c r="D230">
        <v>6.6199999999999995E-2</v>
      </c>
      <c r="E230">
        <v>43.864699999999999</v>
      </c>
      <c r="F230">
        <v>3.5565000000000002</v>
      </c>
      <c r="G230">
        <v>0</v>
      </c>
      <c r="H230">
        <v>17.209399999999999</v>
      </c>
      <c r="I230">
        <v>-0.89229999999999998</v>
      </c>
      <c r="J230">
        <v>1292.5550000000001</v>
      </c>
      <c r="K230">
        <v>5054091.2620000001</v>
      </c>
      <c r="M230" s="37">
        <v>45219</v>
      </c>
      <c r="N230" s="5">
        <v>8.6205999999999996</v>
      </c>
      <c r="O230">
        <v>9.6395999999999997</v>
      </c>
      <c r="P230">
        <v>0.32390000000000002</v>
      </c>
      <c r="Q230">
        <v>37.491900000000001</v>
      </c>
      <c r="R230">
        <v>1.3236000000000001</v>
      </c>
      <c r="S230" t="s">
        <v>33</v>
      </c>
      <c r="T230">
        <v>43.520699999999998</v>
      </c>
      <c r="U230">
        <v>29.6493</v>
      </c>
      <c r="V230">
        <v>1738.85</v>
      </c>
      <c r="W230">
        <v>2370957.4128</v>
      </c>
      <c r="Y230" s="5">
        <v>2.5988000000000002</v>
      </c>
      <c r="Z230">
        <v>23.264500000000002</v>
      </c>
      <c r="AA230">
        <v>1.5224</v>
      </c>
      <c r="AB230">
        <v>5.7252000000000001</v>
      </c>
      <c r="AC230">
        <v>-0.1817</v>
      </c>
      <c r="AD230" t="s">
        <v>33</v>
      </c>
      <c r="AE230">
        <v>13.476900000000001</v>
      </c>
      <c r="AF230">
        <v>9.5389999999999997</v>
      </c>
      <c r="AG230">
        <v>24.727</v>
      </c>
      <c r="AH230">
        <v>176692.07060000001</v>
      </c>
      <c r="AJ230">
        <v>5.5132000000000003</v>
      </c>
      <c r="AK230">
        <v>22.915299999999998</v>
      </c>
      <c r="AL230">
        <v>0.64149999999999996</v>
      </c>
      <c r="AM230">
        <v>25.922799999999999</v>
      </c>
      <c r="AN230">
        <v>0.1014</v>
      </c>
      <c r="AO230">
        <v>195.11080000000001</v>
      </c>
      <c r="AP230">
        <v>41.062800000000003</v>
      </c>
      <c r="AQ230">
        <v>27.402799999999999</v>
      </c>
      <c r="AR230">
        <v>2488.6419999999998</v>
      </c>
      <c r="AS230">
        <v>1953189.1172</v>
      </c>
      <c r="AU230" s="1">
        <f t="shared" si="24"/>
        <v>45219</v>
      </c>
      <c r="AV230" s="29">
        <f t="shared" si="25"/>
        <v>11.317464885387986</v>
      </c>
      <c r="AW230" s="30">
        <f t="shared" si="26"/>
        <v>1.1749723622191619</v>
      </c>
      <c r="AX230">
        <f t="shared" ca="1" si="19"/>
        <v>0.21770138438764441</v>
      </c>
      <c r="AY230">
        <f t="shared" ca="1" si="20"/>
        <v>-0.20205476570674091</v>
      </c>
      <c r="AZ230">
        <f t="shared" ca="1" si="21"/>
        <v>-0.57785246700676163</v>
      </c>
      <c r="BA230">
        <f t="shared" ca="1" si="22"/>
        <v>-0.6695072263227696</v>
      </c>
      <c r="BB230">
        <f t="shared" ca="1" si="23"/>
        <v>-0.75957653398400304</v>
      </c>
    </row>
    <row r="231" spans="1:54" x14ac:dyDescent="0.25">
      <c r="A231" s="37">
        <v>45226</v>
      </c>
      <c r="B231" s="5">
        <v>8.9359000000000002</v>
      </c>
      <c r="C231">
        <v>-0.55730000000000002</v>
      </c>
      <c r="D231">
        <v>6.6199999999999995E-2</v>
      </c>
      <c r="E231">
        <v>43.864699999999999</v>
      </c>
      <c r="F231">
        <v>3.5565000000000002</v>
      </c>
      <c r="G231">
        <v>0</v>
      </c>
      <c r="H231">
        <v>17.209399999999999</v>
      </c>
      <c r="I231">
        <v>-0.89229999999999998</v>
      </c>
      <c r="J231">
        <v>962.58</v>
      </c>
      <c r="K231">
        <v>3763837.6447999999</v>
      </c>
      <c r="M231" s="37">
        <v>45226</v>
      </c>
      <c r="N231" s="5">
        <v>6.8928000000000003</v>
      </c>
      <c r="O231">
        <v>9.6395999999999997</v>
      </c>
      <c r="P231">
        <v>0.32390000000000002</v>
      </c>
      <c r="Q231">
        <v>37.491900000000001</v>
      </c>
      <c r="R231">
        <v>1.3236000000000001</v>
      </c>
      <c r="S231" t="s">
        <v>33</v>
      </c>
      <c r="T231">
        <v>43.520699999999998</v>
      </c>
      <c r="U231">
        <v>29.6493</v>
      </c>
      <c r="V231">
        <v>1354.35</v>
      </c>
      <c r="W231">
        <v>1846683.8267000001</v>
      </c>
      <c r="Y231" s="5">
        <v>2.2040999999999999</v>
      </c>
      <c r="Z231">
        <v>23.264500000000002</v>
      </c>
      <c r="AA231">
        <v>1.5224</v>
      </c>
      <c r="AB231">
        <v>5.7252000000000001</v>
      </c>
      <c r="AC231">
        <v>-0.1817</v>
      </c>
      <c r="AD231" t="s">
        <v>33</v>
      </c>
      <c r="AE231">
        <v>13.476900000000001</v>
      </c>
      <c r="AF231">
        <v>9.5389999999999997</v>
      </c>
      <c r="AG231">
        <v>21.17</v>
      </c>
      <c r="AH231">
        <v>151272.11689999999</v>
      </c>
      <c r="AJ231">
        <v>4.2721</v>
      </c>
      <c r="AK231">
        <v>22.915299999999998</v>
      </c>
      <c r="AL231">
        <v>0.64149999999999996</v>
      </c>
      <c r="AM231">
        <v>25.922799999999999</v>
      </c>
      <c r="AN231">
        <v>0.1014</v>
      </c>
      <c r="AO231">
        <v>195.11080000000001</v>
      </c>
      <c r="AP231">
        <v>41.062800000000003</v>
      </c>
      <c r="AQ231">
        <v>27.402799999999999</v>
      </c>
      <c r="AR231">
        <v>1917.914</v>
      </c>
      <c r="AS231">
        <v>1505258.6495999999</v>
      </c>
      <c r="AU231" s="1">
        <f t="shared" si="24"/>
        <v>45226</v>
      </c>
      <c r="AV231" s="29">
        <f t="shared" si="25"/>
        <v>9.2204159391649068</v>
      </c>
      <c r="AW231" s="30">
        <f t="shared" si="26"/>
        <v>0.52468693629367991</v>
      </c>
      <c r="AX231">
        <f t="shared" ca="1" si="19"/>
        <v>0.25638557889548619</v>
      </c>
      <c r="AY231">
        <f t="shared" ca="1" si="20"/>
        <v>-0.1830848617570143</v>
      </c>
      <c r="AZ231">
        <f t="shared" ca="1" si="21"/>
        <v>-0.55751299511964358</v>
      </c>
      <c r="BA231">
        <f t="shared" ca="1" si="22"/>
        <v>-0.65394589426285266</v>
      </c>
      <c r="BB231">
        <f t="shared" ca="1" si="23"/>
        <v>-0.74445199500231618</v>
      </c>
    </row>
    <row r="232" spans="1:54" x14ac:dyDescent="0.25">
      <c r="A232" s="37">
        <v>45233</v>
      </c>
      <c r="B232" s="5">
        <v>8.8116000000000003</v>
      </c>
      <c r="C232">
        <v>-0.55730000000000002</v>
      </c>
      <c r="D232">
        <v>6.6199999999999995E-2</v>
      </c>
      <c r="E232">
        <v>43.864699999999999</v>
      </c>
      <c r="F232">
        <v>3.5565000000000002</v>
      </c>
      <c r="G232">
        <v>0</v>
      </c>
      <c r="H232">
        <v>17.209399999999999</v>
      </c>
      <c r="I232">
        <v>-0.89229999999999998</v>
      </c>
      <c r="J232">
        <v>940.07</v>
      </c>
      <c r="K232">
        <v>3675820.0406999998</v>
      </c>
      <c r="M232" s="37">
        <v>45233</v>
      </c>
      <c r="N232" s="5">
        <v>6.8005000000000004</v>
      </c>
      <c r="O232">
        <v>9.6395999999999997</v>
      </c>
      <c r="P232">
        <v>0.32390000000000002</v>
      </c>
      <c r="Q232">
        <v>37.491900000000001</v>
      </c>
      <c r="R232">
        <v>1.3236000000000001</v>
      </c>
      <c r="S232" t="s">
        <v>33</v>
      </c>
      <c r="T232">
        <v>43.520699999999998</v>
      </c>
      <c r="U232">
        <v>29.6493</v>
      </c>
      <c r="V232">
        <v>1333.85</v>
      </c>
      <c r="W232">
        <v>1818731.6588999999</v>
      </c>
      <c r="Y232" s="5">
        <v>2.3664000000000001</v>
      </c>
      <c r="Z232">
        <v>23.264500000000002</v>
      </c>
      <c r="AA232">
        <v>1.5224</v>
      </c>
      <c r="AB232">
        <v>5.7252000000000001</v>
      </c>
      <c r="AC232">
        <v>-0.1817</v>
      </c>
      <c r="AD232" t="s">
        <v>33</v>
      </c>
      <c r="AE232">
        <v>13.476900000000001</v>
      </c>
      <c r="AF232">
        <v>9.5389999999999997</v>
      </c>
      <c r="AG232">
        <v>22.632000000000001</v>
      </c>
      <c r="AH232">
        <v>161720.8095</v>
      </c>
      <c r="AJ232">
        <v>3.8771</v>
      </c>
      <c r="AK232">
        <v>22.915299999999998</v>
      </c>
      <c r="AL232">
        <v>0.64149999999999996</v>
      </c>
      <c r="AM232">
        <v>25.922799999999999</v>
      </c>
      <c r="AN232">
        <v>0.1014</v>
      </c>
      <c r="AO232">
        <v>195.11080000000001</v>
      </c>
      <c r="AP232">
        <v>41.062800000000003</v>
      </c>
      <c r="AQ232">
        <v>27.402799999999999</v>
      </c>
      <c r="AR232">
        <v>1736.3040000000001</v>
      </c>
      <c r="AS232">
        <v>1362723.3433000001</v>
      </c>
      <c r="AU232" s="1">
        <f t="shared" si="24"/>
        <v>45233</v>
      </c>
      <c r="AV232" s="29">
        <f t="shared" si="25"/>
        <v>8.9147492865251063</v>
      </c>
      <c r="AW232" s="30">
        <f t="shared" si="26"/>
        <v>0.4299010850806752</v>
      </c>
      <c r="AX232">
        <f t="shared" ca="1" si="19"/>
        <v>0.32727163110629298</v>
      </c>
      <c r="AY232">
        <f t="shared" ca="1" si="20"/>
        <v>-0.15193904489337035</v>
      </c>
      <c r="AZ232">
        <f t="shared" ca="1" si="21"/>
        <v>-0.54170152267418281</v>
      </c>
      <c r="BA232">
        <f t="shared" ca="1" si="22"/>
        <v>-0.64805584652190895</v>
      </c>
      <c r="BB232">
        <f t="shared" ca="1" si="23"/>
        <v>-0.73714057355778517</v>
      </c>
    </row>
    <row r="233" spans="1:54" x14ac:dyDescent="0.25">
      <c r="A233" s="37">
        <v>45240</v>
      </c>
      <c r="B233" s="5">
        <v>8.8109000000000002</v>
      </c>
      <c r="C233">
        <v>-0.55730000000000002</v>
      </c>
      <c r="D233">
        <v>6.6199999999999995E-2</v>
      </c>
      <c r="E233">
        <v>43.864699999999999</v>
      </c>
      <c r="F233">
        <v>3.5565000000000002</v>
      </c>
      <c r="G233">
        <v>0</v>
      </c>
      <c r="H233">
        <v>17.209399999999999</v>
      </c>
      <c r="I233">
        <v>-0.89229999999999998</v>
      </c>
      <c r="J233">
        <v>939.94</v>
      </c>
      <c r="K233">
        <v>3675311.7204999998</v>
      </c>
      <c r="M233" s="37">
        <v>45240</v>
      </c>
      <c r="N233" s="5">
        <v>6.6646000000000001</v>
      </c>
      <c r="O233">
        <v>9.6395999999999997</v>
      </c>
      <c r="P233">
        <v>0.32390000000000002</v>
      </c>
      <c r="Q233">
        <v>37.491900000000001</v>
      </c>
      <c r="R233">
        <v>1.3236000000000001</v>
      </c>
      <c r="S233" t="s">
        <v>33</v>
      </c>
      <c r="T233">
        <v>43.520699999999998</v>
      </c>
      <c r="U233">
        <v>29.6493</v>
      </c>
      <c r="V233">
        <v>1303.4000000000001</v>
      </c>
      <c r="W233">
        <v>1777212.4632999999</v>
      </c>
      <c r="Y233" s="5">
        <v>2.3687999999999998</v>
      </c>
      <c r="Z233">
        <v>23.264500000000002</v>
      </c>
      <c r="AA233">
        <v>1.5224</v>
      </c>
      <c r="AB233">
        <v>5.7252000000000001</v>
      </c>
      <c r="AC233">
        <v>-0.1817</v>
      </c>
      <c r="AD233" t="s">
        <v>33</v>
      </c>
      <c r="AE233">
        <v>13.476900000000001</v>
      </c>
      <c r="AF233">
        <v>9.5389999999999997</v>
      </c>
      <c r="AG233">
        <v>22.654</v>
      </c>
      <c r="AH233">
        <v>161876.76019999999</v>
      </c>
      <c r="AJ233">
        <v>3.8988999999999998</v>
      </c>
      <c r="AK233">
        <v>22.915299999999998</v>
      </c>
      <c r="AL233">
        <v>0.64149999999999996</v>
      </c>
      <c r="AM233">
        <v>25.922799999999999</v>
      </c>
      <c r="AN233">
        <v>0.1014</v>
      </c>
      <c r="AO233">
        <v>195.11080000000001</v>
      </c>
      <c r="AP233">
        <v>41.062800000000003</v>
      </c>
      <c r="AQ233">
        <v>27.402799999999999</v>
      </c>
      <c r="AR233">
        <v>1746.327</v>
      </c>
      <c r="AS233">
        <v>1370589.6964</v>
      </c>
      <c r="AU233" s="1">
        <f t="shared" si="24"/>
        <v>45240</v>
      </c>
      <c r="AV233" s="29">
        <f t="shared" si="25"/>
        <v>8.8975583603988415</v>
      </c>
      <c r="AW233" s="30">
        <f t="shared" si="26"/>
        <v>0.42457025637579171</v>
      </c>
      <c r="AX233">
        <f t="shared" ca="1" si="19"/>
        <v>0.42040986189773505</v>
      </c>
      <c r="AY233">
        <f t="shared" ca="1" si="20"/>
        <v>-0.12025385389452586</v>
      </c>
      <c r="AZ233">
        <f t="shared" ca="1" si="21"/>
        <v>-0.4716455201539772</v>
      </c>
      <c r="BA233">
        <f t="shared" ca="1" si="22"/>
        <v>-0.64667394626198615</v>
      </c>
      <c r="BB233">
        <f t="shared" ca="1" si="23"/>
        <v>-0.73386123706810602</v>
      </c>
    </row>
    <row r="234" spans="1:54" x14ac:dyDescent="0.25">
      <c r="A234" s="37">
        <v>45247</v>
      </c>
      <c r="B234" s="5">
        <v>8.9505999999999997</v>
      </c>
      <c r="C234">
        <v>-0.55730000000000002</v>
      </c>
      <c r="D234">
        <v>6.6199999999999995E-2</v>
      </c>
      <c r="E234">
        <v>43.864699999999999</v>
      </c>
      <c r="F234">
        <v>3.5565000000000002</v>
      </c>
      <c r="G234">
        <v>0</v>
      </c>
      <c r="H234">
        <v>17.209399999999999</v>
      </c>
      <c r="I234">
        <v>-0.89229999999999998</v>
      </c>
      <c r="J234">
        <v>965.245</v>
      </c>
      <c r="K234">
        <v>3774258.2097</v>
      </c>
      <c r="M234" s="37">
        <v>45247</v>
      </c>
      <c r="N234" s="5">
        <v>6.6942000000000004</v>
      </c>
      <c r="O234">
        <v>9.6395999999999997</v>
      </c>
      <c r="P234">
        <v>0.32390000000000002</v>
      </c>
      <c r="Q234">
        <v>37.491900000000001</v>
      </c>
      <c r="R234">
        <v>1.3236000000000001</v>
      </c>
      <c r="S234" t="s">
        <v>33</v>
      </c>
      <c r="T234">
        <v>43.520699999999998</v>
      </c>
      <c r="U234">
        <v>29.6493</v>
      </c>
      <c r="V234">
        <v>1326.95</v>
      </c>
      <c r="W234">
        <v>1809323.3681999999</v>
      </c>
      <c r="Y234" s="5">
        <v>2.2452999999999999</v>
      </c>
      <c r="Z234">
        <v>23.264500000000002</v>
      </c>
      <c r="AA234">
        <v>1.5224</v>
      </c>
      <c r="AB234">
        <v>5.7252000000000001</v>
      </c>
      <c r="AC234">
        <v>-0.1817</v>
      </c>
      <c r="AD234" t="s">
        <v>33</v>
      </c>
      <c r="AE234">
        <v>13.476900000000001</v>
      </c>
      <c r="AF234">
        <v>9.5389999999999997</v>
      </c>
      <c r="AG234">
        <v>21.541</v>
      </c>
      <c r="AH234">
        <v>153923.27770000001</v>
      </c>
      <c r="AJ234">
        <v>4.0514000000000001</v>
      </c>
      <c r="AK234">
        <v>22.915299999999998</v>
      </c>
      <c r="AL234">
        <v>0.64149999999999996</v>
      </c>
      <c r="AM234">
        <v>25.922799999999999</v>
      </c>
      <c r="AN234">
        <v>0.1014</v>
      </c>
      <c r="AO234">
        <v>195.11080000000001</v>
      </c>
      <c r="AP234">
        <v>41.062800000000003</v>
      </c>
      <c r="AQ234">
        <v>27.402799999999999</v>
      </c>
      <c r="AR234">
        <v>1816.4390000000001</v>
      </c>
      <c r="AS234">
        <v>1425616.5297000001</v>
      </c>
      <c r="AU234" s="1">
        <f t="shared" si="24"/>
        <v>45247</v>
      </c>
      <c r="AV234" s="29">
        <f t="shared" si="25"/>
        <v>9.0658214809566644</v>
      </c>
      <c r="AW234" s="30">
        <f t="shared" si="26"/>
        <v>0.47674789162677877</v>
      </c>
      <c r="AX234">
        <f t="shared" ca="1" si="19"/>
        <v>0.42936800221018684</v>
      </c>
      <c r="AY234">
        <f t="shared" ca="1" si="20"/>
        <v>-7.4394063547950251E-2</v>
      </c>
      <c r="AZ234">
        <f t="shared" ca="1" si="21"/>
        <v>-0.40579091694739244</v>
      </c>
      <c r="BA234">
        <f t="shared" ca="1" si="22"/>
        <v>-0.6410038147689594</v>
      </c>
      <c r="BB234">
        <f t="shared" ca="1" si="23"/>
        <v>-0.71710073309011213</v>
      </c>
    </row>
    <row r="235" spans="1:54" x14ac:dyDescent="0.25">
      <c r="A235" s="37">
        <v>45254</v>
      </c>
      <c r="B235" s="5">
        <v>13.2241</v>
      </c>
      <c r="C235">
        <v>-0.55730000000000002</v>
      </c>
      <c r="D235">
        <v>6.6199999999999995E-2</v>
      </c>
      <c r="E235">
        <v>43.864699999999999</v>
      </c>
      <c r="F235">
        <v>3.5565000000000002</v>
      </c>
      <c r="G235">
        <v>0</v>
      </c>
      <c r="H235">
        <v>17.209399999999999</v>
      </c>
      <c r="I235">
        <v>-0.89229999999999998</v>
      </c>
      <c r="J235">
        <v>1739.635</v>
      </c>
      <c r="K235">
        <v>6802243.659</v>
      </c>
      <c r="M235" s="37">
        <v>45254</v>
      </c>
      <c r="N235" s="5">
        <v>9.0221</v>
      </c>
      <c r="O235">
        <v>9.6395999999999997</v>
      </c>
      <c r="P235">
        <v>0.32390000000000002</v>
      </c>
      <c r="Q235">
        <v>37.491900000000001</v>
      </c>
      <c r="R235">
        <v>1.3236000000000001</v>
      </c>
      <c r="S235" t="s">
        <v>33</v>
      </c>
      <c r="T235">
        <v>43.520699999999998</v>
      </c>
      <c r="U235">
        <v>29.6493</v>
      </c>
      <c r="V235">
        <v>1871.5</v>
      </c>
      <c r="W235">
        <v>2551828.3912</v>
      </c>
      <c r="Y235" s="5">
        <v>3.0177</v>
      </c>
      <c r="Z235">
        <v>23.264500000000002</v>
      </c>
      <c r="AA235">
        <v>1.5224</v>
      </c>
      <c r="AB235">
        <v>5.7252000000000001</v>
      </c>
      <c r="AC235">
        <v>-0.1817</v>
      </c>
      <c r="AD235" t="s">
        <v>33</v>
      </c>
      <c r="AE235">
        <v>13.476900000000001</v>
      </c>
      <c r="AF235">
        <v>9.5389999999999997</v>
      </c>
      <c r="AG235">
        <v>28.503</v>
      </c>
      <c r="AH235">
        <v>203671.5306</v>
      </c>
      <c r="AJ235">
        <v>6.8136999999999999</v>
      </c>
      <c r="AK235">
        <v>22.915299999999998</v>
      </c>
      <c r="AL235">
        <v>0.64149999999999996</v>
      </c>
      <c r="AM235">
        <v>25.922799999999999</v>
      </c>
      <c r="AN235">
        <v>0.1014</v>
      </c>
      <c r="AO235">
        <v>195.11080000000001</v>
      </c>
      <c r="AP235">
        <v>41.062800000000003</v>
      </c>
      <c r="AQ235">
        <v>27.402799999999999</v>
      </c>
      <c r="AR235">
        <v>3086.7040000000002</v>
      </c>
      <c r="AS235">
        <v>2422573.2749000001</v>
      </c>
      <c r="AU235" s="1">
        <f t="shared" si="24"/>
        <v>45254</v>
      </c>
      <c r="AV235" s="29">
        <f t="shared" si="25"/>
        <v>13.61175964812981</v>
      </c>
      <c r="AW235" s="30">
        <f t="shared" si="26"/>
        <v>1.8864228267756817</v>
      </c>
      <c r="AX235">
        <f t="shared" ca="1" si="19"/>
        <v>0.43631173887164248</v>
      </c>
      <c r="AY235">
        <f t="shared" ca="1" si="20"/>
        <v>-6.066993982936629E-2</v>
      </c>
      <c r="AZ235">
        <f t="shared" ca="1" si="21"/>
        <v>-0.39216452759747183</v>
      </c>
      <c r="BA235">
        <f t="shared" ca="1" si="22"/>
        <v>-0.63262984779744502</v>
      </c>
      <c r="BB235">
        <f t="shared" ca="1" si="23"/>
        <v>-0.7028438710397108</v>
      </c>
    </row>
    <row r="236" spans="1:54" x14ac:dyDescent="0.25">
      <c r="A236" s="37">
        <v>45261</v>
      </c>
      <c r="B236" s="5">
        <v>12.0655</v>
      </c>
      <c r="C236">
        <v>-0.55730000000000002</v>
      </c>
      <c r="D236">
        <v>6.6199999999999995E-2</v>
      </c>
      <c r="E236">
        <v>43.864699999999999</v>
      </c>
      <c r="F236">
        <v>3.5565000000000002</v>
      </c>
      <c r="G236">
        <v>0</v>
      </c>
      <c r="H236">
        <v>17.209399999999999</v>
      </c>
      <c r="I236">
        <v>-0.89229999999999998</v>
      </c>
      <c r="J236">
        <v>1529.69</v>
      </c>
      <c r="K236">
        <v>5981326.0268000001</v>
      </c>
      <c r="M236" s="37">
        <v>45261</v>
      </c>
      <c r="N236" s="5">
        <v>8.3557000000000006</v>
      </c>
      <c r="O236">
        <v>9.6395999999999997</v>
      </c>
      <c r="P236">
        <v>0.32390000000000002</v>
      </c>
      <c r="Q236">
        <v>37.491900000000001</v>
      </c>
      <c r="R236">
        <v>1.3236000000000001</v>
      </c>
      <c r="S236" t="s">
        <v>33</v>
      </c>
      <c r="T236">
        <v>43.520699999999998</v>
      </c>
      <c r="U236">
        <v>29.6493</v>
      </c>
      <c r="V236">
        <v>1738.5</v>
      </c>
      <c r="W236">
        <v>2370480.1806000001</v>
      </c>
      <c r="Y236" s="5">
        <v>2.9546999999999999</v>
      </c>
      <c r="Z236">
        <v>23.264500000000002</v>
      </c>
      <c r="AA236">
        <v>1.5224</v>
      </c>
      <c r="AB236">
        <v>5.7252000000000001</v>
      </c>
      <c r="AC236">
        <v>-0.1817</v>
      </c>
      <c r="AD236" t="s">
        <v>33</v>
      </c>
      <c r="AE236">
        <v>13.476900000000001</v>
      </c>
      <c r="AF236">
        <v>9.5389999999999997</v>
      </c>
      <c r="AG236">
        <v>28.369</v>
      </c>
      <c r="AH236">
        <v>199616.81409999999</v>
      </c>
      <c r="AJ236">
        <v>5.4417</v>
      </c>
      <c r="AK236">
        <v>22.915299999999998</v>
      </c>
      <c r="AL236">
        <v>0.64149999999999996</v>
      </c>
      <c r="AM236">
        <v>25.922799999999999</v>
      </c>
      <c r="AN236">
        <v>0.1014</v>
      </c>
      <c r="AO236">
        <v>195.11080000000001</v>
      </c>
      <c r="AP236">
        <v>41.062800000000003</v>
      </c>
      <c r="AQ236">
        <v>27.402799999999999</v>
      </c>
      <c r="AR236">
        <v>2455.7919999999999</v>
      </c>
      <c r="AS236">
        <v>1927407.051</v>
      </c>
      <c r="AU236" s="1">
        <f t="shared" si="24"/>
        <v>45261</v>
      </c>
      <c r="AV236" s="29">
        <f t="shared" si="25"/>
        <v>12.050963788406571</v>
      </c>
      <c r="AW236" s="30">
        <f t="shared" si="26"/>
        <v>1.4024270658513271</v>
      </c>
      <c r="AX236">
        <f t="shared" ca="1" si="19"/>
        <v>0.4727755058378314</v>
      </c>
      <c r="AY236">
        <f t="shared" ca="1" si="20"/>
        <v>-2.1453422259012363E-2</v>
      </c>
      <c r="AZ236">
        <f t="shared" ca="1" si="21"/>
        <v>-0.36772088052273488</v>
      </c>
      <c r="BA236">
        <f t="shared" ca="1" si="22"/>
        <v>-0.62683355770085214</v>
      </c>
      <c r="BB236">
        <f t="shared" ca="1" si="23"/>
        <v>-0.68813921701359348</v>
      </c>
    </row>
    <row r="237" spans="1:54" x14ac:dyDescent="0.25">
      <c r="A237" s="37">
        <v>45268</v>
      </c>
      <c r="B237" s="5">
        <v>12.7234</v>
      </c>
      <c r="C237">
        <v>-0.55730000000000002</v>
      </c>
      <c r="D237">
        <v>6.6199999999999995E-2</v>
      </c>
      <c r="E237">
        <v>43.864699999999999</v>
      </c>
      <c r="F237">
        <v>3.5565000000000002</v>
      </c>
      <c r="G237">
        <v>0</v>
      </c>
      <c r="H237">
        <v>17.209399999999999</v>
      </c>
      <c r="I237">
        <v>-0.89229999999999998</v>
      </c>
      <c r="J237">
        <v>1648.91</v>
      </c>
      <c r="K237">
        <v>6447494.7857999997</v>
      </c>
      <c r="M237" s="37">
        <v>45268</v>
      </c>
      <c r="N237" s="5">
        <v>8.9890000000000008</v>
      </c>
      <c r="O237">
        <v>9.6395999999999997</v>
      </c>
      <c r="P237">
        <v>0.32390000000000002</v>
      </c>
      <c r="Q237">
        <v>37.491900000000001</v>
      </c>
      <c r="R237">
        <v>1.3236000000000001</v>
      </c>
      <c r="S237" t="s">
        <v>33</v>
      </c>
      <c r="T237">
        <v>43.520699999999998</v>
      </c>
      <c r="U237">
        <v>29.6493</v>
      </c>
      <c r="V237">
        <v>1901.1</v>
      </c>
      <c r="W237">
        <v>2592188.5943999998</v>
      </c>
      <c r="Y237" s="5">
        <v>3.1775000000000002</v>
      </c>
      <c r="Z237">
        <v>23.264500000000002</v>
      </c>
      <c r="AA237">
        <v>1.5224</v>
      </c>
      <c r="AB237">
        <v>5.7252000000000001</v>
      </c>
      <c r="AC237">
        <v>-0.1817</v>
      </c>
      <c r="AD237" t="s">
        <v>33</v>
      </c>
      <c r="AE237">
        <v>13.476900000000001</v>
      </c>
      <c r="AF237">
        <v>9.5389999999999997</v>
      </c>
      <c r="AG237">
        <v>30.408000000000001</v>
      </c>
      <c r="AH237">
        <v>213964.2726</v>
      </c>
      <c r="AJ237">
        <v>5.8840000000000003</v>
      </c>
      <c r="AK237">
        <v>22.915299999999998</v>
      </c>
      <c r="AL237">
        <v>0.64149999999999996</v>
      </c>
      <c r="AM237">
        <v>25.922799999999999</v>
      </c>
      <c r="AN237">
        <v>0.1014</v>
      </c>
      <c r="AO237">
        <v>195.11080000000001</v>
      </c>
      <c r="AP237">
        <v>41.062800000000003</v>
      </c>
      <c r="AQ237">
        <v>27.402799999999999</v>
      </c>
      <c r="AR237">
        <v>2659.174</v>
      </c>
      <c r="AS237">
        <v>2087030.0333</v>
      </c>
      <c r="AU237" s="1">
        <f t="shared" si="24"/>
        <v>45268</v>
      </c>
      <c r="AV237" s="29">
        <f t="shared" si="25"/>
        <v>12.783628582296286</v>
      </c>
      <c r="AW237" s="30">
        <f t="shared" si="26"/>
        <v>1.6296231160023167</v>
      </c>
      <c r="AX237">
        <f t="shared" ca="1" si="19"/>
        <v>0.51989303182698976</v>
      </c>
      <c r="AY237">
        <f t="shared" ca="1" si="20"/>
        <v>4.9970715085974921E-2</v>
      </c>
      <c r="AZ237">
        <f t="shared" ca="1" si="21"/>
        <v>-0.33924356663539068</v>
      </c>
      <c r="BA237">
        <f t="shared" ca="1" si="22"/>
        <v>-0.6193588651914308</v>
      </c>
      <c r="BB237">
        <f t="shared" ca="1" si="23"/>
        <v>-0.68813921701359348</v>
      </c>
    </row>
    <row r="238" spans="1:54" x14ac:dyDescent="0.25">
      <c r="A238" s="37">
        <v>45275</v>
      </c>
      <c r="B238" s="5">
        <v>13.014099999999999</v>
      </c>
      <c r="C238">
        <v>-0.55730000000000002</v>
      </c>
      <c r="D238">
        <v>6.6199999999999995E-2</v>
      </c>
      <c r="E238">
        <v>43.864699999999999</v>
      </c>
      <c r="F238">
        <v>3.5565000000000002</v>
      </c>
      <c r="G238">
        <v>0</v>
      </c>
      <c r="H238">
        <v>17.209399999999999</v>
      </c>
      <c r="I238">
        <v>-0.89229999999999998</v>
      </c>
      <c r="J238">
        <v>1701.59</v>
      </c>
      <c r="K238">
        <v>6653481.7865000004</v>
      </c>
      <c r="M238" s="37">
        <v>45275</v>
      </c>
      <c r="N238" s="5">
        <v>4.1824000000000003</v>
      </c>
      <c r="O238">
        <v>9.6395999999999997</v>
      </c>
      <c r="P238">
        <v>0.32390000000000002</v>
      </c>
      <c r="Q238">
        <v>37.491900000000001</v>
      </c>
      <c r="R238">
        <v>1.3236000000000001</v>
      </c>
      <c r="S238" t="s">
        <v>33</v>
      </c>
      <c r="T238">
        <v>43.520699999999998</v>
      </c>
      <c r="U238">
        <v>29.6493</v>
      </c>
      <c r="V238">
        <v>1950.55</v>
      </c>
      <c r="W238">
        <v>2659614.6771999998</v>
      </c>
      <c r="Y238" s="5">
        <v>3.1242000000000001</v>
      </c>
      <c r="Z238">
        <v>23.264500000000002</v>
      </c>
      <c r="AA238">
        <v>1.5224</v>
      </c>
      <c r="AB238">
        <v>5.7252000000000001</v>
      </c>
      <c r="AC238">
        <v>-0.1817</v>
      </c>
      <c r="AD238" t="s">
        <v>33</v>
      </c>
      <c r="AE238">
        <v>13.476900000000001</v>
      </c>
      <c r="AF238">
        <v>9.5389999999999997</v>
      </c>
      <c r="AG238">
        <v>29.92</v>
      </c>
      <c r="AH238">
        <v>210533.35860000001</v>
      </c>
      <c r="AJ238">
        <v>6.44</v>
      </c>
      <c r="AK238">
        <v>22.915299999999998</v>
      </c>
      <c r="AL238">
        <v>0.64149999999999996</v>
      </c>
      <c r="AM238">
        <v>25.922799999999999</v>
      </c>
      <c r="AN238">
        <v>0.1014</v>
      </c>
      <c r="AO238">
        <v>195.11080000000001</v>
      </c>
      <c r="AP238">
        <v>41.062800000000003</v>
      </c>
      <c r="AQ238">
        <v>27.402799999999999</v>
      </c>
      <c r="AR238">
        <v>2914.877</v>
      </c>
      <c r="AS238">
        <v>2287716.1313999998</v>
      </c>
      <c r="AU238" s="1">
        <f t="shared" si="24"/>
        <v>45275</v>
      </c>
      <c r="AV238" s="29">
        <f t="shared" si="25"/>
        <v>11.876069530120615</v>
      </c>
      <c r="AW238" s="30">
        <f t="shared" si="26"/>
        <v>1.3481931446802253</v>
      </c>
      <c r="AX238">
        <f t="shared" ca="1" si="19"/>
        <v>0.52658742250185142</v>
      </c>
      <c r="AY238">
        <f t="shared" ca="1" si="20"/>
        <v>0.24708373500667519</v>
      </c>
      <c r="AZ238">
        <f t="shared" ca="1" si="21"/>
        <v>-0.28605785488539459</v>
      </c>
      <c r="BA238">
        <f t="shared" ca="1" si="22"/>
        <v>-0.61280872728295599</v>
      </c>
      <c r="BB238">
        <f t="shared" ca="1" si="23"/>
        <v>-0.68813921701359348</v>
      </c>
    </row>
    <row r="239" spans="1:54" x14ac:dyDescent="0.25">
      <c r="A239" s="37">
        <v>45282</v>
      </c>
      <c r="B239" s="5">
        <v>12.931699999999999</v>
      </c>
      <c r="C239">
        <v>-0.55730000000000002</v>
      </c>
      <c r="D239">
        <v>6.6199999999999995E-2</v>
      </c>
      <c r="E239">
        <v>43.864699999999999</v>
      </c>
      <c r="F239">
        <v>3.5565000000000002</v>
      </c>
      <c r="G239">
        <v>0</v>
      </c>
      <c r="H239">
        <v>17.209399999999999</v>
      </c>
      <c r="I239">
        <v>-0.89229999999999998</v>
      </c>
      <c r="J239">
        <v>1686.66</v>
      </c>
      <c r="K239">
        <v>6595103.1623999998</v>
      </c>
      <c r="M239" s="37">
        <v>45282</v>
      </c>
      <c r="N239" s="5">
        <v>4.1603000000000003</v>
      </c>
      <c r="O239">
        <v>9.6395999999999997</v>
      </c>
      <c r="P239">
        <v>0.32390000000000002</v>
      </c>
      <c r="Q239">
        <v>37.491900000000001</v>
      </c>
      <c r="R239">
        <v>1.3236000000000001</v>
      </c>
      <c r="S239" t="s">
        <v>33</v>
      </c>
      <c r="T239">
        <v>43.520699999999998</v>
      </c>
      <c r="U239">
        <v>29.6493</v>
      </c>
      <c r="V239">
        <v>1949.05</v>
      </c>
      <c r="W239">
        <v>2657569.3966000001</v>
      </c>
      <c r="Y239" s="5">
        <v>3.3761000000000001</v>
      </c>
      <c r="Z239">
        <v>23.264500000000002</v>
      </c>
      <c r="AA239">
        <v>1.5224</v>
      </c>
      <c r="AB239">
        <v>5.7252000000000001</v>
      </c>
      <c r="AC239">
        <v>-0.1817</v>
      </c>
      <c r="AD239" t="s">
        <v>33</v>
      </c>
      <c r="AE239">
        <v>13.476900000000001</v>
      </c>
      <c r="AF239">
        <v>9.5389999999999997</v>
      </c>
      <c r="AG239">
        <v>32.225000000000001</v>
      </c>
      <c r="AH239">
        <v>226752.22469999999</v>
      </c>
      <c r="AJ239">
        <v>6.2126000000000001</v>
      </c>
      <c r="AK239">
        <v>22.915299999999998</v>
      </c>
      <c r="AL239">
        <v>0.64149999999999996</v>
      </c>
      <c r="AM239">
        <v>25.922799999999999</v>
      </c>
      <c r="AN239">
        <v>0.1014</v>
      </c>
      <c r="AO239">
        <v>195.11080000000001</v>
      </c>
      <c r="AP239">
        <v>41.062800000000003</v>
      </c>
      <c r="AQ239">
        <v>27.402799999999999</v>
      </c>
      <c r="AR239">
        <v>2810.2840000000001</v>
      </c>
      <c r="AS239">
        <v>2205627.5380000002</v>
      </c>
      <c r="AU239" s="1">
        <f t="shared" si="24"/>
        <v>45282</v>
      </c>
      <c r="AV239" s="29">
        <f t="shared" si="25"/>
        <v>11.689570188352727</v>
      </c>
      <c r="AW239" s="30">
        <f t="shared" si="26"/>
        <v>1.2903605394304611</v>
      </c>
      <c r="AX239">
        <f t="shared" ca="1" si="19"/>
        <v>0.93503908738954344</v>
      </c>
      <c r="AY239">
        <f t="shared" ca="1" si="20"/>
        <v>0.2771096871639116</v>
      </c>
      <c r="AZ239">
        <f t="shared" ca="1" si="21"/>
        <v>-0.23979820870010338</v>
      </c>
      <c r="BA239">
        <f t="shared" ca="1" si="22"/>
        <v>-0.60632598472798849</v>
      </c>
      <c r="BB239">
        <f t="shared" ca="1" si="23"/>
        <v>-0.67068272217464475</v>
      </c>
    </row>
    <row r="240" spans="1:54" x14ac:dyDescent="0.25">
      <c r="A240" s="37">
        <v>45289</v>
      </c>
      <c r="B240" s="5">
        <v>12.4361</v>
      </c>
      <c r="C240">
        <v>-20.7334</v>
      </c>
      <c r="D240">
        <v>-0.2923</v>
      </c>
      <c r="E240">
        <v>49.452800000000003</v>
      </c>
      <c r="F240">
        <v>3.5565000000000002</v>
      </c>
      <c r="G240">
        <v>0</v>
      </c>
      <c r="H240">
        <v>-8.7637999999999998</v>
      </c>
      <c r="I240">
        <v>-26.789300000000001</v>
      </c>
      <c r="J240">
        <v>1668.82</v>
      </c>
      <c r="K240">
        <v>6525345.9852</v>
      </c>
      <c r="M240" s="37">
        <v>45289</v>
      </c>
      <c r="N240" s="5">
        <v>5.4379999999999997</v>
      </c>
      <c r="O240">
        <v>3.2747999999999999</v>
      </c>
      <c r="P240">
        <v>0.20749999999999999</v>
      </c>
      <c r="Q240">
        <v>37.735599999999998</v>
      </c>
      <c r="R240">
        <v>2.7223999999999999</v>
      </c>
      <c r="S240" t="s">
        <v>33</v>
      </c>
      <c r="T240">
        <v>36.295299999999997</v>
      </c>
      <c r="U240">
        <v>20.8186</v>
      </c>
      <c r="V240">
        <v>1931.6</v>
      </c>
      <c r="W240">
        <v>2633775.966</v>
      </c>
      <c r="Y240" s="5">
        <v>3.3614999999999999</v>
      </c>
      <c r="Z240">
        <v>-18.2438</v>
      </c>
      <c r="AA240">
        <v>-0.1071</v>
      </c>
      <c r="AB240">
        <v>6.8851000000000004</v>
      </c>
      <c r="AC240">
        <v>-0.1817</v>
      </c>
      <c r="AD240" t="s">
        <v>33</v>
      </c>
      <c r="AE240">
        <v>-9.4786000000000001</v>
      </c>
      <c r="AF240">
        <v>-13.584899999999999</v>
      </c>
      <c r="AG240">
        <v>32.534999999999997</v>
      </c>
      <c r="AH240">
        <v>228935.5336</v>
      </c>
      <c r="AJ240">
        <v>7.6626000000000003</v>
      </c>
      <c r="AK240">
        <v>5.9385000000000003</v>
      </c>
      <c r="AL240">
        <v>0.1074</v>
      </c>
      <c r="AM240">
        <v>35.533799999999999</v>
      </c>
      <c r="AN240">
        <v>1.4941</v>
      </c>
      <c r="AO240">
        <v>195.11080000000001</v>
      </c>
      <c r="AP240">
        <v>40.052900000000001</v>
      </c>
      <c r="AQ240">
        <v>25.394600000000001</v>
      </c>
      <c r="AR240">
        <v>2835.317</v>
      </c>
      <c r="AS240">
        <v>2225274.6016000002</v>
      </c>
      <c r="AU240" s="1">
        <f t="shared" si="24"/>
        <v>45289</v>
      </c>
      <c r="AV240" s="29">
        <f t="shared" si="25"/>
        <v>12.067809027746259</v>
      </c>
      <c r="AW240" s="30">
        <f t="shared" si="26"/>
        <v>1.4076506986418513</v>
      </c>
      <c r="AX240">
        <f t="shared" ca="1" si="19"/>
        <v>1.155515040289016</v>
      </c>
      <c r="AY240">
        <f t="shared" ca="1" si="20"/>
        <v>0.35738420403240406</v>
      </c>
      <c r="AZ240">
        <f t="shared" ca="1" si="21"/>
        <v>-0.22014474767353903</v>
      </c>
      <c r="BA240">
        <f t="shared" ca="1" si="22"/>
        <v>-0.60632598472798849</v>
      </c>
      <c r="BB240">
        <f t="shared" ca="1" si="23"/>
        <v>-0.67068272217464475</v>
      </c>
    </row>
    <row r="241" spans="1:54" x14ac:dyDescent="0.25">
      <c r="A241" s="37">
        <v>45296</v>
      </c>
      <c r="B241" s="5">
        <v>12.4361</v>
      </c>
      <c r="C241">
        <v>-20.7334</v>
      </c>
      <c r="D241">
        <v>-0.2923</v>
      </c>
      <c r="E241">
        <v>49.452800000000003</v>
      </c>
      <c r="F241">
        <v>3.5565000000000002</v>
      </c>
      <c r="G241">
        <v>0</v>
      </c>
      <c r="H241">
        <v>-8.7637999999999998</v>
      </c>
      <c r="I241">
        <v>-26.789300000000001</v>
      </c>
      <c r="J241">
        <v>1901.405</v>
      </c>
      <c r="K241">
        <v>7434789.5416999999</v>
      </c>
      <c r="M241" s="37">
        <v>45296</v>
      </c>
      <c r="N241" s="5">
        <v>6.0621</v>
      </c>
      <c r="O241">
        <v>3.2747999999999999</v>
      </c>
      <c r="P241">
        <v>0.20749999999999999</v>
      </c>
      <c r="Q241">
        <v>37.735599999999998</v>
      </c>
      <c r="R241">
        <v>2.7223999999999999</v>
      </c>
      <c r="S241" t="s">
        <v>33</v>
      </c>
      <c r="T241">
        <v>36.295299999999997</v>
      </c>
      <c r="U241">
        <v>20.8186</v>
      </c>
      <c r="V241">
        <v>2208.6</v>
      </c>
      <c r="W241">
        <v>3011471.1113</v>
      </c>
      <c r="Y241" s="5">
        <v>3.3614999999999999</v>
      </c>
      <c r="Z241">
        <v>-18.2438</v>
      </c>
      <c r="AA241">
        <v>-0.1071</v>
      </c>
      <c r="AB241">
        <v>6.8851000000000004</v>
      </c>
      <c r="AC241">
        <v>-0.1817</v>
      </c>
      <c r="AD241" t="s">
        <v>33</v>
      </c>
      <c r="AE241">
        <v>-9.4786000000000001</v>
      </c>
      <c r="AF241">
        <v>-13.584899999999999</v>
      </c>
      <c r="AG241">
        <v>35.15</v>
      </c>
      <c r="AH241">
        <v>247337.70869999999</v>
      </c>
      <c r="AJ241">
        <v>8.2510999999999992</v>
      </c>
      <c r="AK241">
        <v>5.9385000000000003</v>
      </c>
      <c r="AL241">
        <v>0.1074</v>
      </c>
      <c r="AM241">
        <v>35.533799999999999</v>
      </c>
      <c r="AN241">
        <v>1.4941</v>
      </c>
      <c r="AO241">
        <v>195.11080000000001</v>
      </c>
      <c r="AP241">
        <v>40.052900000000001</v>
      </c>
      <c r="AQ241">
        <v>25.394600000000001</v>
      </c>
      <c r="AR241">
        <v>3105.8389999999999</v>
      </c>
      <c r="AS241">
        <v>2437590.858</v>
      </c>
      <c r="AU241" s="1">
        <f t="shared" si="24"/>
        <v>45296</v>
      </c>
      <c r="AV241" s="29">
        <f t="shared" si="25"/>
        <v>12.312025608810645</v>
      </c>
      <c r="AW241" s="30">
        <f t="shared" si="26"/>
        <v>1.483381159641127</v>
      </c>
      <c r="AX241">
        <f t="shared" ca="1" si="19"/>
        <v>1.2788217217093309</v>
      </c>
      <c r="AY241">
        <f t="shared" ca="1" si="20"/>
        <v>0.42590296355201257</v>
      </c>
      <c r="AZ241">
        <f t="shared" ca="1" si="21"/>
        <v>-0.20694296798944609</v>
      </c>
      <c r="BA241">
        <f t="shared" ca="1" si="22"/>
        <v>-0.60318073218329693</v>
      </c>
      <c r="BB241">
        <f t="shared" ca="1" si="23"/>
        <v>-0.66704055009748897</v>
      </c>
    </row>
    <row r="242" spans="1:54" x14ac:dyDescent="0.25">
      <c r="A242" s="37">
        <v>45303</v>
      </c>
      <c r="B242" s="5">
        <v>12.4361</v>
      </c>
      <c r="C242">
        <v>-20.7334</v>
      </c>
      <c r="D242">
        <v>-0.2923</v>
      </c>
      <c r="E242">
        <v>49.452800000000003</v>
      </c>
      <c r="F242">
        <v>3.5565000000000002</v>
      </c>
      <c r="G242">
        <v>0</v>
      </c>
      <c r="H242">
        <v>-8.7637999999999998</v>
      </c>
      <c r="I242">
        <v>-26.789300000000001</v>
      </c>
      <c r="J242">
        <v>1820.585</v>
      </c>
      <c r="K242">
        <v>7118770.7604999999</v>
      </c>
      <c r="M242" s="37">
        <v>45303</v>
      </c>
      <c r="N242" s="5">
        <v>5.9664000000000001</v>
      </c>
      <c r="O242">
        <v>3.2747999999999999</v>
      </c>
      <c r="P242">
        <v>0.20749999999999999</v>
      </c>
      <c r="Q242">
        <v>37.735599999999998</v>
      </c>
      <c r="R242">
        <v>2.7223999999999999</v>
      </c>
      <c r="S242" t="s">
        <v>33</v>
      </c>
      <c r="T242">
        <v>36.295299999999997</v>
      </c>
      <c r="U242">
        <v>20.8186</v>
      </c>
      <c r="V242">
        <v>2179.6999999999998</v>
      </c>
      <c r="W242">
        <v>2972065.3722999999</v>
      </c>
      <c r="Y242" s="5">
        <v>3.3614999999999999</v>
      </c>
      <c r="Z242">
        <v>-18.2438</v>
      </c>
      <c r="AA242">
        <v>-0.1071</v>
      </c>
      <c r="AB242">
        <v>6.8851000000000004</v>
      </c>
      <c r="AC242">
        <v>-0.1817</v>
      </c>
      <c r="AD242" t="s">
        <v>33</v>
      </c>
      <c r="AE242">
        <v>-9.4786000000000001</v>
      </c>
      <c r="AF242">
        <v>-13.584899999999999</v>
      </c>
      <c r="AG242">
        <v>38.741</v>
      </c>
      <c r="AH242">
        <v>272601.71169999999</v>
      </c>
      <c r="AJ242">
        <v>8.4126999999999992</v>
      </c>
      <c r="AK242">
        <v>5.9385000000000003</v>
      </c>
      <c r="AL242">
        <v>0.1074</v>
      </c>
      <c r="AM242">
        <v>35.533799999999999</v>
      </c>
      <c r="AN242">
        <v>1.4941</v>
      </c>
      <c r="AO242">
        <v>195.11080000000001</v>
      </c>
      <c r="AP242">
        <v>40.052900000000001</v>
      </c>
      <c r="AQ242">
        <v>25.394600000000001</v>
      </c>
      <c r="AR242">
        <v>3180.123</v>
      </c>
      <c r="AS242">
        <v>2495892.202</v>
      </c>
      <c r="AU242" s="1">
        <f t="shared" si="24"/>
        <v>45303</v>
      </c>
      <c r="AV242" s="29">
        <f t="shared" si="25"/>
        <v>12.368079086961878</v>
      </c>
      <c r="AW242" s="30">
        <f t="shared" si="26"/>
        <v>1.5007630905587765</v>
      </c>
      <c r="AX242">
        <f t="shared" ca="1" si="19"/>
        <v>1.3424098841552488</v>
      </c>
      <c r="AY242">
        <f t="shared" ca="1" si="20"/>
        <v>0.43168182224483276</v>
      </c>
      <c r="AZ242">
        <f t="shared" ca="1" si="21"/>
        <v>-0.20599607929451424</v>
      </c>
      <c r="BA242">
        <f t="shared" ca="1" si="22"/>
        <v>-0.60126332685091399</v>
      </c>
      <c r="BB242">
        <f t="shared" ca="1" si="23"/>
        <v>-0.66704055009748897</v>
      </c>
    </row>
    <row r="243" spans="1:54" x14ac:dyDescent="0.25">
      <c r="A243" s="37">
        <v>45310</v>
      </c>
      <c r="B243" s="5">
        <v>12.4361</v>
      </c>
      <c r="C243">
        <v>-20.7334</v>
      </c>
      <c r="D243">
        <v>-0.2923</v>
      </c>
      <c r="E243">
        <v>49.452800000000003</v>
      </c>
      <c r="F243">
        <v>3.5565000000000002</v>
      </c>
      <c r="G243">
        <v>0</v>
      </c>
      <c r="H243">
        <v>-8.7637999999999998</v>
      </c>
      <c r="I243">
        <v>-26.789300000000001</v>
      </c>
      <c r="J243">
        <v>2017.52</v>
      </c>
      <c r="K243">
        <v>7888817.2673000004</v>
      </c>
      <c r="M243" s="37">
        <v>45310</v>
      </c>
      <c r="N243" s="5">
        <v>6.6619999999999999</v>
      </c>
      <c r="O243">
        <v>3.2747999999999999</v>
      </c>
      <c r="P243">
        <v>0.20749999999999999</v>
      </c>
      <c r="Q243">
        <v>37.735599999999998</v>
      </c>
      <c r="R243">
        <v>2.7223999999999999</v>
      </c>
      <c r="S243" t="s">
        <v>33</v>
      </c>
      <c r="T243">
        <v>36.295299999999997</v>
      </c>
      <c r="U243">
        <v>20.8186</v>
      </c>
      <c r="V243">
        <v>2490.9499999999998</v>
      </c>
      <c r="W243">
        <v>3396461.0906000002</v>
      </c>
      <c r="Y243" s="5">
        <v>3.3614999999999999</v>
      </c>
      <c r="Z243">
        <v>-18.2438</v>
      </c>
      <c r="AA243">
        <v>-0.1071</v>
      </c>
      <c r="AB243">
        <v>6.8851000000000004</v>
      </c>
      <c r="AC243">
        <v>-0.1817</v>
      </c>
      <c r="AD243" t="s">
        <v>33</v>
      </c>
      <c r="AE243">
        <v>-9.4786000000000001</v>
      </c>
      <c r="AF243">
        <v>-13.584899999999999</v>
      </c>
      <c r="AG243">
        <v>38.94</v>
      </c>
      <c r="AH243">
        <v>274005.26750000002</v>
      </c>
      <c r="AJ243">
        <v>9.3315999999999999</v>
      </c>
      <c r="AK243">
        <v>5.9385000000000003</v>
      </c>
      <c r="AL243">
        <v>0.1074</v>
      </c>
      <c r="AM243">
        <v>35.533799999999999</v>
      </c>
      <c r="AN243">
        <v>1.4941</v>
      </c>
      <c r="AO243">
        <v>195.11080000000001</v>
      </c>
      <c r="AP243">
        <v>40.052900000000001</v>
      </c>
      <c r="AQ243">
        <v>25.394600000000001</v>
      </c>
      <c r="AR243">
        <v>3602.4740000000002</v>
      </c>
      <c r="AS243">
        <v>2827370.5337999999</v>
      </c>
      <c r="AU243" s="1">
        <f t="shared" si="24"/>
        <v>45310</v>
      </c>
      <c r="AV243" s="29">
        <f t="shared" si="25"/>
        <v>12.806875285771293</v>
      </c>
      <c r="AW243" s="30">
        <f t="shared" si="26"/>
        <v>1.6368318139670612</v>
      </c>
      <c r="AX243">
        <f t="shared" ca="1" si="19"/>
        <v>1.3970036737342169</v>
      </c>
      <c r="AY243">
        <f t="shared" ca="1" si="20"/>
        <v>0.44695499820967383</v>
      </c>
      <c r="AZ243">
        <f t="shared" ca="1" si="21"/>
        <v>-0.19857891179030288</v>
      </c>
      <c r="BA243">
        <f t="shared" ca="1" si="22"/>
        <v>-0.59298420925152207</v>
      </c>
      <c r="BB243">
        <f t="shared" ca="1" si="23"/>
        <v>-0.66704055009748897</v>
      </c>
    </row>
    <row r="244" spans="1:54" x14ac:dyDescent="0.25">
      <c r="A244" s="37">
        <v>45317</v>
      </c>
      <c r="B244" s="5">
        <v>12.4361</v>
      </c>
      <c r="C244">
        <v>-20.7334</v>
      </c>
      <c r="D244">
        <v>-0.2923</v>
      </c>
      <c r="E244">
        <v>49.452800000000003</v>
      </c>
      <c r="F244">
        <v>3.5565000000000002</v>
      </c>
      <c r="G244">
        <v>0</v>
      </c>
      <c r="H244">
        <v>-8.7637999999999998</v>
      </c>
      <c r="I244">
        <v>-26.789300000000001</v>
      </c>
      <c r="J244">
        <v>2198.1750000000002</v>
      </c>
      <c r="K244">
        <v>8595206.4398999996</v>
      </c>
      <c r="M244" s="37">
        <v>45317</v>
      </c>
      <c r="N244" s="5">
        <v>6.5750999999999999</v>
      </c>
      <c r="O244">
        <v>3.2747999999999999</v>
      </c>
      <c r="P244">
        <v>0.20749999999999999</v>
      </c>
      <c r="Q244">
        <v>37.735599999999998</v>
      </c>
      <c r="R244">
        <v>2.7223999999999999</v>
      </c>
      <c r="S244" t="s">
        <v>33</v>
      </c>
      <c r="T244">
        <v>36.295299999999997</v>
      </c>
      <c r="U244">
        <v>20.8186</v>
      </c>
      <c r="V244">
        <v>2466.5</v>
      </c>
      <c r="W244">
        <v>3363123.0172999999</v>
      </c>
      <c r="Y244" s="5">
        <v>3.3614999999999999</v>
      </c>
      <c r="Z244">
        <v>-18.2438</v>
      </c>
      <c r="AA244">
        <v>-0.1071</v>
      </c>
      <c r="AB244">
        <v>6.8851000000000004</v>
      </c>
      <c r="AC244">
        <v>-0.1817</v>
      </c>
      <c r="AD244" t="s">
        <v>33</v>
      </c>
      <c r="AE244">
        <v>-9.4786000000000001</v>
      </c>
      <c r="AF244">
        <v>-13.584899999999999</v>
      </c>
      <c r="AG244">
        <v>40.137</v>
      </c>
      <c r="AH244">
        <v>282426.6018</v>
      </c>
      <c r="AJ244">
        <v>9.4313000000000002</v>
      </c>
      <c r="AK244">
        <v>5.9385000000000003</v>
      </c>
      <c r="AL244">
        <v>0.1074</v>
      </c>
      <c r="AM244">
        <v>35.533799999999999</v>
      </c>
      <c r="AN244">
        <v>1.4941</v>
      </c>
      <c r="AO244">
        <v>195.11080000000001</v>
      </c>
      <c r="AP244">
        <v>40.052900000000001</v>
      </c>
      <c r="AQ244">
        <v>25.394600000000001</v>
      </c>
      <c r="AR244">
        <v>3648.32</v>
      </c>
      <c r="AS244">
        <v>2863352.5123999999</v>
      </c>
      <c r="AU244" s="1">
        <f t="shared" si="24"/>
        <v>45317</v>
      </c>
      <c r="AV244" s="29">
        <f t="shared" si="25"/>
        <v>12.822592801776739</v>
      </c>
      <c r="AW244" s="30">
        <f t="shared" si="26"/>
        <v>1.6417057448347698</v>
      </c>
      <c r="AX244">
        <f t="shared" ca="1" si="19"/>
        <v>1.4071283353627988</v>
      </c>
      <c r="AY244">
        <f t="shared" ca="1" si="20"/>
        <v>0.48873265279350409</v>
      </c>
      <c r="AZ244">
        <f t="shared" ca="1" si="21"/>
        <v>-0.17454251955660183</v>
      </c>
      <c r="BA244">
        <f t="shared" ca="1" si="22"/>
        <v>-0.57158732751324504</v>
      </c>
      <c r="BB244">
        <f t="shared" ca="1" si="23"/>
        <v>-0.66704055009748897</v>
      </c>
    </row>
    <row r="245" spans="1:54" x14ac:dyDescent="0.25">
      <c r="A245" s="37">
        <v>45324</v>
      </c>
      <c r="B245" s="5">
        <v>12.4361</v>
      </c>
      <c r="C245">
        <v>-20.7334</v>
      </c>
      <c r="D245">
        <v>-0.2923</v>
      </c>
      <c r="E245">
        <v>49.452800000000003</v>
      </c>
      <c r="F245">
        <v>3.5565000000000002</v>
      </c>
      <c r="G245">
        <v>0</v>
      </c>
      <c r="H245">
        <v>-8.7637999999999998</v>
      </c>
      <c r="I245">
        <v>-26.789300000000001</v>
      </c>
      <c r="J245">
        <v>2253.7600000000002</v>
      </c>
      <c r="K245">
        <v>8812552.4428000003</v>
      </c>
      <c r="M245" s="37">
        <v>45324</v>
      </c>
      <c r="N245" s="5">
        <v>6.7026000000000003</v>
      </c>
      <c r="O245">
        <v>3.2747999999999999</v>
      </c>
      <c r="P245">
        <v>0.20749999999999999</v>
      </c>
      <c r="Q245">
        <v>37.735599999999998</v>
      </c>
      <c r="R245">
        <v>2.7223999999999999</v>
      </c>
      <c r="S245" t="s">
        <v>33</v>
      </c>
      <c r="T245">
        <v>36.295299999999997</v>
      </c>
      <c r="U245">
        <v>20.8186</v>
      </c>
      <c r="V245">
        <v>2535.1</v>
      </c>
      <c r="W245">
        <v>3456660.5153000001</v>
      </c>
      <c r="Y245" s="5">
        <v>3.3614999999999999</v>
      </c>
      <c r="Z245">
        <v>-18.2438</v>
      </c>
      <c r="AA245">
        <v>-0.1071</v>
      </c>
      <c r="AB245">
        <v>6.8851000000000004</v>
      </c>
      <c r="AC245">
        <v>-0.1817</v>
      </c>
      <c r="AD245" t="s">
        <v>33</v>
      </c>
      <c r="AE245">
        <v>-9.4786000000000001</v>
      </c>
      <c r="AF245">
        <v>-13.584899999999999</v>
      </c>
      <c r="AG245">
        <v>48.581000000000003</v>
      </c>
      <c r="AH245">
        <v>341843.7941</v>
      </c>
      <c r="AJ245">
        <v>9.7499000000000002</v>
      </c>
      <c r="AK245">
        <v>5.9385000000000003</v>
      </c>
      <c r="AL245">
        <v>0.1074</v>
      </c>
      <c r="AM245">
        <v>35.533799999999999</v>
      </c>
      <c r="AN245">
        <v>1.4941</v>
      </c>
      <c r="AO245">
        <v>195.11080000000001</v>
      </c>
      <c r="AP245">
        <v>40.052900000000001</v>
      </c>
      <c r="AQ245">
        <v>25.394600000000001</v>
      </c>
      <c r="AR245">
        <v>3794.7779999999998</v>
      </c>
      <c r="AS245">
        <v>2978299.1260000002</v>
      </c>
      <c r="AU245" s="1">
        <f t="shared" si="24"/>
        <v>45324</v>
      </c>
      <c r="AV245" s="29">
        <f t="shared" si="25"/>
        <v>12.921171157031138</v>
      </c>
      <c r="AW245" s="30">
        <f t="shared" si="26"/>
        <v>1.6722744484642658</v>
      </c>
      <c r="AX245">
        <f t="shared" ca="1" si="19"/>
        <v>1.4758081135411993</v>
      </c>
      <c r="AY245">
        <f t="shared" ca="1" si="20"/>
        <v>0.52521484912928307</v>
      </c>
      <c r="AZ245">
        <f t="shared" ca="1" si="21"/>
        <v>-0.14642025463096381</v>
      </c>
      <c r="BA245">
        <f t="shared" ca="1" si="22"/>
        <v>-0.5536083986696011</v>
      </c>
      <c r="BB245">
        <f t="shared" ca="1" si="23"/>
        <v>-0.66704055009748897</v>
      </c>
    </row>
    <row r="246" spans="1:54" x14ac:dyDescent="0.25">
      <c r="A246" s="37">
        <v>45331</v>
      </c>
      <c r="B246" s="5">
        <v>12.4361</v>
      </c>
      <c r="C246">
        <v>-20.7334</v>
      </c>
      <c r="D246">
        <v>-0.2923</v>
      </c>
      <c r="E246">
        <v>49.452800000000003</v>
      </c>
      <c r="F246">
        <v>3.5565000000000002</v>
      </c>
      <c r="G246">
        <v>0</v>
      </c>
      <c r="H246">
        <v>-8.7637999999999998</v>
      </c>
      <c r="I246">
        <v>-26.789300000000001</v>
      </c>
      <c r="J246">
        <v>2053.35</v>
      </c>
      <c r="K246">
        <v>8028918.1449999996</v>
      </c>
      <c r="M246" s="37">
        <v>45331</v>
      </c>
      <c r="N246" s="5">
        <v>5.8219000000000003</v>
      </c>
      <c r="O246">
        <v>3.2747999999999999</v>
      </c>
      <c r="P246">
        <v>0.20749999999999999</v>
      </c>
      <c r="Q246">
        <v>37.735599999999998</v>
      </c>
      <c r="R246">
        <v>2.7223999999999999</v>
      </c>
      <c r="S246" t="s">
        <v>33</v>
      </c>
      <c r="T246">
        <v>36.295299999999997</v>
      </c>
      <c r="U246">
        <v>20.8186</v>
      </c>
      <c r="V246">
        <v>2164.35</v>
      </c>
      <c r="W246">
        <v>2951135.3344999999</v>
      </c>
      <c r="Y246" s="5">
        <v>3.3614999999999999</v>
      </c>
      <c r="Z246">
        <v>-18.2438</v>
      </c>
      <c r="AA246">
        <v>-0.1071</v>
      </c>
      <c r="AB246">
        <v>6.8851000000000004</v>
      </c>
      <c r="AC246">
        <v>-0.1817</v>
      </c>
      <c r="AD246" t="s">
        <v>33</v>
      </c>
      <c r="AE246">
        <v>-9.4786000000000001</v>
      </c>
      <c r="AF246">
        <v>-13.584899999999999</v>
      </c>
      <c r="AG246">
        <v>49.512</v>
      </c>
      <c r="AH246">
        <v>348393.72080000001</v>
      </c>
      <c r="AJ246">
        <v>8.3313000000000006</v>
      </c>
      <c r="AK246">
        <v>5.9385000000000003</v>
      </c>
      <c r="AL246">
        <v>0.1074</v>
      </c>
      <c r="AM246">
        <v>35.533799999999999</v>
      </c>
      <c r="AN246">
        <v>1.4941</v>
      </c>
      <c r="AO246">
        <v>195.11080000000001</v>
      </c>
      <c r="AP246">
        <v>40.052900000000001</v>
      </c>
      <c r="AQ246">
        <v>25.394600000000001</v>
      </c>
      <c r="AR246">
        <v>3142.7170000000001</v>
      </c>
      <c r="AS246">
        <v>2466534.5207000002</v>
      </c>
      <c r="AU246" s="1">
        <f t="shared" si="24"/>
        <v>45331</v>
      </c>
      <c r="AV246" s="29">
        <f t="shared" si="25"/>
        <v>12.24794588688755</v>
      </c>
      <c r="AW246" s="30">
        <f t="shared" si="26"/>
        <v>1.4635103267075436</v>
      </c>
      <c r="AX246">
        <f t="shared" ca="1" si="19"/>
        <v>1.4990248974670115</v>
      </c>
      <c r="AY246">
        <f t="shared" ca="1" si="20"/>
        <v>0.64019872645649589</v>
      </c>
      <c r="AZ246">
        <f t="shared" ca="1" si="21"/>
        <v>-0.10512503368290095</v>
      </c>
      <c r="BA246">
        <f t="shared" ca="1" si="22"/>
        <v>-0.44461979843925037</v>
      </c>
      <c r="BB246">
        <f t="shared" ca="1" si="23"/>
        <v>-0.64658208380283921</v>
      </c>
    </row>
    <row r="247" spans="1:54" x14ac:dyDescent="0.25">
      <c r="A247" s="37">
        <v>45338</v>
      </c>
      <c r="B247" s="5">
        <v>12.4361</v>
      </c>
      <c r="C247">
        <v>-20.7334</v>
      </c>
      <c r="D247">
        <v>-0.2923</v>
      </c>
      <c r="E247">
        <v>49.452800000000003</v>
      </c>
      <c r="F247">
        <v>3.5565000000000002</v>
      </c>
      <c r="G247">
        <v>0</v>
      </c>
      <c r="H247">
        <v>-8.7637999999999998</v>
      </c>
      <c r="I247">
        <v>-26.789300000000001</v>
      </c>
      <c r="J247">
        <v>1892.44</v>
      </c>
      <c r="K247">
        <v>7399734.9961000001</v>
      </c>
      <c r="M247" s="37">
        <v>45338</v>
      </c>
      <c r="N247" s="5">
        <v>5.2275</v>
      </c>
      <c r="O247">
        <v>3.2747999999999999</v>
      </c>
      <c r="P247">
        <v>0.20749999999999999</v>
      </c>
      <c r="Q247">
        <v>37.735599999999998</v>
      </c>
      <c r="R247">
        <v>2.7223999999999999</v>
      </c>
      <c r="S247" t="s">
        <v>33</v>
      </c>
      <c r="T247">
        <v>36.295299999999997</v>
      </c>
      <c r="U247">
        <v>20.8186</v>
      </c>
      <c r="V247">
        <v>1915.4</v>
      </c>
      <c r="W247">
        <v>2611686.9358999999</v>
      </c>
      <c r="Y247" s="5">
        <v>3.3614999999999999</v>
      </c>
      <c r="Z247">
        <v>-18.2438</v>
      </c>
      <c r="AA247">
        <v>-0.1071</v>
      </c>
      <c r="AB247">
        <v>6.8851000000000004</v>
      </c>
      <c r="AC247">
        <v>-0.1817</v>
      </c>
      <c r="AD247" t="s">
        <v>33</v>
      </c>
      <c r="AE247">
        <v>-9.4786000000000001</v>
      </c>
      <c r="AF247">
        <v>-13.584899999999999</v>
      </c>
      <c r="AG247">
        <v>52.326999999999998</v>
      </c>
      <c r="AH247">
        <v>368199.45159999997</v>
      </c>
      <c r="AJ247">
        <v>7.8133999999999997</v>
      </c>
      <c r="AK247">
        <v>5.9385000000000003</v>
      </c>
      <c r="AL247">
        <v>0.1074</v>
      </c>
      <c r="AM247">
        <v>35.533799999999999</v>
      </c>
      <c r="AN247">
        <v>1.4941</v>
      </c>
      <c r="AO247">
        <v>195.11080000000001</v>
      </c>
      <c r="AP247">
        <v>40.052900000000001</v>
      </c>
      <c r="AQ247">
        <v>25.394600000000001</v>
      </c>
      <c r="AR247">
        <v>2904.6619999999998</v>
      </c>
      <c r="AS247">
        <v>2279699.2261000001</v>
      </c>
      <c r="AU247" s="1">
        <f t="shared" si="24"/>
        <v>45338</v>
      </c>
      <c r="AV247" s="29">
        <f t="shared" si="25"/>
        <v>12.016463570554665</v>
      </c>
      <c r="AW247" s="30">
        <f t="shared" si="26"/>
        <v>1.3917287038027177</v>
      </c>
      <c r="AX247">
        <f t="shared" ca="1" si="19"/>
        <v>1.4990248974670115</v>
      </c>
      <c r="AY247">
        <f t="shared" ca="1" si="20"/>
        <v>1.0290424477430695</v>
      </c>
      <c r="AZ247">
        <f t="shared" ca="1" si="21"/>
        <v>-7.3920733836249378E-2</v>
      </c>
      <c r="BA247">
        <f t="shared" ca="1" si="22"/>
        <v>-0.40389047683151491</v>
      </c>
      <c r="BB247">
        <f t="shared" ca="1" si="23"/>
        <v>-0.64658208380283921</v>
      </c>
    </row>
    <row r="248" spans="1:54" x14ac:dyDescent="0.25">
      <c r="A248" s="37">
        <v>45345</v>
      </c>
      <c r="B248" s="5">
        <v>12.4361</v>
      </c>
      <c r="C248">
        <v>-20.7334</v>
      </c>
      <c r="D248">
        <v>-0.2923</v>
      </c>
      <c r="E248">
        <v>49.452800000000003</v>
      </c>
      <c r="F248">
        <v>3.5565000000000002</v>
      </c>
      <c r="G248">
        <v>0</v>
      </c>
      <c r="H248">
        <v>-8.7637999999999998</v>
      </c>
      <c r="I248">
        <v>-26.789300000000001</v>
      </c>
      <c r="J248">
        <v>2021.01</v>
      </c>
      <c r="K248">
        <v>7902463.7105999999</v>
      </c>
      <c r="M248" s="37">
        <v>45345</v>
      </c>
      <c r="N248" s="5">
        <v>5.3902000000000001</v>
      </c>
      <c r="O248">
        <v>3.2747999999999999</v>
      </c>
      <c r="P248">
        <v>0.20749999999999999</v>
      </c>
      <c r="Q248">
        <v>37.735599999999998</v>
      </c>
      <c r="R248">
        <v>2.7223999999999999</v>
      </c>
      <c r="S248" t="s">
        <v>33</v>
      </c>
      <c r="T248">
        <v>36.295299999999997</v>
      </c>
      <c r="U248">
        <v>20.8186</v>
      </c>
      <c r="V248">
        <v>1997.6</v>
      </c>
      <c r="W248">
        <v>2723768.3111</v>
      </c>
      <c r="Y248" s="5">
        <v>3.3614999999999999</v>
      </c>
      <c r="Z248">
        <v>-18.2438</v>
      </c>
      <c r="AA248">
        <v>-0.1071</v>
      </c>
      <c r="AB248">
        <v>6.8851000000000004</v>
      </c>
      <c r="AC248">
        <v>-0.1817</v>
      </c>
      <c r="AD248" t="s">
        <v>33</v>
      </c>
      <c r="AE248">
        <v>-9.4786000000000001</v>
      </c>
      <c r="AF248">
        <v>-13.584899999999999</v>
      </c>
      <c r="AG248">
        <v>48.581000000000003</v>
      </c>
      <c r="AH248">
        <v>341843.7941</v>
      </c>
      <c r="AJ248">
        <v>8.2196999999999996</v>
      </c>
      <c r="AK248">
        <v>5.9385000000000003</v>
      </c>
      <c r="AL248">
        <v>0.1074</v>
      </c>
      <c r="AM248">
        <v>35.533799999999999</v>
      </c>
      <c r="AN248">
        <v>1.4941</v>
      </c>
      <c r="AO248">
        <v>195.11080000000001</v>
      </c>
      <c r="AP248">
        <v>40.052900000000001</v>
      </c>
      <c r="AQ248">
        <v>25.394600000000001</v>
      </c>
      <c r="AR248">
        <v>3091.404</v>
      </c>
      <c r="AS248">
        <v>2426261.8040999998</v>
      </c>
      <c r="AU248" s="1">
        <f t="shared" si="24"/>
        <v>45345</v>
      </c>
      <c r="AV248" s="29">
        <f t="shared" si="25"/>
        <v>12.221809843236787</v>
      </c>
      <c r="AW248" s="30">
        <f t="shared" si="26"/>
        <v>1.4554056573777916</v>
      </c>
      <c r="AX248">
        <f t="shared" ca="1" si="19"/>
        <v>1.4990248974670115</v>
      </c>
      <c r="AY248">
        <f t="shared" ca="1" si="20"/>
        <v>1.2038194065219867</v>
      </c>
      <c r="AZ248">
        <f t="shared" ca="1" si="21"/>
        <v>-4.8365805245884942E-2</v>
      </c>
      <c r="BA248">
        <f t="shared" ca="1" si="22"/>
        <v>-0.38725177303838909</v>
      </c>
      <c r="BB248">
        <f t="shared" ca="1" si="23"/>
        <v>-0.64658208380283921</v>
      </c>
    </row>
    <row r="249" spans="1:54" x14ac:dyDescent="0.25">
      <c r="A249" s="37">
        <v>45352</v>
      </c>
      <c r="B249" s="5">
        <v>12.4361</v>
      </c>
      <c r="C249">
        <v>-20.7334</v>
      </c>
      <c r="D249">
        <v>-0.2923</v>
      </c>
      <c r="E249">
        <v>49.452800000000003</v>
      </c>
      <c r="F249">
        <v>3.5565000000000002</v>
      </c>
      <c r="G249">
        <v>0</v>
      </c>
      <c r="H249">
        <v>-8.7637999999999998</v>
      </c>
      <c r="I249">
        <v>-26.789300000000001</v>
      </c>
      <c r="J249">
        <v>1934.635</v>
      </c>
      <c r="K249">
        <v>7564724.0146000003</v>
      </c>
      <c r="M249" s="37">
        <v>45352</v>
      </c>
      <c r="N249" s="5">
        <v>5.0590000000000002</v>
      </c>
      <c r="O249">
        <v>3.2747999999999999</v>
      </c>
      <c r="P249">
        <v>0.20749999999999999</v>
      </c>
      <c r="Q249">
        <v>37.735599999999998</v>
      </c>
      <c r="R249">
        <v>2.7223999999999999</v>
      </c>
      <c r="S249" t="s">
        <v>33</v>
      </c>
      <c r="T249">
        <v>36.295299999999997</v>
      </c>
      <c r="U249">
        <v>20.8186</v>
      </c>
      <c r="V249">
        <v>1862.9</v>
      </c>
      <c r="W249">
        <v>2540102.1159000001</v>
      </c>
      <c r="Y249" s="5">
        <v>3.3614999999999999</v>
      </c>
      <c r="Z249">
        <v>-18.2438</v>
      </c>
      <c r="AA249">
        <v>-0.1071</v>
      </c>
      <c r="AB249">
        <v>6.8851000000000004</v>
      </c>
      <c r="AC249">
        <v>-0.1817</v>
      </c>
      <c r="AD249" t="s">
        <v>33</v>
      </c>
      <c r="AE249">
        <v>-9.4786000000000001</v>
      </c>
      <c r="AF249">
        <v>-13.584899999999999</v>
      </c>
      <c r="AG249">
        <v>46.941000000000003</v>
      </c>
      <c r="AH249">
        <v>330303.44699999999</v>
      </c>
      <c r="AJ249">
        <v>7.5468999999999999</v>
      </c>
      <c r="AK249">
        <v>5.9385000000000003</v>
      </c>
      <c r="AL249">
        <v>0.1074</v>
      </c>
      <c r="AM249">
        <v>35.533799999999999</v>
      </c>
      <c r="AN249">
        <v>1.4941</v>
      </c>
      <c r="AO249">
        <v>195.11080000000001</v>
      </c>
      <c r="AP249">
        <v>40.052900000000001</v>
      </c>
      <c r="AQ249">
        <v>25.394600000000001</v>
      </c>
      <c r="AR249">
        <v>2782.134</v>
      </c>
      <c r="AS249">
        <v>2183534.0008999999</v>
      </c>
      <c r="AU249" s="1">
        <f t="shared" si="24"/>
        <v>45352</v>
      </c>
      <c r="AV249" s="29">
        <f t="shared" si="25"/>
        <v>11.93231648788195</v>
      </c>
      <c r="AW249" s="30">
        <f t="shared" si="26"/>
        <v>1.3656350727528719</v>
      </c>
      <c r="AX249">
        <f t="shared" ca="1" si="19"/>
        <v>1.4990248974670115</v>
      </c>
      <c r="AY249">
        <f t="shared" ca="1" si="20"/>
        <v>1.3048186907429022</v>
      </c>
      <c r="AZ249">
        <f t="shared" ca="1" si="21"/>
        <v>-1.914930843910248E-2</v>
      </c>
      <c r="BA249">
        <f t="shared" ca="1" si="22"/>
        <v>-0.36041181154444912</v>
      </c>
      <c r="BB249">
        <f t="shared" ca="1" si="23"/>
        <v>-0.64658208380283921</v>
      </c>
    </row>
    <row r="250" spans="1:54" x14ac:dyDescent="0.25">
      <c r="A250" s="37">
        <v>45359</v>
      </c>
      <c r="B250" s="5">
        <v>12.4361</v>
      </c>
      <c r="C250">
        <v>-20.7334</v>
      </c>
      <c r="D250">
        <v>-0.2923</v>
      </c>
      <c r="E250">
        <v>49.452800000000003</v>
      </c>
      <c r="F250">
        <v>3.5565000000000002</v>
      </c>
      <c r="G250">
        <v>0</v>
      </c>
      <c r="H250">
        <v>-8.7637999999999998</v>
      </c>
      <c r="I250">
        <v>-26.789300000000001</v>
      </c>
      <c r="J250">
        <v>1849.93</v>
      </c>
      <c r="K250">
        <v>7233514.2785999998</v>
      </c>
      <c r="M250" s="37">
        <v>45359</v>
      </c>
      <c r="N250" s="5">
        <v>4.6006</v>
      </c>
      <c r="O250">
        <v>3.2747999999999999</v>
      </c>
      <c r="P250">
        <v>0.20749999999999999</v>
      </c>
      <c r="Q250">
        <v>37.735599999999998</v>
      </c>
      <c r="R250">
        <v>2.7223999999999999</v>
      </c>
      <c r="S250" t="s">
        <v>33</v>
      </c>
      <c r="T250">
        <v>36.295299999999997</v>
      </c>
      <c r="U250">
        <v>20.8186</v>
      </c>
      <c r="V250">
        <v>1668.5</v>
      </c>
      <c r="W250">
        <v>2275033.7540000002</v>
      </c>
      <c r="Y250" s="5">
        <v>3.3614999999999999</v>
      </c>
      <c r="Z250">
        <v>-18.2438</v>
      </c>
      <c r="AA250">
        <v>-0.1071</v>
      </c>
      <c r="AB250">
        <v>6.8851000000000004</v>
      </c>
      <c r="AC250">
        <v>-0.1817</v>
      </c>
      <c r="AD250" t="s">
        <v>33</v>
      </c>
      <c r="AE250">
        <v>-9.4786000000000001</v>
      </c>
      <c r="AF250">
        <v>-13.584899999999999</v>
      </c>
      <c r="AG250">
        <v>41.688000000000002</v>
      </c>
      <c r="AH250">
        <v>293343.14630000002</v>
      </c>
      <c r="AJ250">
        <v>6.8365</v>
      </c>
      <c r="AK250">
        <v>5.9385000000000003</v>
      </c>
      <c r="AL250">
        <v>0.1074</v>
      </c>
      <c r="AM250">
        <v>35.533799999999999</v>
      </c>
      <c r="AN250">
        <v>1.4941</v>
      </c>
      <c r="AO250">
        <v>195.11080000000001</v>
      </c>
      <c r="AP250">
        <v>40.052900000000001</v>
      </c>
      <c r="AQ250">
        <v>25.394600000000001</v>
      </c>
      <c r="AR250">
        <v>2455.6</v>
      </c>
      <c r="AS250">
        <v>1927256.4987000001</v>
      </c>
      <c r="AU250" s="1">
        <f t="shared" si="24"/>
        <v>45359</v>
      </c>
      <c r="AV250" s="29">
        <f t="shared" si="25"/>
        <v>11.690089918062013</v>
      </c>
      <c r="AW250" s="30">
        <f t="shared" si="26"/>
        <v>1.2905217052706661</v>
      </c>
      <c r="AX250">
        <f t="shared" ca="1" si="19"/>
        <v>1.4990248974670115</v>
      </c>
      <c r="AY250">
        <f t="shared" ca="1" si="20"/>
        <v>1.3525536266983869</v>
      </c>
      <c r="AZ250">
        <f t="shared" ca="1" si="21"/>
        <v>0.11448251097123256</v>
      </c>
      <c r="BA250">
        <f t="shared" ca="1" si="22"/>
        <v>-0.33231397867000428</v>
      </c>
      <c r="BB250">
        <f t="shared" ca="1" si="23"/>
        <v>-0.6231507599298991</v>
      </c>
    </row>
    <row r="251" spans="1:54" x14ac:dyDescent="0.25">
      <c r="A251" s="37">
        <v>45366</v>
      </c>
      <c r="B251" s="5">
        <v>12.4361</v>
      </c>
      <c r="C251">
        <v>-20.7334</v>
      </c>
      <c r="D251">
        <v>-0.2923</v>
      </c>
      <c r="E251">
        <v>49.452800000000003</v>
      </c>
      <c r="F251">
        <v>3.5565000000000002</v>
      </c>
      <c r="G251">
        <v>0</v>
      </c>
      <c r="H251">
        <v>-8.7637999999999998</v>
      </c>
      <c r="I251">
        <v>-26.789300000000001</v>
      </c>
      <c r="J251">
        <v>1930.02</v>
      </c>
      <c r="K251">
        <v>7546678.6462000003</v>
      </c>
      <c r="M251" s="37">
        <v>45366</v>
      </c>
      <c r="N251" s="5">
        <v>4.6748000000000003</v>
      </c>
      <c r="O251">
        <v>3.2747999999999999</v>
      </c>
      <c r="P251">
        <v>0.20749999999999999</v>
      </c>
      <c r="Q251">
        <v>37.735599999999998</v>
      </c>
      <c r="R251">
        <v>2.7223999999999999</v>
      </c>
      <c r="S251" t="s">
        <v>33</v>
      </c>
      <c r="T251">
        <v>36.295299999999997</v>
      </c>
      <c r="U251">
        <v>20.8186</v>
      </c>
      <c r="V251">
        <v>1711.35</v>
      </c>
      <c r="W251">
        <v>2333460.6022999999</v>
      </c>
      <c r="Y251" s="5">
        <v>3.3614999999999999</v>
      </c>
      <c r="Z251">
        <v>-18.2438</v>
      </c>
      <c r="AA251">
        <v>-0.1071</v>
      </c>
      <c r="AB251">
        <v>6.8851000000000004</v>
      </c>
      <c r="AC251">
        <v>-0.1817</v>
      </c>
      <c r="AD251" t="s">
        <v>33</v>
      </c>
      <c r="AE251">
        <v>-9.4786000000000001</v>
      </c>
      <c r="AF251">
        <v>-13.584899999999999</v>
      </c>
      <c r="AG251">
        <v>43.86</v>
      </c>
      <c r="AH251">
        <v>308626.30859999999</v>
      </c>
      <c r="AJ251">
        <v>7.2089999999999996</v>
      </c>
      <c r="AK251">
        <v>5.9385000000000003</v>
      </c>
      <c r="AL251">
        <v>0.1074</v>
      </c>
      <c r="AM251">
        <v>35.533799999999999</v>
      </c>
      <c r="AN251">
        <v>1.4941</v>
      </c>
      <c r="AO251">
        <v>195.11080000000001</v>
      </c>
      <c r="AP251">
        <v>40.052900000000001</v>
      </c>
      <c r="AQ251">
        <v>25.394600000000001</v>
      </c>
      <c r="AR251">
        <v>2626.8519999999999</v>
      </c>
      <c r="AS251">
        <v>2061661.9857000001</v>
      </c>
      <c r="AU251" s="1">
        <f t="shared" si="24"/>
        <v>45366</v>
      </c>
      <c r="AV251" s="29">
        <f t="shared" si="25"/>
        <v>11.842423878605082</v>
      </c>
      <c r="AW251" s="30">
        <f t="shared" si="26"/>
        <v>1.3377597798006289</v>
      </c>
      <c r="AX251">
        <f t="shared" ref="AX251:AX314" ca="1" si="27">+_xlfn.PERCENTILE.INC(OFFSET(AW251,-52,0,52,1),0.9)</f>
        <v>1.4990248974670115</v>
      </c>
      <c r="AY251">
        <f t="shared" ref="AY251:AY314" ca="1" si="28">+_xlfn.PERCENTILE.INC(OFFSET(AW251,-52,0,52,1),0.75)</f>
        <v>1.3525536266983869</v>
      </c>
      <c r="AZ251">
        <f t="shared" ref="AZ251:AZ314" ca="1" si="29">+_xlfn.PERCENTILE.INC(OFFSET(AW251,-52,0,52,1),0.5)</f>
        <v>0.25066136727160249</v>
      </c>
      <c r="BA251">
        <f t="shared" ref="BA251:BA314" ca="1" si="30">+_xlfn.PERCENTILE.INC(OFFSET(AW251,-52,0,52,1),0.25)</f>
        <v>-0.266394586975783</v>
      </c>
      <c r="BB251">
        <f t="shared" ref="BB251:BB314" ca="1" si="31">+_xlfn.PERCENTILE.INC(OFFSET(AW251,-52,0,52,1),0.1)</f>
        <v>-0.5972419579242062</v>
      </c>
    </row>
    <row r="252" spans="1:54" x14ac:dyDescent="0.25">
      <c r="A252" s="37">
        <v>45373</v>
      </c>
      <c r="B252" s="5">
        <v>12.4361</v>
      </c>
      <c r="C252">
        <v>-20.7334</v>
      </c>
      <c r="D252">
        <v>-0.2923</v>
      </c>
      <c r="E252">
        <v>49.452800000000003</v>
      </c>
      <c r="F252">
        <v>3.5565000000000002</v>
      </c>
      <c r="G252">
        <v>0</v>
      </c>
      <c r="H252">
        <v>-8.7637999999999998</v>
      </c>
      <c r="I252">
        <v>-26.789300000000001</v>
      </c>
      <c r="J252">
        <v>2217.4349999999999</v>
      </c>
      <c r="K252">
        <v>8670516.0381000005</v>
      </c>
      <c r="M252" s="37">
        <v>45373</v>
      </c>
      <c r="N252" s="5">
        <v>5.1212</v>
      </c>
      <c r="O252">
        <v>3.2747999999999999</v>
      </c>
      <c r="P252">
        <v>0.20749999999999999</v>
      </c>
      <c r="Q252">
        <v>37.735599999999998</v>
      </c>
      <c r="R252">
        <v>2.7223999999999999</v>
      </c>
      <c r="S252" t="s">
        <v>33</v>
      </c>
      <c r="T252">
        <v>36.295299999999997</v>
      </c>
      <c r="U252">
        <v>20.8186</v>
      </c>
      <c r="V252">
        <v>1921.6</v>
      </c>
      <c r="W252">
        <v>2620140.7622000002</v>
      </c>
      <c r="Y252" s="5">
        <v>3.3614999999999999</v>
      </c>
      <c r="Z252">
        <v>-18.2438</v>
      </c>
      <c r="AA252">
        <v>-0.1071</v>
      </c>
      <c r="AB252">
        <v>6.8851000000000004</v>
      </c>
      <c r="AC252">
        <v>-0.1817</v>
      </c>
      <c r="AD252" t="s">
        <v>33</v>
      </c>
      <c r="AE252">
        <v>-9.4786000000000001</v>
      </c>
      <c r="AF252">
        <v>-13.584899999999999</v>
      </c>
      <c r="AG252">
        <v>47.716999999999999</v>
      </c>
      <c r="AH252">
        <v>335761.7193</v>
      </c>
      <c r="AJ252">
        <v>8.3063000000000002</v>
      </c>
      <c r="AK252">
        <v>5.9385000000000003</v>
      </c>
      <c r="AL252">
        <v>0.1074</v>
      </c>
      <c r="AM252">
        <v>35.533799999999999</v>
      </c>
      <c r="AN252">
        <v>1.4941</v>
      </c>
      <c r="AO252">
        <v>195.11080000000001</v>
      </c>
      <c r="AP252">
        <v>40.052900000000001</v>
      </c>
      <c r="AQ252">
        <v>25.394600000000001</v>
      </c>
      <c r="AR252">
        <v>3131.2069999999999</v>
      </c>
      <c r="AS252">
        <v>2457501.3879999998</v>
      </c>
      <c r="AU252" s="1">
        <f t="shared" si="24"/>
        <v>45373</v>
      </c>
      <c r="AV252" s="29">
        <f t="shared" ref="AV252" si="32">+(Y252*AH252+N252*W252+B252*K252+AJ252*AS252)/(K252+W252+AH252)</f>
        <v>12.281260641929645</v>
      </c>
      <c r="AW252" s="30">
        <f t="shared" si="26"/>
        <v>1.4738410820822192</v>
      </c>
      <c r="AX252">
        <f t="shared" ca="1" si="27"/>
        <v>1.4990248974670115</v>
      </c>
      <c r="AY252">
        <f t="shared" ca="1" si="28"/>
        <v>1.3525536266983869</v>
      </c>
      <c r="AZ252">
        <f t="shared" ca="1" si="29"/>
        <v>0.296402742526366</v>
      </c>
      <c r="BA252">
        <f t="shared" ca="1" si="30"/>
        <v>-0.23633165351706942</v>
      </c>
      <c r="BB252">
        <f t="shared" ca="1" si="31"/>
        <v>-0.56376034943971132</v>
      </c>
    </row>
    <row r="253" spans="1:54" x14ac:dyDescent="0.25">
      <c r="A253" s="37">
        <v>45380</v>
      </c>
      <c r="B253" s="5">
        <v>402.7199</v>
      </c>
      <c r="C253">
        <v>-21.115300000000001</v>
      </c>
      <c r="D253">
        <v>-1.9518</v>
      </c>
      <c r="E253">
        <v>48.660800000000002</v>
      </c>
      <c r="F253">
        <v>92.209500000000006</v>
      </c>
      <c r="G253">
        <v>0</v>
      </c>
      <c r="H253">
        <v>0.44779999999999998</v>
      </c>
      <c r="I253">
        <v>-17.052399999999999</v>
      </c>
      <c r="J253">
        <v>2184.3000000000002</v>
      </c>
      <c r="K253">
        <v>8540953.0299999993</v>
      </c>
      <c r="M253" s="37">
        <v>45380</v>
      </c>
      <c r="N253" s="5">
        <v>5.0792000000000002</v>
      </c>
      <c r="O253">
        <v>8.9934999999999992</v>
      </c>
      <c r="P253">
        <v>0.25080000000000002</v>
      </c>
      <c r="Q253">
        <v>35.616599999999998</v>
      </c>
      <c r="R253">
        <v>2.4356</v>
      </c>
      <c r="S253" t="s">
        <v>33</v>
      </c>
      <c r="T253">
        <v>33.595399999999998</v>
      </c>
      <c r="U253">
        <v>17.269200000000001</v>
      </c>
      <c r="V253">
        <v>1887.35</v>
      </c>
      <c r="W253">
        <v>2573440.1891999999</v>
      </c>
      <c r="Y253" s="5">
        <v>3.5596000000000001</v>
      </c>
      <c r="Z253">
        <v>19.086400000000001</v>
      </c>
      <c r="AA253">
        <v>1.8772</v>
      </c>
      <c r="AB253">
        <v>4.2582000000000004</v>
      </c>
      <c r="AC253">
        <v>-0.31950000000000001</v>
      </c>
      <c r="AD253" t="s">
        <v>33</v>
      </c>
      <c r="AE253">
        <v>14.497299999999999</v>
      </c>
      <c r="AF253">
        <v>10.3589</v>
      </c>
      <c r="AG253">
        <v>46.808</v>
      </c>
      <c r="AH253">
        <v>329367.74320000003</v>
      </c>
      <c r="AJ253">
        <v>6.0008999999999997</v>
      </c>
      <c r="AK253">
        <v>8</v>
      </c>
      <c r="AL253">
        <v>0.3357</v>
      </c>
      <c r="AM253">
        <v>20.617899999999999</v>
      </c>
      <c r="AN253">
        <v>0.14219999999999999</v>
      </c>
      <c r="AO253">
        <v>195.11080000000001</v>
      </c>
      <c r="AP253">
        <v>41.349800000000002</v>
      </c>
      <c r="AQ253">
        <v>27.084800000000001</v>
      </c>
      <c r="AR253">
        <v>3145.3069999999998</v>
      </c>
      <c r="AS253">
        <v>2468566.9756</v>
      </c>
      <c r="AU253" s="1">
        <f t="shared" si="24"/>
        <v>45380</v>
      </c>
      <c r="AV253" s="29"/>
      <c r="AW253" s="30"/>
    </row>
    <row r="254" spans="1:54" x14ac:dyDescent="0.25">
      <c r="A254" s="37">
        <v>45387</v>
      </c>
      <c r="B254" s="5">
        <v>405.42070000000001</v>
      </c>
      <c r="C254">
        <v>-21.115300000000001</v>
      </c>
      <c r="D254">
        <v>-1.9518</v>
      </c>
      <c r="E254">
        <v>48.660800000000002</v>
      </c>
      <c r="F254">
        <v>92.209500000000006</v>
      </c>
      <c r="G254">
        <v>0</v>
      </c>
      <c r="H254">
        <v>0.44779999999999998</v>
      </c>
      <c r="I254">
        <v>-17.052399999999999</v>
      </c>
      <c r="J254">
        <v>2210.7199999999998</v>
      </c>
      <c r="K254">
        <v>8644259.3428000007</v>
      </c>
      <c r="M254" s="37">
        <v>45387</v>
      </c>
      <c r="N254" s="5">
        <v>5.2039999999999997</v>
      </c>
      <c r="O254">
        <v>8.9934999999999992</v>
      </c>
      <c r="P254">
        <v>0.25080000000000002</v>
      </c>
      <c r="Q254">
        <v>35.616599999999998</v>
      </c>
      <c r="R254">
        <v>2.4356</v>
      </c>
      <c r="S254" t="s">
        <v>33</v>
      </c>
      <c r="T254">
        <v>33.595399999999998</v>
      </c>
      <c r="U254">
        <v>17.269200000000001</v>
      </c>
      <c r="V254">
        <v>1959.35</v>
      </c>
      <c r="W254">
        <v>2671613.6565999999</v>
      </c>
      <c r="Y254" s="5">
        <v>3.5867</v>
      </c>
      <c r="Z254">
        <v>19.086400000000001</v>
      </c>
      <c r="AA254">
        <v>1.8772</v>
      </c>
      <c r="AB254">
        <v>4.2582000000000004</v>
      </c>
      <c r="AC254">
        <v>-0.31950000000000001</v>
      </c>
      <c r="AD254" t="s">
        <v>33</v>
      </c>
      <c r="AE254">
        <v>14.497299999999999</v>
      </c>
      <c r="AF254">
        <v>10.3589</v>
      </c>
      <c r="AG254">
        <v>47.14</v>
      </c>
      <c r="AH254">
        <v>331707.00280000002</v>
      </c>
      <c r="AJ254">
        <v>6.8086000000000002</v>
      </c>
      <c r="AK254">
        <v>8</v>
      </c>
      <c r="AL254">
        <v>0.3357</v>
      </c>
      <c r="AM254">
        <v>20.617899999999999</v>
      </c>
      <c r="AN254">
        <v>0.14219999999999999</v>
      </c>
      <c r="AO254">
        <v>195.11080000000001</v>
      </c>
      <c r="AP254">
        <v>41.349800000000002</v>
      </c>
      <c r="AQ254">
        <v>27.084800000000001</v>
      </c>
      <c r="AR254">
        <v>3578.9270000000001</v>
      </c>
      <c r="AS254">
        <v>2808890.2499000002</v>
      </c>
      <c r="AU254" s="1">
        <f t="shared" si="24"/>
        <v>45387</v>
      </c>
      <c r="AV254" s="29"/>
      <c r="AW254" s="30"/>
    </row>
    <row r="255" spans="1:54" x14ac:dyDescent="0.25">
      <c r="A255" s="37">
        <v>45394</v>
      </c>
      <c r="B255" s="5">
        <v>406.29880000000003</v>
      </c>
      <c r="C255">
        <v>-21.115300000000001</v>
      </c>
      <c r="D255">
        <v>-1.9518</v>
      </c>
      <c r="E255">
        <v>48.660800000000002</v>
      </c>
      <c r="F255">
        <v>92.209500000000006</v>
      </c>
      <c r="G255">
        <v>0</v>
      </c>
      <c r="H255">
        <v>0.44779999999999998</v>
      </c>
      <c r="I255">
        <v>-17.052399999999999</v>
      </c>
      <c r="J255">
        <v>2219.31</v>
      </c>
      <c r="K255">
        <v>8677847.5800000001</v>
      </c>
      <c r="M255" s="37">
        <v>45394</v>
      </c>
      <c r="N255" s="5">
        <v>5.0625999999999998</v>
      </c>
      <c r="O255">
        <v>8.9934999999999992</v>
      </c>
      <c r="P255">
        <v>0.25080000000000002</v>
      </c>
      <c r="Q255">
        <v>35.616599999999998</v>
      </c>
      <c r="R255">
        <v>2.4356</v>
      </c>
      <c r="S255" t="s">
        <v>33</v>
      </c>
      <c r="T255">
        <v>33.595399999999998</v>
      </c>
      <c r="U255">
        <v>17.269200000000001</v>
      </c>
      <c r="V255">
        <v>1904.4</v>
      </c>
      <c r="W255">
        <v>2596688.2116999999</v>
      </c>
      <c r="Y255" s="5">
        <v>3.8932000000000002</v>
      </c>
      <c r="Z255">
        <v>19.086400000000001</v>
      </c>
      <c r="AA255">
        <v>1.8772</v>
      </c>
      <c r="AB255">
        <v>4.2582000000000004</v>
      </c>
      <c r="AC255">
        <v>-0.31950000000000001</v>
      </c>
      <c r="AD255" t="s">
        <v>33</v>
      </c>
      <c r="AE255">
        <v>14.497299999999999</v>
      </c>
      <c r="AF255">
        <v>10.3589</v>
      </c>
      <c r="AG255">
        <v>50.908000000000001</v>
      </c>
      <c r="AH255">
        <v>358218.61090000003</v>
      </c>
      <c r="AJ255">
        <v>6.3876999999999997</v>
      </c>
      <c r="AK255">
        <v>8</v>
      </c>
      <c r="AL255">
        <v>0.3357</v>
      </c>
      <c r="AM255">
        <v>20.617899999999999</v>
      </c>
      <c r="AN255">
        <v>0.14219999999999999</v>
      </c>
      <c r="AO255">
        <v>195.11080000000001</v>
      </c>
      <c r="AP255">
        <v>41.349800000000002</v>
      </c>
      <c r="AQ255">
        <v>27.084800000000001</v>
      </c>
      <c r="AR255">
        <v>3353.0050000000001</v>
      </c>
      <c r="AS255">
        <v>2631577.3827</v>
      </c>
      <c r="AU255" s="1">
        <f t="shared" si="24"/>
        <v>45394</v>
      </c>
      <c r="AV255" s="29"/>
      <c r="AW255" s="30"/>
    </row>
    <row r="256" spans="1:54" x14ac:dyDescent="0.25">
      <c r="A256" s="37">
        <v>45401</v>
      </c>
      <c r="B256" s="5">
        <v>388.66430000000003</v>
      </c>
      <c r="C256">
        <v>-21.115300000000001</v>
      </c>
      <c r="D256">
        <v>-1.9518</v>
      </c>
      <c r="E256">
        <v>48.660800000000002</v>
      </c>
      <c r="F256">
        <v>92.209500000000006</v>
      </c>
      <c r="G256">
        <v>0</v>
      </c>
      <c r="H256">
        <v>0.44779999999999998</v>
      </c>
      <c r="I256">
        <v>-17.052399999999999</v>
      </c>
      <c r="J256">
        <v>2046.8050000000001</v>
      </c>
      <c r="K256">
        <v>8003326.1760999998</v>
      </c>
      <c r="M256" s="37">
        <v>45401</v>
      </c>
      <c r="N256" s="5">
        <v>4.8917999999999999</v>
      </c>
      <c r="O256">
        <v>8.9934999999999992</v>
      </c>
      <c r="P256">
        <v>0.25080000000000002</v>
      </c>
      <c r="Q256">
        <v>35.616599999999998</v>
      </c>
      <c r="R256">
        <v>2.4356</v>
      </c>
      <c r="S256" t="s">
        <v>33</v>
      </c>
      <c r="T256">
        <v>33.595399999999998</v>
      </c>
      <c r="U256">
        <v>17.269200000000001</v>
      </c>
      <c r="V256">
        <v>1835</v>
      </c>
      <c r="W256">
        <v>2502059.8972999998</v>
      </c>
      <c r="Y256" s="5">
        <v>3.6046999999999998</v>
      </c>
      <c r="Z256">
        <v>19.086400000000001</v>
      </c>
      <c r="AA256">
        <v>1.8772</v>
      </c>
      <c r="AB256">
        <v>4.2582000000000004</v>
      </c>
      <c r="AC256">
        <v>-0.31950000000000001</v>
      </c>
      <c r="AD256" t="s">
        <v>33</v>
      </c>
      <c r="AE256">
        <v>14.497299999999999</v>
      </c>
      <c r="AF256">
        <v>10.3589</v>
      </c>
      <c r="AG256">
        <v>47.362000000000002</v>
      </c>
      <c r="AH256">
        <v>333266.50910000002</v>
      </c>
      <c r="AJ256">
        <v>6.2110000000000003</v>
      </c>
      <c r="AK256">
        <v>8</v>
      </c>
      <c r="AL256">
        <v>0.3357</v>
      </c>
      <c r="AM256">
        <v>20.617899999999999</v>
      </c>
      <c r="AN256">
        <v>0.14219999999999999</v>
      </c>
      <c r="AO256">
        <v>195.11080000000001</v>
      </c>
      <c r="AP256">
        <v>41.349800000000002</v>
      </c>
      <c r="AQ256">
        <v>27.084800000000001</v>
      </c>
      <c r="AR256">
        <v>3258.1480000000001</v>
      </c>
      <c r="AS256">
        <v>2557129.3139999998</v>
      </c>
      <c r="AU256" s="1">
        <f t="shared" si="24"/>
        <v>45401</v>
      </c>
      <c r="AV256" s="29"/>
      <c r="AW256" s="30"/>
    </row>
    <row r="257" spans="1:49" x14ac:dyDescent="0.25">
      <c r="A257" s="37">
        <v>45408</v>
      </c>
      <c r="B257" s="5">
        <v>414.10430000000002</v>
      </c>
      <c r="C257">
        <v>-21.115300000000001</v>
      </c>
      <c r="D257">
        <v>-1.9518</v>
      </c>
      <c r="E257">
        <v>48.660800000000002</v>
      </c>
      <c r="F257">
        <v>92.209500000000006</v>
      </c>
      <c r="G257">
        <v>0</v>
      </c>
      <c r="H257">
        <v>0.44779999999999998</v>
      </c>
      <c r="I257">
        <v>-17.052399999999999</v>
      </c>
      <c r="J257">
        <v>2295.665</v>
      </c>
      <c r="K257">
        <v>8976407.5162000004</v>
      </c>
      <c r="M257" s="37">
        <v>45408</v>
      </c>
      <c r="N257" s="5">
        <v>5.0350000000000001</v>
      </c>
      <c r="O257">
        <v>8.9934999999999992</v>
      </c>
      <c r="P257">
        <v>0.25080000000000002</v>
      </c>
      <c r="Q257">
        <v>35.616599999999998</v>
      </c>
      <c r="R257">
        <v>2.4356</v>
      </c>
      <c r="S257" t="s">
        <v>33</v>
      </c>
      <c r="T257">
        <v>33.595399999999998</v>
      </c>
      <c r="U257">
        <v>17.269200000000001</v>
      </c>
      <c r="V257">
        <v>1913.35</v>
      </c>
      <c r="W257">
        <v>2608891.7190999999</v>
      </c>
      <c r="Y257" s="5">
        <v>3.6949000000000001</v>
      </c>
      <c r="Z257">
        <v>19.086400000000001</v>
      </c>
      <c r="AA257">
        <v>1.8772</v>
      </c>
      <c r="AB257">
        <v>4.2582000000000004</v>
      </c>
      <c r="AC257">
        <v>-0.31950000000000001</v>
      </c>
      <c r="AD257" t="s">
        <v>33</v>
      </c>
      <c r="AE257">
        <v>14.497299999999999</v>
      </c>
      <c r="AF257">
        <v>10.3589</v>
      </c>
      <c r="AG257">
        <v>48.47</v>
      </c>
      <c r="AH257">
        <v>341064.04090000002</v>
      </c>
      <c r="AJ257">
        <v>6.6227999999999998</v>
      </c>
      <c r="AK257">
        <v>8</v>
      </c>
      <c r="AL257">
        <v>0.3357</v>
      </c>
      <c r="AM257">
        <v>20.617899999999999</v>
      </c>
      <c r="AN257">
        <v>0.14219999999999999</v>
      </c>
      <c r="AO257">
        <v>195.11080000000001</v>
      </c>
      <c r="AP257">
        <v>41.349800000000002</v>
      </c>
      <c r="AQ257">
        <v>27.084800000000001</v>
      </c>
      <c r="AR257">
        <v>3479.1779999999999</v>
      </c>
      <c r="AS257">
        <v>2730603.0998</v>
      </c>
      <c r="AU257" s="1">
        <f t="shared" si="24"/>
        <v>45408</v>
      </c>
      <c r="AV257" s="29"/>
      <c r="AW257" s="30"/>
    </row>
    <row r="258" spans="1:49" x14ac:dyDescent="0.25">
      <c r="A258" s="37">
        <v>45415</v>
      </c>
      <c r="B258" s="5">
        <v>446.16809999999998</v>
      </c>
      <c r="C258">
        <v>-21.115300000000001</v>
      </c>
      <c r="D258">
        <v>-1.9518</v>
      </c>
      <c r="E258">
        <v>48.660800000000002</v>
      </c>
      <c r="F258">
        <v>92.209500000000006</v>
      </c>
      <c r="G258">
        <v>0</v>
      </c>
      <c r="H258">
        <v>0.44779999999999998</v>
      </c>
      <c r="I258">
        <v>-17.052399999999999</v>
      </c>
      <c r="J258">
        <v>2609.3200000000002</v>
      </c>
      <c r="K258">
        <v>10202847.3928</v>
      </c>
      <c r="M258" s="37">
        <v>45415</v>
      </c>
      <c r="N258" s="5">
        <v>5.5796999999999999</v>
      </c>
      <c r="O258">
        <v>8.9934999999999992</v>
      </c>
      <c r="P258">
        <v>0.25080000000000002</v>
      </c>
      <c r="Q258">
        <v>35.616599999999998</v>
      </c>
      <c r="R258">
        <v>2.4356</v>
      </c>
      <c r="S258" t="s">
        <v>33</v>
      </c>
      <c r="T258">
        <v>33.595399999999998</v>
      </c>
      <c r="U258">
        <v>17.269200000000001</v>
      </c>
      <c r="V258">
        <v>2182.8000000000002</v>
      </c>
      <c r="W258">
        <v>2976292.2855000002</v>
      </c>
      <c r="Y258" s="5">
        <v>3.9167000000000001</v>
      </c>
      <c r="Z258">
        <v>19.086400000000001</v>
      </c>
      <c r="AA258">
        <v>1.8772</v>
      </c>
      <c r="AB258">
        <v>4.2582000000000004</v>
      </c>
      <c r="AC258">
        <v>-0.31950000000000001</v>
      </c>
      <c r="AD258" t="s">
        <v>33</v>
      </c>
      <c r="AE258">
        <v>14.497299999999999</v>
      </c>
      <c r="AF258">
        <v>10.3589</v>
      </c>
      <c r="AG258">
        <v>51.195999999999998</v>
      </c>
      <c r="AH258">
        <v>360245.96919999999</v>
      </c>
      <c r="AJ258">
        <v>7.8048000000000002</v>
      </c>
      <c r="AK258">
        <v>8</v>
      </c>
      <c r="AL258">
        <v>0.3357</v>
      </c>
      <c r="AM258">
        <v>20.617899999999999</v>
      </c>
      <c r="AN258">
        <v>0.14219999999999999</v>
      </c>
      <c r="AO258">
        <v>195.11080000000001</v>
      </c>
      <c r="AP258">
        <v>41.349800000000002</v>
      </c>
      <c r="AQ258">
        <v>27.084800000000001</v>
      </c>
      <c r="AR258">
        <v>4113.7830000000004</v>
      </c>
      <c r="AS258">
        <v>3228667.4539000001</v>
      </c>
      <c r="AU258" s="1">
        <f t="shared" si="24"/>
        <v>45415</v>
      </c>
      <c r="AV258" s="29"/>
      <c r="AW258" s="30"/>
    </row>
    <row r="259" spans="1:49" x14ac:dyDescent="0.25">
      <c r="A259" s="37">
        <v>45422</v>
      </c>
      <c r="B259" s="5">
        <v>431.41379999999998</v>
      </c>
      <c r="C259">
        <v>-21.115300000000001</v>
      </c>
      <c r="D259">
        <v>-1.9518</v>
      </c>
      <c r="E259">
        <v>48.660800000000002</v>
      </c>
      <c r="F259">
        <v>92.209500000000006</v>
      </c>
      <c r="G259">
        <v>0</v>
      </c>
      <c r="H259">
        <v>0.44779999999999998</v>
      </c>
      <c r="I259">
        <v>-17.052399999999999</v>
      </c>
      <c r="J259">
        <v>2464.9899999999998</v>
      </c>
      <c r="K259">
        <v>9638494.625</v>
      </c>
      <c r="M259" s="37">
        <v>45422</v>
      </c>
      <c r="N259" s="5">
        <v>5.2477999999999998</v>
      </c>
      <c r="O259">
        <v>8.9934999999999992</v>
      </c>
      <c r="P259">
        <v>0.25080000000000002</v>
      </c>
      <c r="Q259">
        <v>35.616599999999998</v>
      </c>
      <c r="R259">
        <v>2.4356</v>
      </c>
      <c r="S259" t="s">
        <v>33</v>
      </c>
      <c r="T259">
        <v>33.595399999999998</v>
      </c>
      <c r="U259">
        <v>17.269200000000001</v>
      </c>
      <c r="V259">
        <v>2036.5</v>
      </c>
      <c r="W259">
        <v>2776809.2538999999</v>
      </c>
      <c r="Y259" s="5">
        <v>4.0772000000000004</v>
      </c>
      <c r="Z259">
        <v>19.086400000000001</v>
      </c>
      <c r="AA259">
        <v>1.8772</v>
      </c>
      <c r="AB259">
        <v>4.2582000000000004</v>
      </c>
      <c r="AC259">
        <v>-0.31950000000000001</v>
      </c>
      <c r="AD259" t="s">
        <v>33</v>
      </c>
      <c r="AE259">
        <v>14.497299999999999</v>
      </c>
      <c r="AF259">
        <v>10.3589</v>
      </c>
      <c r="AG259">
        <v>53.168999999999997</v>
      </c>
      <c r="AH259">
        <v>374125.57579999999</v>
      </c>
      <c r="AJ259">
        <v>7.3102999999999998</v>
      </c>
      <c r="AK259">
        <v>8</v>
      </c>
      <c r="AL259">
        <v>0.3357</v>
      </c>
      <c r="AM259">
        <v>20.617899999999999</v>
      </c>
      <c r="AN259">
        <v>0.14219999999999999</v>
      </c>
      <c r="AO259">
        <v>195.11080000000001</v>
      </c>
      <c r="AP259">
        <v>41.349800000000002</v>
      </c>
      <c r="AQ259">
        <v>27.084800000000001</v>
      </c>
      <c r="AR259">
        <v>3848.297</v>
      </c>
      <c r="AS259">
        <v>3020303.193</v>
      </c>
      <c r="AU259" s="1">
        <f t="shared" si="24"/>
        <v>45422</v>
      </c>
      <c r="AV259" s="29"/>
      <c r="AW259" s="30"/>
    </row>
    <row r="260" spans="1:49" x14ac:dyDescent="0.25">
      <c r="A260" s="37">
        <v>45429</v>
      </c>
      <c r="B260" s="5">
        <v>444.42360000000002</v>
      </c>
      <c r="C260">
        <v>-21.115300000000001</v>
      </c>
      <c r="D260">
        <v>-1.9518</v>
      </c>
      <c r="E260">
        <v>48.660800000000002</v>
      </c>
      <c r="F260">
        <v>92.209500000000006</v>
      </c>
      <c r="G260">
        <v>0</v>
      </c>
      <c r="H260">
        <v>0.44779999999999998</v>
      </c>
      <c r="I260">
        <v>-17.052399999999999</v>
      </c>
      <c r="J260">
        <v>2592.2550000000001</v>
      </c>
      <c r="K260">
        <v>10136120.586300001</v>
      </c>
      <c r="M260" s="37">
        <v>45429</v>
      </c>
      <c r="N260" s="5">
        <v>5.4032</v>
      </c>
      <c r="O260">
        <v>8.9934999999999992</v>
      </c>
      <c r="P260">
        <v>0.25080000000000002</v>
      </c>
      <c r="Q260">
        <v>35.616599999999998</v>
      </c>
      <c r="R260">
        <v>2.4356</v>
      </c>
      <c r="S260" t="s">
        <v>33</v>
      </c>
      <c r="T260">
        <v>33.595399999999998</v>
      </c>
      <c r="U260">
        <v>17.269200000000001</v>
      </c>
      <c r="V260">
        <v>2122.1999999999998</v>
      </c>
      <c r="W260">
        <v>2893662.9504</v>
      </c>
      <c r="Y260" s="5">
        <v>4.5820999999999996</v>
      </c>
      <c r="Z260">
        <v>19.086400000000001</v>
      </c>
      <c r="AA260">
        <v>1.8772</v>
      </c>
      <c r="AB260">
        <v>4.2582000000000004</v>
      </c>
      <c r="AC260">
        <v>-0.31950000000000001</v>
      </c>
      <c r="AD260" t="s">
        <v>33</v>
      </c>
      <c r="AE260">
        <v>14.497299999999999</v>
      </c>
      <c r="AF260">
        <v>10.3589</v>
      </c>
      <c r="AG260">
        <v>59.374000000000002</v>
      </c>
      <c r="AH260">
        <v>417791.75380000001</v>
      </c>
      <c r="AJ260">
        <v>7.6234000000000002</v>
      </c>
      <c r="AK260">
        <v>8</v>
      </c>
      <c r="AL260">
        <v>0.3357</v>
      </c>
      <c r="AM260">
        <v>20.617899999999999</v>
      </c>
      <c r="AN260">
        <v>0.14219999999999999</v>
      </c>
      <c r="AO260">
        <v>195.11080000000001</v>
      </c>
      <c r="AP260">
        <v>41.349800000000002</v>
      </c>
      <c r="AQ260">
        <v>27.084800000000001</v>
      </c>
      <c r="AR260">
        <v>4016.384</v>
      </c>
      <c r="AS260">
        <v>3152224.5684000002</v>
      </c>
      <c r="AU260" s="1">
        <f t="shared" si="24"/>
        <v>45429</v>
      </c>
      <c r="AV260" s="29"/>
      <c r="AW260" s="30"/>
    </row>
    <row r="261" spans="1:49" x14ac:dyDescent="0.25">
      <c r="A261" s="37">
        <v>45436</v>
      </c>
      <c r="B261" s="5">
        <v>445.70240000000001</v>
      </c>
      <c r="C261">
        <v>-21.115300000000001</v>
      </c>
      <c r="D261">
        <v>-1.9518</v>
      </c>
      <c r="E261">
        <v>48.660800000000002</v>
      </c>
      <c r="F261">
        <v>92.209500000000006</v>
      </c>
      <c r="G261">
        <v>0</v>
      </c>
      <c r="H261">
        <v>0.44779999999999998</v>
      </c>
      <c r="I261">
        <v>-17.052399999999999</v>
      </c>
      <c r="J261">
        <v>2604.7649999999999</v>
      </c>
      <c r="K261">
        <v>10185036.6338</v>
      </c>
      <c r="M261" s="37">
        <v>45436</v>
      </c>
      <c r="N261" s="5">
        <v>5.6566000000000001</v>
      </c>
      <c r="O261">
        <v>8.9934999999999992</v>
      </c>
      <c r="P261">
        <v>0.25080000000000002</v>
      </c>
      <c r="Q261">
        <v>35.616599999999998</v>
      </c>
      <c r="R261">
        <v>2.4356</v>
      </c>
      <c r="S261" t="s">
        <v>33</v>
      </c>
      <c r="T261">
        <v>33.595399999999998</v>
      </c>
      <c r="U261">
        <v>17.269200000000001</v>
      </c>
      <c r="V261">
        <v>2255.9</v>
      </c>
      <c r="W261">
        <v>3075965.6252000001</v>
      </c>
      <c r="Y261" s="5">
        <v>5.1265999999999998</v>
      </c>
      <c r="Z261">
        <v>19.086400000000001</v>
      </c>
      <c r="AA261">
        <v>1.8772</v>
      </c>
      <c r="AB261">
        <v>4.2582000000000004</v>
      </c>
      <c r="AC261">
        <v>-0.31950000000000001</v>
      </c>
      <c r="AD261" t="s">
        <v>33</v>
      </c>
      <c r="AE261">
        <v>14.497299999999999</v>
      </c>
      <c r="AF261">
        <v>10.3589</v>
      </c>
      <c r="AG261">
        <v>66.067999999999998</v>
      </c>
      <c r="AH261">
        <v>464888.84590000001</v>
      </c>
      <c r="AJ261">
        <v>8.0952999999999999</v>
      </c>
      <c r="AK261">
        <v>8</v>
      </c>
      <c r="AL261">
        <v>0.3357</v>
      </c>
      <c r="AM261">
        <v>20.617899999999999</v>
      </c>
      <c r="AN261">
        <v>0.14219999999999999</v>
      </c>
      <c r="AO261">
        <v>195.11080000000001</v>
      </c>
      <c r="AP261">
        <v>41.349800000000002</v>
      </c>
      <c r="AQ261">
        <v>27.084800000000001</v>
      </c>
      <c r="AR261">
        <v>4269.7370000000001</v>
      </c>
      <c r="AS261">
        <v>3351066.4018999999</v>
      </c>
      <c r="AU261" s="1">
        <f t="shared" si="24"/>
        <v>45436</v>
      </c>
      <c r="AV261" s="29"/>
      <c r="AW261" s="30"/>
    </row>
    <row r="262" spans="1:49" x14ac:dyDescent="0.25">
      <c r="A262" s="37">
        <v>45443</v>
      </c>
      <c r="B262" s="5">
        <v>476.44540000000001</v>
      </c>
      <c r="C262">
        <v>-21.115300000000001</v>
      </c>
      <c r="D262">
        <v>-1.9518</v>
      </c>
      <c r="E262">
        <v>48.660800000000002</v>
      </c>
      <c r="F262">
        <v>92.209500000000006</v>
      </c>
      <c r="G262">
        <v>0</v>
      </c>
      <c r="H262">
        <v>0.44779999999999998</v>
      </c>
      <c r="I262">
        <v>-17.052399999999999</v>
      </c>
      <c r="J262">
        <v>2905.5</v>
      </c>
      <c r="K262">
        <v>11360957.2992</v>
      </c>
      <c r="M262" s="37">
        <v>45443</v>
      </c>
      <c r="N262" s="5">
        <v>6.0784000000000002</v>
      </c>
      <c r="O262">
        <v>8.9934999999999992</v>
      </c>
      <c r="P262">
        <v>0.25080000000000002</v>
      </c>
      <c r="Q262">
        <v>35.616599999999998</v>
      </c>
      <c r="R262">
        <v>2.4356</v>
      </c>
      <c r="S262" t="s">
        <v>33</v>
      </c>
      <c r="T262">
        <v>33.595399999999998</v>
      </c>
      <c r="U262">
        <v>17.269200000000001</v>
      </c>
      <c r="V262">
        <v>2474</v>
      </c>
      <c r="W262">
        <v>3373349.4201000002</v>
      </c>
      <c r="Y262" s="5">
        <v>5.6026999999999996</v>
      </c>
      <c r="Z262">
        <v>19.086400000000001</v>
      </c>
      <c r="AA262">
        <v>1.8772</v>
      </c>
      <c r="AB262">
        <v>4.2582000000000004</v>
      </c>
      <c r="AC262">
        <v>-0.31950000000000001</v>
      </c>
      <c r="AD262" t="s">
        <v>33</v>
      </c>
      <c r="AE262">
        <v>14.497299999999999</v>
      </c>
      <c r="AF262">
        <v>10.3589</v>
      </c>
      <c r="AG262">
        <v>71.918999999999997</v>
      </c>
      <c r="AH262">
        <v>506059.8138</v>
      </c>
      <c r="AJ262">
        <v>8.8962000000000003</v>
      </c>
      <c r="AK262">
        <v>8</v>
      </c>
      <c r="AL262">
        <v>0.3357</v>
      </c>
      <c r="AM262">
        <v>20.617899999999999</v>
      </c>
      <c r="AN262">
        <v>0.14219999999999999</v>
      </c>
      <c r="AO262">
        <v>195.11080000000001</v>
      </c>
      <c r="AP262">
        <v>41.349800000000002</v>
      </c>
      <c r="AQ262">
        <v>27.084800000000001</v>
      </c>
      <c r="AR262">
        <v>4699.7129999999997</v>
      </c>
      <c r="AS262">
        <v>3688529.1842</v>
      </c>
      <c r="AU262" s="1">
        <f t="shared" si="24"/>
        <v>45443</v>
      </c>
      <c r="AV262" s="29"/>
      <c r="AW262" s="30"/>
    </row>
    <row r="263" spans="1:49" x14ac:dyDescent="0.25">
      <c r="A263" s="37">
        <v>45450</v>
      </c>
      <c r="B263" s="5">
        <v>448.36290000000002</v>
      </c>
      <c r="C263">
        <v>-21.115300000000001</v>
      </c>
      <c r="D263">
        <v>-1.9518</v>
      </c>
      <c r="E263">
        <v>48.660800000000002</v>
      </c>
      <c r="F263">
        <v>92.209500000000006</v>
      </c>
      <c r="G263">
        <v>0</v>
      </c>
      <c r="H263">
        <v>0.44779999999999998</v>
      </c>
      <c r="I263">
        <v>-17.052399999999999</v>
      </c>
      <c r="J263">
        <v>2630.79</v>
      </c>
      <c r="K263">
        <v>10286798.4351</v>
      </c>
      <c r="M263" s="37">
        <v>45450</v>
      </c>
      <c r="N263" s="5">
        <v>5.6688000000000001</v>
      </c>
      <c r="O263">
        <v>8.9934999999999992</v>
      </c>
      <c r="P263">
        <v>0.25080000000000002</v>
      </c>
      <c r="Q263">
        <v>35.616599999999998</v>
      </c>
      <c r="R263">
        <v>2.4356</v>
      </c>
      <c r="S263" t="s">
        <v>33</v>
      </c>
      <c r="T263">
        <v>33.595399999999998</v>
      </c>
      <c r="U263">
        <v>17.269200000000001</v>
      </c>
      <c r="V263">
        <v>2287.85</v>
      </c>
      <c r="W263">
        <v>3119530.1014</v>
      </c>
      <c r="Y263" s="5">
        <v>5.1662999999999997</v>
      </c>
      <c r="Z263">
        <v>19.086400000000001</v>
      </c>
      <c r="AA263">
        <v>1.8772</v>
      </c>
      <c r="AB263">
        <v>4.2582000000000004</v>
      </c>
      <c r="AC263">
        <v>-0.31950000000000001</v>
      </c>
      <c r="AD263" t="s">
        <v>33</v>
      </c>
      <c r="AE263">
        <v>14.497299999999999</v>
      </c>
      <c r="AF263">
        <v>10.3589</v>
      </c>
      <c r="AG263">
        <v>66.555000000000007</v>
      </c>
      <c r="AH263">
        <v>468319.7599</v>
      </c>
      <c r="AJ263">
        <v>8.1164000000000005</v>
      </c>
      <c r="AK263">
        <v>8</v>
      </c>
      <c r="AL263">
        <v>0.3357</v>
      </c>
      <c r="AM263">
        <v>20.617899999999999</v>
      </c>
      <c r="AN263">
        <v>0.14219999999999999</v>
      </c>
      <c r="AO263">
        <v>195.11080000000001</v>
      </c>
      <c r="AP263">
        <v>41.349800000000002</v>
      </c>
      <c r="AQ263">
        <v>27.084800000000001</v>
      </c>
      <c r="AR263">
        <v>4281.0540000000001</v>
      </c>
      <c r="AS263">
        <v>3359948.9824000001</v>
      </c>
      <c r="AU263" s="1">
        <f t="shared" ref="AU263:AU326" si="33">+A263</f>
        <v>45450</v>
      </c>
      <c r="AV263" s="29"/>
      <c r="AW263" s="30"/>
    </row>
    <row r="264" spans="1:49" x14ac:dyDescent="0.25">
      <c r="A264" s="37">
        <v>45457</v>
      </c>
      <c r="B264" s="5">
        <v>451.16340000000002</v>
      </c>
      <c r="C264">
        <v>-21.115300000000001</v>
      </c>
      <c r="D264">
        <v>-1.9518</v>
      </c>
      <c r="E264">
        <v>48.660800000000002</v>
      </c>
      <c r="F264">
        <v>92.209500000000006</v>
      </c>
      <c r="G264">
        <v>0</v>
      </c>
      <c r="H264">
        <v>0.44779999999999998</v>
      </c>
      <c r="I264">
        <v>-17.052399999999999</v>
      </c>
      <c r="J264">
        <v>2658.1849999999999</v>
      </c>
      <c r="K264">
        <v>10393917.149700001</v>
      </c>
      <c r="M264" s="37">
        <v>45457</v>
      </c>
      <c r="N264" s="5">
        <v>5.9004000000000003</v>
      </c>
      <c r="O264">
        <v>8.9934999999999992</v>
      </c>
      <c r="P264">
        <v>0.25080000000000002</v>
      </c>
      <c r="Q264">
        <v>35.616599999999998</v>
      </c>
      <c r="R264">
        <v>2.4356</v>
      </c>
      <c r="S264" t="s">
        <v>33</v>
      </c>
      <c r="T264">
        <v>33.595399999999998</v>
      </c>
      <c r="U264">
        <v>17.269200000000001</v>
      </c>
      <c r="V264">
        <v>2411.5500000000002</v>
      </c>
      <c r="W264">
        <v>3288197.5723999999</v>
      </c>
      <c r="Y264" s="5">
        <v>5.7234999999999996</v>
      </c>
      <c r="Z264">
        <v>19.086400000000001</v>
      </c>
      <c r="AA264">
        <v>1.8772</v>
      </c>
      <c r="AB264">
        <v>4.2582000000000004</v>
      </c>
      <c r="AC264">
        <v>-0.31950000000000001</v>
      </c>
      <c r="AD264" t="s">
        <v>33</v>
      </c>
      <c r="AE264">
        <v>14.497299999999999</v>
      </c>
      <c r="AF264">
        <v>10.3589</v>
      </c>
      <c r="AG264">
        <v>73.403999999999996</v>
      </c>
      <c r="AH264">
        <v>516508.50640000001</v>
      </c>
      <c r="AJ264">
        <v>8.7863000000000007</v>
      </c>
      <c r="AK264">
        <v>8</v>
      </c>
      <c r="AL264">
        <v>0.3357</v>
      </c>
      <c r="AM264">
        <v>20.617899999999999</v>
      </c>
      <c r="AN264">
        <v>0.14219999999999999</v>
      </c>
      <c r="AO264">
        <v>195.11080000000001</v>
      </c>
      <c r="AP264">
        <v>41.349800000000002</v>
      </c>
      <c r="AQ264">
        <v>27.084800000000001</v>
      </c>
      <c r="AR264">
        <v>4640.7259999999997</v>
      </c>
      <c r="AS264">
        <v>3642234.3791</v>
      </c>
      <c r="AU264" s="1">
        <f t="shared" si="33"/>
        <v>45457</v>
      </c>
      <c r="AV264" s="29"/>
      <c r="AW264" s="30"/>
    </row>
    <row r="265" spans="1:49" x14ac:dyDescent="0.25">
      <c r="A265" s="37">
        <v>45464</v>
      </c>
      <c r="B265" s="5">
        <v>459.69209999999998</v>
      </c>
      <c r="C265">
        <v>-21.115300000000001</v>
      </c>
      <c r="D265">
        <v>-1.9518</v>
      </c>
      <c r="E265">
        <v>48.660800000000002</v>
      </c>
      <c r="F265">
        <v>92.209500000000006</v>
      </c>
      <c r="G265">
        <v>0</v>
      </c>
      <c r="H265">
        <v>0.44779999999999998</v>
      </c>
      <c r="I265">
        <v>-17.052399999999999</v>
      </c>
      <c r="J265">
        <v>2741.6149999999998</v>
      </c>
      <c r="K265">
        <v>10720141.437200001</v>
      </c>
      <c r="M265" s="37">
        <v>45464</v>
      </c>
      <c r="N265" s="5">
        <v>5.7980999999999998</v>
      </c>
      <c r="O265">
        <v>8.9934999999999992</v>
      </c>
      <c r="P265">
        <v>0.25080000000000002</v>
      </c>
      <c r="Q265">
        <v>35.616599999999998</v>
      </c>
      <c r="R265">
        <v>2.4356</v>
      </c>
      <c r="S265" t="s">
        <v>33</v>
      </c>
      <c r="T265">
        <v>33.595399999999998</v>
      </c>
      <c r="U265">
        <v>17.269200000000001</v>
      </c>
      <c r="V265">
        <v>2371.0500000000002</v>
      </c>
      <c r="W265">
        <v>3232974.997</v>
      </c>
      <c r="Y265" s="5">
        <v>5.8334999999999999</v>
      </c>
      <c r="Z265">
        <v>19.086400000000001</v>
      </c>
      <c r="AA265">
        <v>1.8772</v>
      </c>
      <c r="AB265">
        <v>4.2582000000000004</v>
      </c>
      <c r="AC265">
        <v>-0.31950000000000001</v>
      </c>
      <c r="AD265" t="s">
        <v>33</v>
      </c>
      <c r="AE265">
        <v>14.497299999999999</v>
      </c>
      <c r="AF265">
        <v>10.3589</v>
      </c>
      <c r="AG265">
        <v>74.754999999999995</v>
      </c>
      <c r="AH265">
        <v>526021.4952</v>
      </c>
      <c r="AJ265">
        <v>8.7749000000000006</v>
      </c>
      <c r="AK265">
        <v>8</v>
      </c>
      <c r="AL265">
        <v>0.3357</v>
      </c>
      <c r="AM265">
        <v>20.617899999999999</v>
      </c>
      <c r="AN265">
        <v>0.14219999999999999</v>
      </c>
      <c r="AO265">
        <v>195.11080000000001</v>
      </c>
      <c r="AP265">
        <v>41.349800000000002</v>
      </c>
      <c r="AQ265">
        <v>27.084800000000001</v>
      </c>
      <c r="AR265">
        <v>4634.5879999999997</v>
      </c>
      <c r="AS265">
        <v>3637416.7083999999</v>
      </c>
      <c r="AU265" s="1">
        <f t="shared" si="33"/>
        <v>45464</v>
      </c>
      <c r="AV265" s="29"/>
      <c r="AW265" s="30"/>
    </row>
    <row r="266" spans="1:49" x14ac:dyDescent="0.25">
      <c r="A266" s="37">
        <v>45471</v>
      </c>
      <c r="B266" s="5">
        <v>97.415700000000001</v>
      </c>
      <c r="C266">
        <v>-18.078199999999999</v>
      </c>
      <c r="D266">
        <v>-1.5468</v>
      </c>
      <c r="E266">
        <v>47.131</v>
      </c>
      <c r="F266">
        <v>26.459599999999998</v>
      </c>
      <c r="G266">
        <v>0</v>
      </c>
      <c r="H266">
        <v>1.5656000000000001</v>
      </c>
      <c r="I266">
        <v>-14.365500000000001</v>
      </c>
      <c r="J266">
        <v>2723.855</v>
      </c>
      <c r="K266">
        <v>10650697.0725</v>
      </c>
      <c r="M266" s="37">
        <v>45471</v>
      </c>
      <c r="N266" s="5">
        <v>5.0650000000000004</v>
      </c>
      <c r="O266">
        <v>11.5526</v>
      </c>
      <c r="P266">
        <v>0.37080000000000002</v>
      </c>
      <c r="Q266">
        <v>34.975499999999997</v>
      </c>
      <c r="R266">
        <v>1.5548</v>
      </c>
      <c r="S266" t="s">
        <v>33</v>
      </c>
      <c r="T266">
        <v>37.6434</v>
      </c>
      <c r="U266">
        <v>20.911899999999999</v>
      </c>
      <c r="V266">
        <v>2408.75</v>
      </c>
      <c r="W266">
        <v>3284379.7152999998</v>
      </c>
      <c r="Y266" s="5">
        <v>6.6589999999999998</v>
      </c>
      <c r="Z266">
        <v>15.19</v>
      </c>
      <c r="AA266">
        <v>1.4951000000000001</v>
      </c>
      <c r="AB266">
        <v>3.9281000000000001</v>
      </c>
      <c r="AC266">
        <v>-0.19040000000000001</v>
      </c>
      <c r="AD266" t="s">
        <v>33</v>
      </c>
      <c r="AE266">
        <v>13.3467</v>
      </c>
      <c r="AF266">
        <v>9.1981000000000002</v>
      </c>
      <c r="AG266">
        <v>84.573999999999998</v>
      </c>
      <c r="AH266">
        <v>595107.62699999998</v>
      </c>
      <c r="AJ266">
        <v>7.0174000000000003</v>
      </c>
      <c r="AK266">
        <v>15.3405</v>
      </c>
      <c r="AL266">
        <v>0.59399999999999997</v>
      </c>
      <c r="AM266">
        <v>23.244299999999999</v>
      </c>
      <c r="AN266">
        <v>-5.8799999999999998E-2</v>
      </c>
      <c r="AO266">
        <v>195.11080000000001</v>
      </c>
      <c r="AP266">
        <v>46.659599999999998</v>
      </c>
      <c r="AQ266">
        <v>33.693100000000001</v>
      </c>
      <c r="AR266">
        <v>4953.6409999999996</v>
      </c>
      <c r="AS266">
        <v>3887822.6743000001</v>
      </c>
      <c r="AU266" s="1">
        <f t="shared" si="33"/>
        <v>45471</v>
      </c>
      <c r="AV266" s="29"/>
      <c r="AW266" s="30"/>
    </row>
    <row r="267" spans="1:49" x14ac:dyDescent="0.25">
      <c r="A267" s="37">
        <v>45478</v>
      </c>
      <c r="B267" s="5">
        <v>99.0244</v>
      </c>
      <c r="C267">
        <v>-18.078199999999999</v>
      </c>
      <c r="D267">
        <v>-1.5468</v>
      </c>
      <c r="E267">
        <v>47.131</v>
      </c>
      <c r="F267">
        <v>26.459599999999998</v>
      </c>
      <c r="G267">
        <v>0</v>
      </c>
      <c r="H267">
        <v>1.5656000000000001</v>
      </c>
      <c r="I267">
        <v>-14.365500000000001</v>
      </c>
      <c r="J267">
        <v>2800.58</v>
      </c>
      <c r="K267">
        <v>10950703.7663</v>
      </c>
      <c r="M267" s="37">
        <v>45478</v>
      </c>
      <c r="N267" s="5">
        <v>5.2264999999999997</v>
      </c>
      <c r="O267">
        <v>11.5526</v>
      </c>
      <c r="P267">
        <v>0.37080000000000002</v>
      </c>
      <c r="Q267">
        <v>34.975499999999997</v>
      </c>
      <c r="R267">
        <v>1.5548</v>
      </c>
      <c r="S267" t="s">
        <v>33</v>
      </c>
      <c r="T267">
        <v>37.6434</v>
      </c>
      <c r="U267">
        <v>20.911899999999999</v>
      </c>
      <c r="V267">
        <v>2514.9</v>
      </c>
      <c r="W267">
        <v>3429117.4037000001</v>
      </c>
      <c r="Y267" s="5">
        <v>7.7336</v>
      </c>
      <c r="Z267">
        <v>15.19</v>
      </c>
      <c r="AA267">
        <v>1.4951000000000001</v>
      </c>
      <c r="AB267">
        <v>3.9281000000000001</v>
      </c>
      <c r="AC267">
        <v>-0.19040000000000001</v>
      </c>
      <c r="AD267" t="s">
        <v>33</v>
      </c>
      <c r="AE267">
        <v>13.3467</v>
      </c>
      <c r="AF267">
        <v>9.1981000000000002</v>
      </c>
      <c r="AG267">
        <v>98.004000000000005</v>
      </c>
      <c r="AH267">
        <v>689613.71239999996</v>
      </c>
      <c r="AJ267">
        <v>6.8369</v>
      </c>
      <c r="AK267">
        <v>15.3405</v>
      </c>
      <c r="AL267">
        <v>0.59399999999999997</v>
      </c>
      <c r="AM267">
        <v>23.244299999999999</v>
      </c>
      <c r="AN267">
        <v>-5.8799999999999998E-2</v>
      </c>
      <c r="AO267">
        <v>195.11080000000001</v>
      </c>
      <c r="AP267">
        <v>46.659599999999998</v>
      </c>
      <c r="AQ267">
        <v>33.693100000000001</v>
      </c>
      <c r="AR267">
        <v>4827.3239999999996</v>
      </c>
      <c r="AS267">
        <v>3788684.0430000001</v>
      </c>
      <c r="AU267" s="1">
        <f t="shared" si="33"/>
        <v>45478</v>
      </c>
      <c r="AV267" s="29"/>
      <c r="AW267" s="30"/>
    </row>
    <row r="268" spans="1:49" x14ac:dyDescent="0.25">
      <c r="A268" s="37">
        <v>45485</v>
      </c>
      <c r="B268" s="5">
        <v>104.20140000000001</v>
      </c>
      <c r="C268">
        <v>-18.078199999999999</v>
      </c>
      <c r="D268">
        <v>-1.5468</v>
      </c>
      <c r="E268">
        <v>47.131</v>
      </c>
      <c r="F268">
        <v>26.459599999999998</v>
      </c>
      <c r="G268">
        <v>0</v>
      </c>
      <c r="H268">
        <v>1.5656000000000001</v>
      </c>
      <c r="I268">
        <v>-14.365500000000001</v>
      </c>
      <c r="J268">
        <v>3047.5</v>
      </c>
      <c r="K268">
        <v>11916199.404300001</v>
      </c>
      <c r="M268" s="37">
        <v>45485</v>
      </c>
      <c r="N268" s="5">
        <v>5.5114000000000001</v>
      </c>
      <c r="O268">
        <v>11.5526</v>
      </c>
      <c r="P268">
        <v>0.37080000000000002</v>
      </c>
      <c r="Q268">
        <v>34.975499999999997</v>
      </c>
      <c r="R268">
        <v>1.5548</v>
      </c>
      <c r="S268" t="s">
        <v>33</v>
      </c>
      <c r="T268">
        <v>37.6434</v>
      </c>
      <c r="U268">
        <v>20.911899999999999</v>
      </c>
      <c r="V268">
        <v>2690</v>
      </c>
      <c r="W268">
        <v>3667869.8221999998</v>
      </c>
      <c r="Y268" s="5">
        <v>8.0226000000000006</v>
      </c>
      <c r="Z268">
        <v>15.19</v>
      </c>
      <c r="AA268">
        <v>1.4951000000000001</v>
      </c>
      <c r="AB268">
        <v>3.9281000000000001</v>
      </c>
      <c r="AC268">
        <v>-0.19040000000000001</v>
      </c>
      <c r="AD268" t="s">
        <v>33</v>
      </c>
      <c r="AE268">
        <v>13.3467</v>
      </c>
      <c r="AF268">
        <v>9.1981000000000002</v>
      </c>
      <c r="AG268">
        <v>101.617</v>
      </c>
      <c r="AH268">
        <v>715033.66610000003</v>
      </c>
      <c r="AJ268">
        <v>7.3259999999999996</v>
      </c>
      <c r="AK268">
        <v>15.3405</v>
      </c>
      <c r="AL268">
        <v>0.59399999999999997</v>
      </c>
      <c r="AM268">
        <v>23.244299999999999</v>
      </c>
      <c r="AN268">
        <v>-5.8799999999999998E-2</v>
      </c>
      <c r="AO268">
        <v>195.11080000000001</v>
      </c>
      <c r="AP268">
        <v>46.659599999999998</v>
      </c>
      <c r="AQ268">
        <v>33.693100000000001</v>
      </c>
      <c r="AR268">
        <v>5169.6840000000002</v>
      </c>
      <c r="AS268">
        <v>4057382.1025999999</v>
      </c>
      <c r="AU268" s="1">
        <f t="shared" si="33"/>
        <v>45485</v>
      </c>
      <c r="AV268" s="29"/>
      <c r="AW268" s="30"/>
    </row>
    <row r="269" spans="1:49" x14ac:dyDescent="0.25">
      <c r="A269" s="37">
        <v>45492</v>
      </c>
      <c r="B269" s="5">
        <v>97.177700000000002</v>
      </c>
      <c r="C269">
        <v>-18.078199999999999</v>
      </c>
      <c r="D269">
        <v>-1.5468</v>
      </c>
      <c r="E269">
        <v>47.131</v>
      </c>
      <c r="F269">
        <v>26.459599999999998</v>
      </c>
      <c r="G269">
        <v>0</v>
      </c>
      <c r="H269">
        <v>1.5656000000000001</v>
      </c>
      <c r="I269">
        <v>-14.365500000000001</v>
      </c>
      <c r="J269">
        <v>2712.5</v>
      </c>
      <c r="K269">
        <v>10606297.254899999</v>
      </c>
      <c r="M269" s="37">
        <v>45492</v>
      </c>
      <c r="N269" s="5">
        <v>5.0865</v>
      </c>
      <c r="O269">
        <v>11.5526</v>
      </c>
      <c r="P269">
        <v>0.37080000000000002</v>
      </c>
      <c r="Q269">
        <v>34.975499999999997</v>
      </c>
      <c r="R269">
        <v>1.5548</v>
      </c>
      <c r="S269" t="s">
        <v>33</v>
      </c>
      <c r="T269">
        <v>37.6434</v>
      </c>
      <c r="U269">
        <v>20.911899999999999</v>
      </c>
      <c r="V269">
        <v>2460</v>
      </c>
      <c r="W269">
        <v>3354260.1348000001</v>
      </c>
      <c r="Y269" s="5">
        <v>8.2530999999999999</v>
      </c>
      <c r="Z269">
        <v>15.19</v>
      </c>
      <c r="AA269">
        <v>1.4951000000000001</v>
      </c>
      <c r="AB269">
        <v>3.9281000000000001</v>
      </c>
      <c r="AC269">
        <v>-0.19040000000000001</v>
      </c>
      <c r="AD269" t="s">
        <v>33</v>
      </c>
      <c r="AE269">
        <v>13.3467</v>
      </c>
      <c r="AF269">
        <v>9.1981000000000002</v>
      </c>
      <c r="AG269">
        <v>104.498</v>
      </c>
      <c r="AH269">
        <v>735307.2487</v>
      </c>
      <c r="AJ269">
        <v>6.2367999999999997</v>
      </c>
      <c r="AK269">
        <v>15.3405</v>
      </c>
      <c r="AL269">
        <v>0.59399999999999997</v>
      </c>
      <c r="AM269">
        <v>23.244299999999999</v>
      </c>
      <c r="AN269">
        <v>-5.8799999999999998E-2</v>
      </c>
      <c r="AO269">
        <v>195.11080000000001</v>
      </c>
      <c r="AP269">
        <v>46.659599999999998</v>
      </c>
      <c r="AQ269">
        <v>33.693100000000001</v>
      </c>
      <c r="AR269">
        <v>4407.1790000000001</v>
      </c>
      <c r="AS269">
        <v>3458937.0614999998</v>
      </c>
      <c r="AU269" s="1">
        <f t="shared" si="33"/>
        <v>45492</v>
      </c>
      <c r="AV269" s="29"/>
      <c r="AW269" s="30"/>
    </row>
    <row r="270" spans="1:49" x14ac:dyDescent="0.25">
      <c r="A270" s="37">
        <v>45499</v>
      </c>
      <c r="B270" s="5">
        <v>95.605199999999996</v>
      </c>
      <c r="C270">
        <v>-18.078199999999999</v>
      </c>
      <c r="D270">
        <v>-1.5468</v>
      </c>
      <c r="E270">
        <v>47.131</v>
      </c>
      <c r="F270">
        <v>26.459599999999998</v>
      </c>
      <c r="G270">
        <v>0</v>
      </c>
      <c r="H270">
        <v>1.5656000000000001</v>
      </c>
      <c r="I270">
        <v>-14.365500000000001</v>
      </c>
      <c r="J270">
        <v>2637.5</v>
      </c>
      <c r="K270">
        <v>10313035.579600001</v>
      </c>
      <c r="M270" s="37">
        <v>45499</v>
      </c>
      <c r="N270" s="5">
        <v>5.0083000000000002</v>
      </c>
      <c r="O270">
        <v>11.5526</v>
      </c>
      <c r="P270">
        <v>0.37080000000000002</v>
      </c>
      <c r="Q270">
        <v>34.975499999999997</v>
      </c>
      <c r="R270">
        <v>1.5548</v>
      </c>
      <c r="S270" t="s">
        <v>33</v>
      </c>
      <c r="T270">
        <v>37.6434</v>
      </c>
      <c r="U270">
        <v>20.911899999999999</v>
      </c>
      <c r="V270">
        <v>2430</v>
      </c>
      <c r="W270">
        <v>3313354.5233999998</v>
      </c>
      <c r="Y270" s="5">
        <v>8.6255000000000006</v>
      </c>
      <c r="Z270">
        <v>15.19</v>
      </c>
      <c r="AA270">
        <v>1.4951000000000001</v>
      </c>
      <c r="AB270">
        <v>3.9281000000000001</v>
      </c>
      <c r="AC270">
        <v>-0.19040000000000001</v>
      </c>
      <c r="AD270" t="s">
        <v>33</v>
      </c>
      <c r="AE270">
        <v>13.3467</v>
      </c>
      <c r="AF270">
        <v>9.1981000000000002</v>
      </c>
      <c r="AG270">
        <v>109.152</v>
      </c>
      <c r="AH270">
        <v>768056.88230000006</v>
      </c>
      <c r="AJ270">
        <v>6.2435999999999998</v>
      </c>
      <c r="AK270">
        <v>15.3405</v>
      </c>
      <c r="AL270">
        <v>0.59399999999999997</v>
      </c>
      <c r="AM270">
        <v>23.244299999999999</v>
      </c>
      <c r="AN270">
        <v>-5.8799999999999998E-2</v>
      </c>
      <c r="AO270">
        <v>195.11080000000001</v>
      </c>
      <c r="AP270">
        <v>46.659599999999998</v>
      </c>
      <c r="AQ270">
        <v>33.693100000000001</v>
      </c>
      <c r="AR270">
        <v>4411.9750000000004</v>
      </c>
      <c r="AS270">
        <v>3462700.8668</v>
      </c>
      <c r="AU270" s="1">
        <f t="shared" si="33"/>
        <v>45499</v>
      </c>
      <c r="AV270" s="29"/>
      <c r="AW270" s="30"/>
    </row>
    <row r="271" spans="1:49" x14ac:dyDescent="0.25">
      <c r="A271" s="37">
        <v>45506</v>
      </c>
      <c r="B271" s="5">
        <v>90.992599999999996</v>
      </c>
      <c r="C271">
        <v>-18.078199999999999</v>
      </c>
      <c r="D271">
        <v>-1.5468</v>
      </c>
      <c r="E271">
        <v>47.131</v>
      </c>
      <c r="F271">
        <v>26.459599999999998</v>
      </c>
      <c r="G271">
        <v>0</v>
      </c>
      <c r="H271">
        <v>1.5656000000000001</v>
      </c>
      <c r="I271">
        <v>-14.365500000000001</v>
      </c>
      <c r="J271">
        <v>2417.5</v>
      </c>
      <c r="K271">
        <v>9452801.3322000001</v>
      </c>
      <c r="M271" s="37">
        <v>45506</v>
      </c>
      <c r="N271" s="5">
        <v>4.7118000000000002</v>
      </c>
      <c r="O271">
        <v>11.5526</v>
      </c>
      <c r="P271">
        <v>0.37080000000000002</v>
      </c>
      <c r="Q271">
        <v>34.975499999999997</v>
      </c>
      <c r="R271">
        <v>1.5548</v>
      </c>
      <c r="S271" t="s">
        <v>33</v>
      </c>
      <c r="T271">
        <v>37.6434</v>
      </c>
      <c r="U271">
        <v>20.911899999999999</v>
      </c>
      <c r="V271">
        <v>2270</v>
      </c>
      <c r="W271">
        <v>3095191.2626</v>
      </c>
      <c r="Y271" s="5">
        <v>7.3841999999999999</v>
      </c>
      <c r="Z271">
        <v>15.19</v>
      </c>
      <c r="AA271">
        <v>1.4951000000000001</v>
      </c>
      <c r="AB271">
        <v>3.9281000000000001</v>
      </c>
      <c r="AC271">
        <v>-0.19040000000000001</v>
      </c>
      <c r="AD271" t="s">
        <v>33</v>
      </c>
      <c r="AE271">
        <v>13.3467</v>
      </c>
      <c r="AF271">
        <v>9.1981000000000002</v>
      </c>
      <c r="AG271">
        <v>93.638000000000005</v>
      </c>
      <c r="AH271">
        <v>658891.43709999998</v>
      </c>
      <c r="AJ271">
        <v>5.8052000000000001</v>
      </c>
      <c r="AK271">
        <v>15.3405</v>
      </c>
      <c r="AL271">
        <v>0.59399999999999997</v>
      </c>
      <c r="AM271">
        <v>23.244299999999999</v>
      </c>
      <c r="AN271">
        <v>-5.8799999999999998E-2</v>
      </c>
      <c r="AO271">
        <v>195.11080000000001</v>
      </c>
      <c r="AP271">
        <v>46.659599999999998</v>
      </c>
      <c r="AQ271">
        <v>33.693100000000001</v>
      </c>
      <c r="AR271">
        <v>4105.0550000000003</v>
      </c>
      <c r="AS271">
        <v>3221817.3281999999</v>
      </c>
      <c r="AU271" s="1">
        <f t="shared" si="33"/>
        <v>45506</v>
      </c>
      <c r="AV271" s="29"/>
      <c r="AW271" s="30"/>
    </row>
    <row r="272" spans="1:49" x14ac:dyDescent="0.25">
      <c r="A272" s="37">
        <v>45513</v>
      </c>
      <c r="B272" s="5">
        <v>96.863200000000006</v>
      </c>
      <c r="C272">
        <v>-18.078199999999999</v>
      </c>
      <c r="D272">
        <v>-1.5468</v>
      </c>
      <c r="E272">
        <v>47.131</v>
      </c>
      <c r="F272">
        <v>26.459599999999998</v>
      </c>
      <c r="G272">
        <v>0</v>
      </c>
      <c r="H272">
        <v>1.5656000000000001</v>
      </c>
      <c r="I272">
        <v>-14.365500000000001</v>
      </c>
      <c r="J272">
        <v>2697.5</v>
      </c>
      <c r="K272">
        <v>10547644.9198</v>
      </c>
      <c r="M272" s="37">
        <v>45513</v>
      </c>
      <c r="N272" s="5">
        <v>5.3146000000000004</v>
      </c>
      <c r="O272">
        <v>11.5526</v>
      </c>
      <c r="P272">
        <v>0.37080000000000002</v>
      </c>
      <c r="Q272">
        <v>34.975499999999997</v>
      </c>
      <c r="R272">
        <v>1.5548</v>
      </c>
      <c r="S272" t="s">
        <v>33</v>
      </c>
      <c r="T272">
        <v>37.6434</v>
      </c>
      <c r="U272">
        <v>20.911899999999999</v>
      </c>
      <c r="V272">
        <v>2635</v>
      </c>
      <c r="W272">
        <v>3592876.2012999998</v>
      </c>
      <c r="Y272" s="5">
        <v>7.9782999999999999</v>
      </c>
      <c r="Z272">
        <v>15.19</v>
      </c>
      <c r="AA272">
        <v>1.4951000000000001</v>
      </c>
      <c r="AB272">
        <v>3.9281000000000001</v>
      </c>
      <c r="AC272">
        <v>-0.19040000000000001</v>
      </c>
      <c r="AD272" t="s">
        <v>33</v>
      </c>
      <c r="AE272">
        <v>13.3467</v>
      </c>
      <c r="AF272">
        <v>9.1981000000000002</v>
      </c>
      <c r="AG272">
        <v>101.063</v>
      </c>
      <c r="AH272">
        <v>711134.90020000003</v>
      </c>
      <c r="AJ272">
        <v>6.8327</v>
      </c>
      <c r="AK272">
        <v>15.3405</v>
      </c>
      <c r="AL272">
        <v>0.59399999999999997</v>
      </c>
      <c r="AM272">
        <v>23.244299999999999</v>
      </c>
      <c r="AN272">
        <v>-5.8799999999999998E-2</v>
      </c>
      <c r="AO272">
        <v>195.11080000000001</v>
      </c>
      <c r="AP272">
        <v>46.659599999999998</v>
      </c>
      <c r="AQ272">
        <v>33.693100000000001</v>
      </c>
      <c r="AR272">
        <v>4824.3990000000003</v>
      </c>
      <c r="AS272">
        <v>3786388.1217</v>
      </c>
      <c r="AU272" s="1">
        <f t="shared" si="33"/>
        <v>45513</v>
      </c>
      <c r="AV272" s="29"/>
      <c r="AW272" s="30"/>
    </row>
    <row r="273" spans="1:54" x14ac:dyDescent="0.25">
      <c r="A273" s="37">
        <v>45520</v>
      </c>
      <c r="B273" s="5">
        <v>99.117000000000004</v>
      </c>
      <c r="C273">
        <v>-18.078199999999999</v>
      </c>
      <c r="D273">
        <v>-1.5468</v>
      </c>
      <c r="E273">
        <v>47.131</v>
      </c>
      <c r="F273">
        <v>26.459599999999998</v>
      </c>
      <c r="G273">
        <v>0</v>
      </c>
      <c r="H273">
        <v>1.5656000000000001</v>
      </c>
      <c r="I273">
        <v>-14.365500000000001</v>
      </c>
      <c r="J273">
        <v>2805</v>
      </c>
      <c r="K273">
        <v>10967986.654300001</v>
      </c>
      <c r="M273" s="37">
        <v>45520</v>
      </c>
      <c r="N273" s="5">
        <v>5.3997000000000002</v>
      </c>
      <c r="O273">
        <v>11.5526</v>
      </c>
      <c r="P273">
        <v>0.37080000000000002</v>
      </c>
      <c r="Q273">
        <v>34.975499999999997</v>
      </c>
      <c r="R273">
        <v>1.5548</v>
      </c>
      <c r="S273" t="s">
        <v>33</v>
      </c>
      <c r="T273">
        <v>37.6434</v>
      </c>
      <c r="U273">
        <v>20.911899999999999</v>
      </c>
      <c r="V273">
        <v>2700</v>
      </c>
      <c r="W273">
        <v>3681505.0260000001</v>
      </c>
      <c r="Y273" s="5">
        <v>8.3861000000000008</v>
      </c>
      <c r="Z273">
        <v>15.19</v>
      </c>
      <c r="AA273">
        <v>1.4951000000000001</v>
      </c>
      <c r="AB273">
        <v>3.9281000000000001</v>
      </c>
      <c r="AC273">
        <v>-0.19040000000000001</v>
      </c>
      <c r="AD273" t="s">
        <v>33</v>
      </c>
      <c r="AE273">
        <v>13.3467</v>
      </c>
      <c r="AF273">
        <v>9.1981000000000002</v>
      </c>
      <c r="AG273">
        <v>106.16</v>
      </c>
      <c r="AH273">
        <v>747003.54639999999</v>
      </c>
      <c r="AJ273">
        <v>6.819</v>
      </c>
      <c r="AK273">
        <v>15.3405</v>
      </c>
      <c r="AL273">
        <v>0.59399999999999997</v>
      </c>
      <c r="AM273">
        <v>23.244299999999999</v>
      </c>
      <c r="AN273">
        <v>-5.8799999999999998E-2</v>
      </c>
      <c r="AO273">
        <v>195.11080000000001</v>
      </c>
      <c r="AP273">
        <v>46.659599999999998</v>
      </c>
      <c r="AQ273">
        <v>33.693100000000001</v>
      </c>
      <c r="AR273">
        <v>4814.808</v>
      </c>
      <c r="AS273">
        <v>3778860.5112000001</v>
      </c>
      <c r="AU273" s="1">
        <f t="shared" si="33"/>
        <v>45520</v>
      </c>
      <c r="AV273" s="29"/>
      <c r="AW273" s="30"/>
    </row>
    <row r="274" spans="1:54" x14ac:dyDescent="0.25">
      <c r="A274" s="37">
        <v>45527</v>
      </c>
      <c r="B274" s="5">
        <v>97.439700000000002</v>
      </c>
      <c r="C274">
        <v>-18.078199999999999</v>
      </c>
      <c r="D274">
        <v>-1.5468</v>
      </c>
      <c r="E274">
        <v>47.131</v>
      </c>
      <c r="F274">
        <v>26.459599999999998</v>
      </c>
      <c r="G274">
        <v>0</v>
      </c>
      <c r="H274">
        <v>1.5656000000000001</v>
      </c>
      <c r="I274">
        <v>-14.365500000000001</v>
      </c>
      <c r="J274">
        <v>2725</v>
      </c>
      <c r="K274">
        <v>10655174.2008</v>
      </c>
      <c r="M274" s="37">
        <v>45527</v>
      </c>
      <c r="N274" s="5">
        <v>5.3023999999999996</v>
      </c>
      <c r="O274">
        <v>11.5526</v>
      </c>
      <c r="P274">
        <v>0.37080000000000002</v>
      </c>
      <c r="Q274">
        <v>34.975499999999997</v>
      </c>
      <c r="R274">
        <v>1.5548</v>
      </c>
      <c r="S274" t="s">
        <v>33</v>
      </c>
      <c r="T274">
        <v>37.6434</v>
      </c>
      <c r="U274">
        <v>20.911899999999999</v>
      </c>
      <c r="V274">
        <v>2655</v>
      </c>
      <c r="W274">
        <v>3620146.6088999999</v>
      </c>
      <c r="Y274" s="5">
        <v>8.8470999999999993</v>
      </c>
      <c r="Z274">
        <v>15.19</v>
      </c>
      <c r="AA274">
        <v>1.4951000000000001</v>
      </c>
      <c r="AB274">
        <v>3.9281000000000001</v>
      </c>
      <c r="AC274">
        <v>-0.19040000000000001</v>
      </c>
      <c r="AD274" t="s">
        <v>33</v>
      </c>
      <c r="AE274">
        <v>13.3467</v>
      </c>
      <c r="AF274">
        <v>9.1981000000000002</v>
      </c>
      <c r="AG274">
        <v>111.923</v>
      </c>
      <c r="AH274">
        <v>787550.71180000005</v>
      </c>
      <c r="AJ274">
        <v>6.4901999999999997</v>
      </c>
      <c r="AK274">
        <v>15.3405</v>
      </c>
      <c r="AL274">
        <v>0.59399999999999997</v>
      </c>
      <c r="AM274">
        <v>23.244299999999999</v>
      </c>
      <c r="AN274">
        <v>-5.8799999999999998E-2</v>
      </c>
      <c r="AO274">
        <v>195.11080000000001</v>
      </c>
      <c r="AP274">
        <v>46.659599999999998</v>
      </c>
      <c r="AQ274">
        <v>33.693100000000001</v>
      </c>
      <c r="AR274">
        <v>4584.6180000000004</v>
      </c>
      <c r="AS274">
        <v>3598197.8572</v>
      </c>
      <c r="AU274" s="1">
        <f t="shared" si="33"/>
        <v>45527</v>
      </c>
      <c r="AV274" s="29"/>
      <c r="AW274" s="30"/>
    </row>
    <row r="275" spans="1:54" x14ac:dyDescent="0.25">
      <c r="A275" s="37">
        <v>45534</v>
      </c>
      <c r="B275" s="5">
        <v>104.5158</v>
      </c>
      <c r="C275">
        <v>-18.078199999999999</v>
      </c>
      <c r="D275">
        <v>-1.5468</v>
      </c>
      <c r="E275">
        <v>47.131</v>
      </c>
      <c r="F275">
        <v>26.459599999999998</v>
      </c>
      <c r="G275">
        <v>0</v>
      </c>
      <c r="H275">
        <v>1.5656000000000001</v>
      </c>
      <c r="I275">
        <v>-14.365500000000001</v>
      </c>
      <c r="J275">
        <v>3062.5</v>
      </c>
      <c r="K275">
        <v>11974851.739399999</v>
      </c>
      <c r="M275" s="37">
        <v>45534</v>
      </c>
      <c r="N275" s="5">
        <v>5.5490000000000004</v>
      </c>
      <c r="O275">
        <v>11.5526</v>
      </c>
      <c r="P275">
        <v>0.37080000000000002</v>
      </c>
      <c r="Q275">
        <v>34.975499999999997</v>
      </c>
      <c r="R275">
        <v>1.5548</v>
      </c>
      <c r="S275" t="s">
        <v>33</v>
      </c>
      <c r="T275">
        <v>37.6434</v>
      </c>
      <c r="U275">
        <v>20.911899999999999</v>
      </c>
      <c r="V275">
        <v>2820</v>
      </c>
      <c r="W275">
        <v>3845127.4715999998</v>
      </c>
      <c r="Y275" s="5">
        <v>9.8579000000000008</v>
      </c>
      <c r="Z275">
        <v>15.19</v>
      </c>
      <c r="AA275">
        <v>1.4951000000000001</v>
      </c>
      <c r="AB275">
        <v>3.9281000000000001</v>
      </c>
      <c r="AC275">
        <v>-0.19040000000000001</v>
      </c>
      <c r="AD275" t="s">
        <v>33</v>
      </c>
      <c r="AE275">
        <v>13.3467</v>
      </c>
      <c r="AF275">
        <v>9.1981000000000002</v>
      </c>
      <c r="AG275">
        <v>124.556</v>
      </c>
      <c r="AH275">
        <v>876442.57429999998</v>
      </c>
      <c r="AJ275">
        <v>6.7847999999999997</v>
      </c>
      <c r="AK275">
        <v>15.3405</v>
      </c>
      <c r="AL275">
        <v>0.59399999999999997</v>
      </c>
      <c r="AM275">
        <v>23.244299999999999</v>
      </c>
      <c r="AN275">
        <v>-5.8799999999999998E-2</v>
      </c>
      <c r="AO275">
        <v>195.11080000000001</v>
      </c>
      <c r="AP275">
        <v>46.659599999999998</v>
      </c>
      <c r="AQ275">
        <v>33.693100000000001</v>
      </c>
      <c r="AR275">
        <v>4790.8289999999997</v>
      </c>
      <c r="AS275">
        <v>3760041.4846999999</v>
      </c>
      <c r="AU275" s="1">
        <f t="shared" si="33"/>
        <v>45534</v>
      </c>
      <c r="AV275" s="29"/>
      <c r="AW275" s="30"/>
    </row>
    <row r="276" spans="1:54" x14ac:dyDescent="0.25">
      <c r="A276" s="37">
        <v>45541</v>
      </c>
      <c r="B276" s="5">
        <v>102.262</v>
      </c>
      <c r="C276">
        <v>-18.078199999999999</v>
      </c>
      <c r="D276">
        <v>-1.5468</v>
      </c>
      <c r="E276">
        <v>47.131</v>
      </c>
      <c r="F276">
        <v>26.459599999999998</v>
      </c>
      <c r="G276">
        <v>0</v>
      </c>
      <c r="H276">
        <v>1.5656000000000001</v>
      </c>
      <c r="I276">
        <v>-14.365500000000001</v>
      </c>
      <c r="J276">
        <v>2955</v>
      </c>
      <c r="K276">
        <v>11554510.004899999</v>
      </c>
      <c r="M276" s="37">
        <v>45541</v>
      </c>
      <c r="N276" s="5">
        <v>5.5518000000000001</v>
      </c>
      <c r="O276">
        <v>11.5526</v>
      </c>
      <c r="P276">
        <v>0.37080000000000002</v>
      </c>
      <c r="Q276">
        <v>34.975499999999997</v>
      </c>
      <c r="R276">
        <v>1.5548</v>
      </c>
      <c r="S276" t="s">
        <v>33</v>
      </c>
      <c r="T276">
        <v>37.6434</v>
      </c>
      <c r="U276">
        <v>20.911899999999999</v>
      </c>
      <c r="V276">
        <v>2835</v>
      </c>
      <c r="W276">
        <v>3865580.2773000002</v>
      </c>
      <c r="Y276" s="5">
        <v>9.8933</v>
      </c>
      <c r="Z276">
        <v>15.19</v>
      </c>
      <c r="AA276">
        <v>1.4951000000000001</v>
      </c>
      <c r="AB276">
        <v>3.9281000000000001</v>
      </c>
      <c r="AC276">
        <v>-0.19040000000000001</v>
      </c>
      <c r="AD276" t="s">
        <v>33</v>
      </c>
      <c r="AE276">
        <v>13.3467</v>
      </c>
      <c r="AF276">
        <v>9.1981000000000002</v>
      </c>
      <c r="AG276">
        <v>124.999</v>
      </c>
      <c r="AH276">
        <v>879561.58700000006</v>
      </c>
      <c r="AJ276">
        <v>6.9423000000000004</v>
      </c>
      <c r="AK276">
        <v>15.3405</v>
      </c>
      <c r="AL276">
        <v>0.59399999999999997</v>
      </c>
      <c r="AM276">
        <v>23.244299999999999</v>
      </c>
      <c r="AN276">
        <v>-5.8799999999999998E-2</v>
      </c>
      <c r="AO276">
        <v>195.11080000000001</v>
      </c>
      <c r="AP276">
        <v>46.659599999999998</v>
      </c>
      <c r="AQ276">
        <v>33.693100000000001</v>
      </c>
      <c r="AR276">
        <v>4901.1289999999999</v>
      </c>
      <c r="AS276">
        <v>3846609.0063999998</v>
      </c>
      <c r="AU276" s="1">
        <f t="shared" si="33"/>
        <v>45541</v>
      </c>
      <c r="AV276" s="29"/>
      <c r="AW276" s="30"/>
    </row>
    <row r="277" spans="1:54" x14ac:dyDescent="0.25">
      <c r="A277" s="37">
        <v>45548</v>
      </c>
      <c r="B277" s="5">
        <v>101.5282</v>
      </c>
      <c r="C277">
        <v>-18.078199999999999</v>
      </c>
      <c r="D277">
        <v>-1.5468</v>
      </c>
      <c r="E277">
        <v>47.131</v>
      </c>
      <c r="F277">
        <v>26.459599999999998</v>
      </c>
      <c r="G277">
        <v>0</v>
      </c>
      <c r="H277">
        <v>1.5656000000000001</v>
      </c>
      <c r="I277">
        <v>-14.365500000000001</v>
      </c>
      <c r="J277">
        <v>2920</v>
      </c>
      <c r="K277">
        <v>11417654.556399999</v>
      </c>
      <c r="M277" s="37">
        <v>45548</v>
      </c>
      <c r="N277" s="5">
        <v>5.7477999999999998</v>
      </c>
      <c r="O277">
        <v>11.5526</v>
      </c>
      <c r="P277">
        <v>0.37080000000000002</v>
      </c>
      <c r="Q277">
        <v>34.975499999999997</v>
      </c>
      <c r="R277">
        <v>1.5548</v>
      </c>
      <c r="S277" t="s">
        <v>33</v>
      </c>
      <c r="T277">
        <v>37.6434</v>
      </c>
      <c r="U277">
        <v>20.911899999999999</v>
      </c>
      <c r="V277">
        <v>2970</v>
      </c>
      <c r="W277">
        <v>4049655.5285999998</v>
      </c>
      <c r="Y277" s="5">
        <v>9.8400999999999996</v>
      </c>
      <c r="Z277">
        <v>15.19</v>
      </c>
      <c r="AA277">
        <v>1.4951000000000001</v>
      </c>
      <c r="AB277">
        <v>3.9281000000000001</v>
      </c>
      <c r="AC277">
        <v>-0.19040000000000001</v>
      </c>
      <c r="AD277" t="s">
        <v>33</v>
      </c>
      <c r="AE277">
        <v>13.3467</v>
      </c>
      <c r="AF277">
        <v>9.1981000000000002</v>
      </c>
      <c r="AG277">
        <v>124.334</v>
      </c>
      <c r="AH277">
        <v>874883.06799999997</v>
      </c>
      <c r="AJ277">
        <v>7.2027000000000001</v>
      </c>
      <c r="AK277">
        <v>15.3405</v>
      </c>
      <c r="AL277">
        <v>0.59399999999999997</v>
      </c>
      <c r="AM277">
        <v>23.244299999999999</v>
      </c>
      <c r="AN277">
        <v>-5.8799999999999998E-2</v>
      </c>
      <c r="AO277">
        <v>195.11080000000001</v>
      </c>
      <c r="AP277">
        <v>46.659599999999998</v>
      </c>
      <c r="AQ277">
        <v>33.693100000000001</v>
      </c>
      <c r="AR277">
        <v>5083.3630000000003</v>
      </c>
      <c r="AS277">
        <v>3989633.6074000001</v>
      </c>
      <c r="AU277" s="1">
        <f t="shared" si="33"/>
        <v>45548</v>
      </c>
      <c r="AV277" s="29"/>
      <c r="AW277" s="30"/>
    </row>
    <row r="278" spans="1:54" x14ac:dyDescent="0.25">
      <c r="A278" s="37">
        <v>45555</v>
      </c>
      <c r="B278" s="5">
        <v>101.1088</v>
      </c>
      <c r="C278">
        <v>-18.078199999999999</v>
      </c>
      <c r="D278">
        <v>-1.5468</v>
      </c>
      <c r="E278">
        <v>47.131</v>
      </c>
      <c r="F278">
        <v>26.459599999999998</v>
      </c>
      <c r="G278">
        <v>0</v>
      </c>
      <c r="H278">
        <v>1.5656000000000001</v>
      </c>
      <c r="I278">
        <v>-14.365500000000001</v>
      </c>
      <c r="J278">
        <v>2900</v>
      </c>
      <c r="K278">
        <v>11339451.443</v>
      </c>
      <c r="M278" s="37">
        <v>45555</v>
      </c>
      <c r="N278" s="5">
        <v>5.827</v>
      </c>
      <c r="O278">
        <v>11.5526</v>
      </c>
      <c r="P278">
        <v>0.37080000000000002</v>
      </c>
      <c r="Q278">
        <v>34.975499999999997</v>
      </c>
      <c r="R278">
        <v>1.5548</v>
      </c>
      <c r="S278" t="s">
        <v>33</v>
      </c>
      <c r="T278">
        <v>37.6434</v>
      </c>
      <c r="U278">
        <v>20.911899999999999</v>
      </c>
      <c r="V278">
        <v>3030</v>
      </c>
      <c r="W278">
        <v>4131466.7514</v>
      </c>
      <c r="Y278" s="5">
        <v>9.8756000000000004</v>
      </c>
      <c r="Z278">
        <v>15.19</v>
      </c>
      <c r="AA278">
        <v>1.4951000000000001</v>
      </c>
      <c r="AB278">
        <v>3.9281000000000001</v>
      </c>
      <c r="AC278">
        <v>-0.19040000000000001</v>
      </c>
      <c r="AD278" t="s">
        <v>33</v>
      </c>
      <c r="AE278">
        <v>13.3467</v>
      </c>
      <c r="AF278">
        <v>9.1981000000000002</v>
      </c>
      <c r="AG278">
        <v>124.777</v>
      </c>
      <c r="AH278">
        <v>878002.08070000005</v>
      </c>
      <c r="AJ278">
        <v>6.8327</v>
      </c>
      <c r="AK278">
        <v>15.3405</v>
      </c>
      <c r="AL278">
        <v>0.59399999999999997</v>
      </c>
      <c r="AM278">
        <v>23.244299999999999</v>
      </c>
      <c r="AN278">
        <v>-5.8799999999999998E-2</v>
      </c>
      <c r="AO278">
        <v>195.11080000000001</v>
      </c>
      <c r="AP278">
        <v>46.659599999999998</v>
      </c>
      <c r="AQ278">
        <v>33.693100000000001</v>
      </c>
      <c r="AR278">
        <v>4824.3990000000003</v>
      </c>
      <c r="AS278">
        <v>3786388.1217</v>
      </c>
      <c r="AU278" s="1">
        <f t="shared" si="33"/>
        <v>45555</v>
      </c>
      <c r="AV278" s="29"/>
      <c r="AW278" s="30"/>
    </row>
    <row r="279" spans="1:54" x14ac:dyDescent="0.25">
      <c r="A279" s="37">
        <v>45562</v>
      </c>
      <c r="B279" s="5">
        <v>96.391400000000004</v>
      </c>
      <c r="C279">
        <v>-18.078199999999999</v>
      </c>
      <c r="D279">
        <v>-1.5468</v>
      </c>
      <c r="E279">
        <v>47.131</v>
      </c>
      <c r="F279">
        <v>26.459599999999998</v>
      </c>
      <c r="G279">
        <v>0</v>
      </c>
      <c r="H279">
        <v>1.5656000000000001</v>
      </c>
      <c r="I279">
        <v>-14.365500000000001</v>
      </c>
      <c r="J279">
        <v>2675</v>
      </c>
      <c r="K279">
        <v>10459666.417300001</v>
      </c>
      <c r="M279" s="37">
        <v>45562</v>
      </c>
      <c r="N279" s="5">
        <v>5.5704000000000002</v>
      </c>
      <c r="O279">
        <v>11.5526</v>
      </c>
      <c r="P279">
        <v>0.37080000000000002</v>
      </c>
      <c r="Q279">
        <v>34.975499999999997</v>
      </c>
      <c r="R279">
        <v>1.5548</v>
      </c>
      <c r="S279" t="s">
        <v>33</v>
      </c>
      <c r="T279">
        <v>37.6434</v>
      </c>
      <c r="U279">
        <v>20.911899999999999</v>
      </c>
      <c r="V279">
        <v>2890</v>
      </c>
      <c r="W279">
        <v>3940573.8982000002</v>
      </c>
      <c r="Y279" s="5">
        <v>9.2550000000000008</v>
      </c>
      <c r="Z279">
        <v>15.19</v>
      </c>
      <c r="AA279">
        <v>1.4951000000000001</v>
      </c>
      <c r="AB279">
        <v>3.9281000000000001</v>
      </c>
      <c r="AC279">
        <v>-0.19040000000000001</v>
      </c>
      <c r="AD279" t="s">
        <v>33</v>
      </c>
      <c r="AE279">
        <v>13.3467</v>
      </c>
      <c r="AF279">
        <v>9.1981000000000002</v>
      </c>
      <c r="AG279">
        <v>117.02</v>
      </c>
      <c r="AH279">
        <v>823419.35809999995</v>
      </c>
      <c r="AJ279">
        <v>6.2984</v>
      </c>
      <c r="AK279">
        <v>15.3405</v>
      </c>
      <c r="AL279">
        <v>0.59399999999999997</v>
      </c>
      <c r="AM279">
        <v>23.244299999999999</v>
      </c>
      <c r="AN279">
        <v>-5.8799999999999998E-2</v>
      </c>
      <c r="AO279">
        <v>195.11080000000001</v>
      </c>
      <c r="AP279">
        <v>46.659599999999998</v>
      </c>
      <c r="AQ279">
        <v>33.693100000000001</v>
      </c>
      <c r="AR279">
        <v>4450.34</v>
      </c>
      <c r="AS279">
        <v>3492811.3091000002</v>
      </c>
      <c r="AU279" s="1">
        <f t="shared" si="33"/>
        <v>45562</v>
      </c>
      <c r="AV279" s="29"/>
      <c r="AW279" s="30"/>
    </row>
    <row r="280" spans="1:54" x14ac:dyDescent="0.25">
      <c r="A280" s="37">
        <v>45569</v>
      </c>
      <c r="B280" s="5">
        <v>16.575199999999999</v>
      </c>
      <c r="C280">
        <v>-8.3568999999999996</v>
      </c>
      <c r="D280">
        <v>-0.6401</v>
      </c>
      <c r="E280">
        <v>43.352600000000002</v>
      </c>
      <c r="F280">
        <v>5.5846999999999998</v>
      </c>
      <c r="G280">
        <v>0</v>
      </c>
      <c r="H280">
        <v>7.2625000000000002</v>
      </c>
      <c r="I280">
        <v>-7.1856999999999998</v>
      </c>
      <c r="J280">
        <v>2735</v>
      </c>
      <c r="K280">
        <v>10694275.7575</v>
      </c>
      <c r="M280" s="37">
        <v>45569</v>
      </c>
      <c r="N280" s="5">
        <v>6.2986000000000004</v>
      </c>
      <c r="O280">
        <v>11.093500000000001</v>
      </c>
      <c r="P280">
        <v>0.29459999999999997</v>
      </c>
      <c r="Q280">
        <v>35.133099999999999</v>
      </c>
      <c r="R280">
        <v>0.99719999999999998</v>
      </c>
      <c r="S280" t="s">
        <v>33</v>
      </c>
      <c r="T280">
        <v>36.280700000000003</v>
      </c>
      <c r="U280">
        <v>18.490600000000001</v>
      </c>
      <c r="V280">
        <v>3090</v>
      </c>
      <c r="W280">
        <v>4213277.9742000001</v>
      </c>
      <c r="Y280" s="5">
        <v>27.332699999999999</v>
      </c>
      <c r="Z280">
        <v>-0.873</v>
      </c>
      <c r="AA280">
        <v>0.57720000000000005</v>
      </c>
      <c r="AB280">
        <v>4.2183000000000002</v>
      </c>
      <c r="AC280">
        <v>-0.4904</v>
      </c>
      <c r="AD280" t="s">
        <v>33</v>
      </c>
      <c r="AE280">
        <v>4.4165999999999999</v>
      </c>
      <c r="AF280">
        <v>7.8700000000000006E-2</v>
      </c>
      <c r="AG280">
        <v>119.236</v>
      </c>
      <c r="AH280">
        <v>839014.42169999995</v>
      </c>
      <c r="AJ280">
        <v>5.5168999999999997</v>
      </c>
      <c r="AK280">
        <v>16.827400000000001</v>
      </c>
      <c r="AL280">
        <v>0.48359999999999997</v>
      </c>
      <c r="AM280">
        <v>22.279699999999998</v>
      </c>
      <c r="AN280">
        <v>-0.13950000000000001</v>
      </c>
      <c r="AO280">
        <v>195.11080000000001</v>
      </c>
      <c r="AP280">
        <v>49.9133</v>
      </c>
      <c r="AQ280">
        <v>37.493000000000002</v>
      </c>
      <c r="AR280">
        <v>4622.9830000000002</v>
      </c>
      <c r="AS280">
        <v>3628308.2996</v>
      </c>
      <c r="AU280" s="1">
        <f t="shared" si="33"/>
        <v>45569</v>
      </c>
      <c r="AV280" s="29">
        <f t="shared" ref="AV280:AV343" si="34">+(Y280*AH280+N280*W280+B280*K280+AJ280*AS280)/(K280+W280+AH280)</f>
        <v>15.669894120567172</v>
      </c>
      <c r="AW280" s="30">
        <f t="shared" ref="AW280:AW326" si="35">+(AV280-$AW$1)/$AX$1</f>
        <v>2.5246410497844227</v>
      </c>
      <c r="AX280">
        <f t="shared" ca="1" si="27"/>
        <v>1.6397561724876863</v>
      </c>
      <c r="AY280">
        <f t="shared" ca="1" si="28"/>
        <v>1.483381159641127</v>
      </c>
      <c r="AZ280">
        <f t="shared" ca="1" si="29"/>
        <v>1.3917287038027177</v>
      </c>
      <c r="BA280">
        <f t="shared" ca="1" si="30"/>
        <v>1.1749723622191619</v>
      </c>
      <c r="BB280">
        <f t="shared" ca="1" si="31"/>
        <v>0.49592350949353925</v>
      </c>
    </row>
    <row r="281" spans="1:54" x14ac:dyDescent="0.25">
      <c r="A281" s="37">
        <v>45576</v>
      </c>
      <c r="B281" s="5">
        <v>17.007400000000001</v>
      </c>
      <c r="C281">
        <v>-8.3568999999999996</v>
      </c>
      <c r="D281">
        <v>-0.6401</v>
      </c>
      <c r="E281">
        <v>43.352600000000002</v>
      </c>
      <c r="F281">
        <v>5.5846999999999998</v>
      </c>
      <c r="G281">
        <v>0</v>
      </c>
      <c r="H281">
        <v>7.2625000000000002</v>
      </c>
      <c r="I281">
        <v>-7.1856999999999998</v>
      </c>
      <c r="J281">
        <v>2860</v>
      </c>
      <c r="K281">
        <v>11183045.2162</v>
      </c>
      <c r="M281" s="37">
        <v>45576</v>
      </c>
      <c r="N281" s="5">
        <v>6.1414999999999997</v>
      </c>
      <c r="O281">
        <v>11.093500000000001</v>
      </c>
      <c r="P281">
        <v>0.29459999999999997</v>
      </c>
      <c r="Q281">
        <v>35.133099999999999</v>
      </c>
      <c r="R281">
        <v>0.99719999999999998</v>
      </c>
      <c r="S281" t="s">
        <v>33</v>
      </c>
      <c r="T281">
        <v>36.280700000000003</v>
      </c>
      <c r="U281">
        <v>18.490600000000001</v>
      </c>
      <c r="V281">
        <v>3015</v>
      </c>
      <c r="W281">
        <v>4111013.9457</v>
      </c>
      <c r="Y281" s="5">
        <v>25.898700000000002</v>
      </c>
      <c r="Z281">
        <v>-0.873</v>
      </c>
      <c r="AA281">
        <v>0.57720000000000005</v>
      </c>
      <c r="AB281">
        <v>4.2183000000000002</v>
      </c>
      <c r="AC281">
        <v>-0.4904</v>
      </c>
      <c r="AD281" t="s">
        <v>33</v>
      </c>
      <c r="AE281">
        <v>4.4165999999999999</v>
      </c>
      <c r="AF281">
        <v>7.8700000000000006E-2</v>
      </c>
      <c r="AG281">
        <v>113.03100000000001</v>
      </c>
      <c r="AH281">
        <v>795348.24360000005</v>
      </c>
      <c r="AJ281">
        <v>5.6284000000000001</v>
      </c>
      <c r="AK281">
        <v>16.827400000000001</v>
      </c>
      <c r="AL281">
        <v>0.48359999999999997</v>
      </c>
      <c r="AM281">
        <v>22.279699999999998</v>
      </c>
      <c r="AN281">
        <v>-0.13950000000000001</v>
      </c>
      <c r="AO281">
        <v>195.11080000000001</v>
      </c>
      <c r="AP281">
        <v>49.9133</v>
      </c>
      <c r="AQ281">
        <v>37.493000000000002</v>
      </c>
      <c r="AR281">
        <v>4714.0990000000002</v>
      </c>
      <c r="AS281">
        <v>3699820.6000999999</v>
      </c>
      <c r="AU281" s="1">
        <f t="shared" si="33"/>
        <v>45576</v>
      </c>
      <c r="AV281" s="29">
        <f t="shared" si="34"/>
        <v>15.964843496463143</v>
      </c>
      <c r="AW281" s="30">
        <f t="shared" si="35"/>
        <v>2.6161035217865249</v>
      </c>
      <c r="AX281">
        <f t="shared" ca="1" si="27"/>
        <v>1.6600469670124673</v>
      </c>
      <c r="AY281">
        <f t="shared" ca="1" si="28"/>
        <v>1.5007630905587765</v>
      </c>
      <c r="AZ281">
        <f t="shared" ca="1" si="29"/>
        <v>1.4024270658513271</v>
      </c>
      <c r="BA281">
        <f t="shared" ca="1" si="30"/>
        <v>1.2903605394304611</v>
      </c>
      <c r="BB281">
        <f t="shared" ca="1" si="31"/>
        <v>0.49592350949353925</v>
      </c>
    </row>
    <row r="282" spans="1:54" x14ac:dyDescent="0.25">
      <c r="A282" s="37">
        <v>45583</v>
      </c>
      <c r="B282" s="5">
        <v>17.4742</v>
      </c>
      <c r="C282">
        <v>-8.3568999999999996</v>
      </c>
      <c r="D282">
        <v>-0.6401</v>
      </c>
      <c r="E282">
        <v>43.352600000000002</v>
      </c>
      <c r="F282">
        <v>5.5846999999999998</v>
      </c>
      <c r="G282">
        <v>0</v>
      </c>
      <c r="H282">
        <v>7.2625000000000002</v>
      </c>
      <c r="I282">
        <v>-7.1856999999999998</v>
      </c>
      <c r="J282">
        <v>2995</v>
      </c>
      <c r="K282">
        <v>11710916.2316</v>
      </c>
      <c r="M282" s="37">
        <v>45583</v>
      </c>
      <c r="N282" s="5">
        <v>6.5244999999999997</v>
      </c>
      <c r="O282">
        <v>11.093500000000001</v>
      </c>
      <c r="P282">
        <v>0.29459999999999997</v>
      </c>
      <c r="Q282">
        <v>35.133099999999999</v>
      </c>
      <c r="R282">
        <v>0.99719999999999998</v>
      </c>
      <c r="S282" t="s">
        <v>33</v>
      </c>
      <c r="T282">
        <v>36.280700000000003</v>
      </c>
      <c r="U282">
        <v>18.490600000000001</v>
      </c>
      <c r="V282">
        <v>3250</v>
      </c>
      <c r="W282">
        <v>4431441.2350000003</v>
      </c>
      <c r="Y282" s="5">
        <v>24.9</v>
      </c>
      <c r="Z282">
        <v>-0.873</v>
      </c>
      <c r="AA282">
        <v>0.57720000000000005</v>
      </c>
      <c r="AB282">
        <v>4.2183000000000002</v>
      </c>
      <c r="AC282">
        <v>-0.4904</v>
      </c>
      <c r="AD282" t="s">
        <v>33</v>
      </c>
      <c r="AE282">
        <v>4.4165999999999999</v>
      </c>
      <c r="AF282">
        <v>7.8700000000000006E-2</v>
      </c>
      <c r="AG282">
        <v>108.709</v>
      </c>
      <c r="AH282">
        <v>764937.86959999998</v>
      </c>
      <c r="AJ282">
        <v>5.7751000000000001</v>
      </c>
      <c r="AK282">
        <v>16.827400000000001</v>
      </c>
      <c r="AL282">
        <v>0.48359999999999997</v>
      </c>
      <c r="AM282">
        <v>22.279699999999998</v>
      </c>
      <c r="AN282">
        <v>-0.13950000000000001</v>
      </c>
      <c r="AO282">
        <v>195.11080000000001</v>
      </c>
      <c r="AP282">
        <v>49.9133</v>
      </c>
      <c r="AQ282">
        <v>37.493000000000002</v>
      </c>
      <c r="AR282">
        <v>4833.99</v>
      </c>
      <c r="AS282">
        <v>3793915.7322999998</v>
      </c>
      <c r="AU282" s="1">
        <f t="shared" si="33"/>
        <v>45583</v>
      </c>
      <c r="AV282" s="29">
        <f t="shared" si="34"/>
        <v>16.236128901284406</v>
      </c>
      <c r="AW282" s="30">
        <f t="shared" si="35"/>
        <v>2.7002279030220193</v>
      </c>
      <c r="AX282">
        <f t="shared" ca="1" si="27"/>
        <v>1.8007634754511157</v>
      </c>
      <c r="AY282">
        <f t="shared" ca="1" si="28"/>
        <v>1.6296231160023167</v>
      </c>
      <c r="AZ282">
        <f t="shared" ca="1" si="29"/>
        <v>1.4076506986418513</v>
      </c>
      <c r="BA282">
        <f t="shared" ca="1" si="30"/>
        <v>1.2905217052706661</v>
      </c>
      <c r="BB282">
        <f t="shared" ca="1" si="31"/>
        <v>0.49592350949353925</v>
      </c>
    </row>
    <row r="283" spans="1:54" x14ac:dyDescent="0.25">
      <c r="A283" s="37">
        <v>45590</v>
      </c>
      <c r="B283" s="5">
        <v>17.4742</v>
      </c>
      <c r="C283">
        <v>-8.3568999999999996</v>
      </c>
      <c r="D283">
        <v>-0.6401</v>
      </c>
      <c r="E283">
        <v>43.352600000000002</v>
      </c>
      <c r="F283">
        <v>5.5846999999999998</v>
      </c>
      <c r="G283">
        <v>0</v>
      </c>
      <c r="H283">
        <v>7.2625000000000002</v>
      </c>
      <c r="I283">
        <v>-7.1856999999999998</v>
      </c>
      <c r="J283">
        <v>2995</v>
      </c>
      <c r="K283">
        <v>11710916.2316</v>
      </c>
      <c r="M283" s="37">
        <v>45590</v>
      </c>
      <c r="N283" s="5">
        <v>6.4089999999999998</v>
      </c>
      <c r="O283">
        <v>11.093500000000001</v>
      </c>
      <c r="P283">
        <v>0.29459999999999997</v>
      </c>
      <c r="Q283">
        <v>35.133099999999999</v>
      </c>
      <c r="R283">
        <v>0.99719999999999998</v>
      </c>
      <c r="S283" t="s">
        <v>33</v>
      </c>
      <c r="T283">
        <v>36.280700000000003</v>
      </c>
      <c r="U283">
        <v>18.490600000000001</v>
      </c>
      <c r="V283">
        <v>3200</v>
      </c>
      <c r="W283">
        <v>4363265.216</v>
      </c>
      <c r="Y283" s="5">
        <v>25.540199999999999</v>
      </c>
      <c r="Z283">
        <v>-0.873</v>
      </c>
      <c r="AA283">
        <v>0.57720000000000005</v>
      </c>
      <c r="AB283">
        <v>4.2183000000000002</v>
      </c>
      <c r="AC283">
        <v>-0.4904</v>
      </c>
      <c r="AD283" t="s">
        <v>33</v>
      </c>
      <c r="AE283">
        <v>4.4165999999999999</v>
      </c>
      <c r="AF283">
        <v>7.8700000000000006E-2</v>
      </c>
      <c r="AG283">
        <v>111.479</v>
      </c>
      <c r="AH283">
        <v>784431.69909999997</v>
      </c>
      <c r="AJ283">
        <v>5.9512</v>
      </c>
      <c r="AK283">
        <v>16.827400000000001</v>
      </c>
      <c r="AL283">
        <v>0.48359999999999997</v>
      </c>
      <c r="AM283">
        <v>22.279699999999998</v>
      </c>
      <c r="AN283">
        <v>-0.13950000000000001</v>
      </c>
      <c r="AO283">
        <v>195.11080000000001</v>
      </c>
      <c r="AP283">
        <v>49.9133</v>
      </c>
      <c r="AQ283">
        <v>37.493000000000002</v>
      </c>
      <c r="AR283">
        <v>4977.8590000000004</v>
      </c>
      <c r="AS283">
        <v>3906829.8909999998</v>
      </c>
      <c r="AU283" s="1">
        <f t="shared" si="33"/>
        <v>45590</v>
      </c>
      <c r="AV283" s="29">
        <f t="shared" si="34"/>
        <v>16.364805652251746</v>
      </c>
      <c r="AW283" s="30">
        <f t="shared" si="35"/>
        <v>2.7401299834957302</v>
      </c>
      <c r="AX283">
        <f t="shared" ca="1" si="27"/>
        <v>2.2693537605809273</v>
      </c>
      <c r="AY283">
        <f t="shared" ca="1" si="28"/>
        <v>1.6368318139670612</v>
      </c>
      <c r="AZ283">
        <f t="shared" ca="1" si="29"/>
        <v>1.4554056573777916</v>
      </c>
      <c r="BA283">
        <f t="shared" ca="1" si="30"/>
        <v>1.3377597798006289</v>
      </c>
      <c r="BB283">
        <f t="shared" ca="1" si="31"/>
        <v>0.49592350949353925</v>
      </c>
    </row>
    <row r="284" spans="1:54" x14ac:dyDescent="0.25">
      <c r="A284" s="37">
        <v>45597</v>
      </c>
      <c r="B284" s="5">
        <v>17.413699999999999</v>
      </c>
      <c r="C284">
        <v>-8.3568999999999996</v>
      </c>
      <c r="D284">
        <v>-0.6401</v>
      </c>
      <c r="E284">
        <v>43.352600000000002</v>
      </c>
      <c r="F284">
        <v>5.5846999999999998</v>
      </c>
      <c r="G284">
        <v>0</v>
      </c>
      <c r="H284">
        <v>7.2625000000000002</v>
      </c>
      <c r="I284">
        <v>-7.1856999999999998</v>
      </c>
      <c r="J284">
        <v>2977.5</v>
      </c>
      <c r="K284">
        <v>11642488.5074</v>
      </c>
      <c r="M284" s="37">
        <v>45597</v>
      </c>
      <c r="N284" s="5">
        <v>6.2404000000000002</v>
      </c>
      <c r="O284">
        <v>11.093500000000001</v>
      </c>
      <c r="P284">
        <v>0.29459999999999997</v>
      </c>
      <c r="Q284">
        <v>35.133099999999999</v>
      </c>
      <c r="R284">
        <v>0.99719999999999998</v>
      </c>
      <c r="S284" t="s">
        <v>33</v>
      </c>
      <c r="T284">
        <v>36.280700000000003</v>
      </c>
      <c r="U284">
        <v>18.490600000000001</v>
      </c>
      <c r="V284">
        <v>3125</v>
      </c>
      <c r="W284">
        <v>4261001.1875</v>
      </c>
      <c r="Y284" s="5">
        <v>25.104800000000001</v>
      </c>
      <c r="Z284">
        <v>-0.873</v>
      </c>
      <c r="AA284">
        <v>0.57720000000000005</v>
      </c>
      <c r="AB284">
        <v>4.2183000000000002</v>
      </c>
      <c r="AC284">
        <v>-0.4904</v>
      </c>
      <c r="AD284" t="s">
        <v>33</v>
      </c>
      <c r="AE284">
        <v>4.4165999999999999</v>
      </c>
      <c r="AF284">
        <v>7.8700000000000006E-2</v>
      </c>
      <c r="AG284">
        <v>109.596</v>
      </c>
      <c r="AH284">
        <v>771175.89500000002</v>
      </c>
      <c r="AJ284">
        <v>6.0803000000000003</v>
      </c>
      <c r="AK284">
        <v>16.827400000000001</v>
      </c>
      <c r="AL284">
        <v>0.48359999999999997</v>
      </c>
      <c r="AM284">
        <v>22.279699999999998</v>
      </c>
      <c r="AN284">
        <v>-0.13950000000000001</v>
      </c>
      <c r="AO284">
        <v>195.11080000000001</v>
      </c>
      <c r="AP284">
        <v>49.9133</v>
      </c>
      <c r="AQ284">
        <v>37.493000000000002</v>
      </c>
      <c r="AR284">
        <v>5083.3630000000003</v>
      </c>
      <c r="AS284">
        <v>3989633.6074000001</v>
      </c>
      <c r="AU284" s="1">
        <f t="shared" si="33"/>
        <v>45597</v>
      </c>
      <c r="AV284" s="29">
        <f t="shared" si="34"/>
        <v>16.368996325118712</v>
      </c>
      <c r="AW284" s="30">
        <f t="shared" si="35"/>
        <v>2.7414294922626179</v>
      </c>
      <c r="AX284">
        <f t="shared" ca="1" si="27"/>
        <v>2.5795185329856842</v>
      </c>
      <c r="AY284">
        <f t="shared" ca="1" si="28"/>
        <v>1.6417057448347698</v>
      </c>
      <c r="AZ284">
        <f t="shared" ca="1" si="29"/>
        <v>1.4635103267075436</v>
      </c>
      <c r="BA284">
        <f t="shared" ca="1" si="30"/>
        <v>1.3481931446802253</v>
      </c>
      <c r="BB284">
        <f t="shared" ca="1" si="31"/>
        <v>0.80219295074825203</v>
      </c>
    </row>
    <row r="285" spans="1:54" x14ac:dyDescent="0.25">
      <c r="A285" s="37">
        <v>45604</v>
      </c>
      <c r="B285" s="5">
        <v>18.7622</v>
      </c>
      <c r="C285">
        <v>-8.3568999999999996</v>
      </c>
      <c r="D285">
        <v>-0.6401</v>
      </c>
      <c r="E285">
        <v>43.352600000000002</v>
      </c>
      <c r="F285">
        <v>5.5846999999999998</v>
      </c>
      <c r="G285">
        <v>0</v>
      </c>
      <c r="H285">
        <v>7.2625000000000002</v>
      </c>
      <c r="I285">
        <v>-7.1856999999999998</v>
      </c>
      <c r="J285">
        <v>3367.5</v>
      </c>
      <c r="K285">
        <v>13167449.218699999</v>
      </c>
      <c r="M285" s="37">
        <v>45604</v>
      </c>
      <c r="N285" s="5">
        <v>6.4303999999999997</v>
      </c>
      <c r="O285">
        <v>11.093500000000001</v>
      </c>
      <c r="P285">
        <v>0.29459999999999997</v>
      </c>
      <c r="Q285">
        <v>35.133099999999999</v>
      </c>
      <c r="R285">
        <v>0.99719999999999998</v>
      </c>
      <c r="S285" t="s">
        <v>33</v>
      </c>
      <c r="T285">
        <v>36.280700000000003</v>
      </c>
      <c r="U285">
        <v>18.490600000000001</v>
      </c>
      <c r="V285">
        <v>3245</v>
      </c>
      <c r="W285">
        <v>4424623.6331000002</v>
      </c>
      <c r="Y285" s="5">
        <v>26.871700000000001</v>
      </c>
      <c r="Z285">
        <v>-0.873</v>
      </c>
      <c r="AA285">
        <v>0.57720000000000005</v>
      </c>
      <c r="AB285">
        <v>4.2183000000000002</v>
      </c>
      <c r="AC285">
        <v>-0.4904</v>
      </c>
      <c r="AD285" t="s">
        <v>33</v>
      </c>
      <c r="AE285">
        <v>4.4165999999999999</v>
      </c>
      <c r="AF285">
        <v>7.8700000000000006E-2</v>
      </c>
      <c r="AG285">
        <v>117.242</v>
      </c>
      <c r="AH285">
        <v>824978.86439999996</v>
      </c>
      <c r="AJ285">
        <v>6.1976000000000004</v>
      </c>
      <c r="AK285">
        <v>16.827400000000001</v>
      </c>
      <c r="AL285">
        <v>0.48359999999999997</v>
      </c>
      <c r="AM285">
        <v>22.279699999999998</v>
      </c>
      <c r="AN285">
        <v>-0.13950000000000001</v>
      </c>
      <c r="AO285">
        <v>195.11080000000001</v>
      </c>
      <c r="AP285">
        <v>49.9133</v>
      </c>
      <c r="AQ285">
        <v>37.493000000000002</v>
      </c>
      <c r="AR285">
        <v>5179.2749999999996</v>
      </c>
      <c r="AS285">
        <v>4064909.7132000001</v>
      </c>
      <c r="AU285" s="1">
        <f t="shared" si="33"/>
        <v>45604</v>
      </c>
      <c r="AV285" s="29">
        <f t="shared" si="34"/>
        <v>17.530693267609603</v>
      </c>
      <c r="AW285" s="30">
        <f t="shared" si="35"/>
        <v>3.101666477863076</v>
      </c>
      <c r="AX285">
        <f t="shared" ca="1" si="27"/>
        <v>2.6665781505278217</v>
      </c>
      <c r="AY285">
        <f t="shared" ca="1" si="28"/>
        <v>1.6722744484642658</v>
      </c>
      <c r="AZ285">
        <f t="shared" ca="1" si="29"/>
        <v>1.4738410820822192</v>
      </c>
      <c r="BA285">
        <f t="shared" ca="1" si="30"/>
        <v>1.3656350727528719</v>
      </c>
      <c r="BB285">
        <f t="shared" ca="1" si="31"/>
        <v>1.2904250057665432</v>
      </c>
    </row>
    <row r="286" spans="1:54" x14ac:dyDescent="0.25">
      <c r="A286" s="37">
        <v>45611</v>
      </c>
      <c r="B286" s="5">
        <v>19.747699999999998</v>
      </c>
      <c r="C286">
        <v>-8.3568999999999996</v>
      </c>
      <c r="D286">
        <v>-0.6401</v>
      </c>
      <c r="E286">
        <v>43.352600000000002</v>
      </c>
      <c r="F286">
        <v>5.5846999999999998</v>
      </c>
      <c r="G286">
        <v>0</v>
      </c>
      <c r="H286">
        <v>7.2625000000000002</v>
      </c>
      <c r="I286">
        <v>-7.1856999999999998</v>
      </c>
      <c r="J286">
        <v>3652.5</v>
      </c>
      <c r="K286">
        <v>14281843.5847</v>
      </c>
      <c r="M286" s="37">
        <v>45611</v>
      </c>
      <c r="N286" s="5">
        <v>6.6994999999999996</v>
      </c>
      <c r="O286">
        <v>11.093500000000001</v>
      </c>
      <c r="P286">
        <v>0.29459999999999997</v>
      </c>
      <c r="Q286">
        <v>35.133099999999999</v>
      </c>
      <c r="R286">
        <v>0.99719999999999998</v>
      </c>
      <c r="S286" t="s">
        <v>33</v>
      </c>
      <c r="T286">
        <v>36.280700000000003</v>
      </c>
      <c r="U286">
        <v>18.490600000000001</v>
      </c>
      <c r="V286">
        <v>3415</v>
      </c>
      <c r="W286">
        <v>4656422.0976999998</v>
      </c>
      <c r="Y286" s="5">
        <v>25.796199999999999</v>
      </c>
      <c r="Z286">
        <v>-0.873</v>
      </c>
      <c r="AA286">
        <v>0.57720000000000005</v>
      </c>
      <c r="AB286">
        <v>4.2183000000000002</v>
      </c>
      <c r="AC286">
        <v>-0.4904</v>
      </c>
      <c r="AD286" t="s">
        <v>33</v>
      </c>
      <c r="AE286">
        <v>4.4165999999999999</v>
      </c>
      <c r="AF286">
        <v>7.8700000000000006E-2</v>
      </c>
      <c r="AG286">
        <v>112.58799999999999</v>
      </c>
      <c r="AH286">
        <v>792229.23089999997</v>
      </c>
      <c r="AJ286">
        <v>7.0308000000000002</v>
      </c>
      <c r="AK286">
        <v>16.827400000000001</v>
      </c>
      <c r="AL286">
        <v>0.48359999999999997</v>
      </c>
      <c r="AM286">
        <v>22.279699999999998</v>
      </c>
      <c r="AN286">
        <v>-0.13950000000000001</v>
      </c>
      <c r="AO286">
        <v>195.11080000000001</v>
      </c>
      <c r="AP286">
        <v>49.9133</v>
      </c>
      <c r="AQ286">
        <v>37.493000000000002</v>
      </c>
      <c r="AR286">
        <v>5860.2539999999999</v>
      </c>
      <c r="AS286">
        <v>4599370.0643999996</v>
      </c>
      <c r="AU286" s="1">
        <f t="shared" si="33"/>
        <v>45611</v>
      </c>
      <c r="AV286" s="29">
        <f t="shared" si="34"/>
        <v>18.550118420462471</v>
      </c>
      <c r="AW286" s="30">
        <f t="shared" si="35"/>
        <v>3.4177856227767101</v>
      </c>
      <c r="AX286">
        <f t="shared" ca="1" si="27"/>
        <v>2.724169151306246</v>
      </c>
      <c r="AY286">
        <f t="shared" ca="1" si="28"/>
        <v>1.8864228267756817</v>
      </c>
      <c r="AZ286">
        <f t="shared" ca="1" si="29"/>
        <v>1.483381159641127</v>
      </c>
      <c r="BA286">
        <f t="shared" ca="1" si="30"/>
        <v>1.3917287038027177</v>
      </c>
      <c r="BB286">
        <f t="shared" ca="1" si="31"/>
        <v>1.3094169350826512</v>
      </c>
    </row>
    <row r="287" spans="1:54" x14ac:dyDescent="0.25">
      <c r="A287" s="37">
        <v>45618</v>
      </c>
      <c r="B287" s="5">
        <v>22.686699999999998</v>
      </c>
      <c r="C287">
        <v>-8.3568999999999996</v>
      </c>
      <c r="D287">
        <v>-0.6401</v>
      </c>
      <c r="E287">
        <v>43.352600000000002</v>
      </c>
      <c r="F287">
        <v>5.5846999999999998</v>
      </c>
      <c r="G287">
        <v>0</v>
      </c>
      <c r="H287">
        <v>7.2625000000000002</v>
      </c>
      <c r="I287">
        <v>-7.1856999999999998</v>
      </c>
      <c r="J287">
        <v>4502.5</v>
      </c>
      <c r="K287">
        <v>17605475.904199999</v>
      </c>
      <c r="M287" s="37">
        <v>45618</v>
      </c>
      <c r="N287" s="5">
        <v>7.2115999999999998</v>
      </c>
      <c r="O287">
        <v>11.093500000000001</v>
      </c>
      <c r="P287">
        <v>0.29459999999999997</v>
      </c>
      <c r="Q287">
        <v>35.133099999999999</v>
      </c>
      <c r="R287">
        <v>0.99719999999999998</v>
      </c>
      <c r="S287" t="s">
        <v>33</v>
      </c>
      <c r="T287">
        <v>36.280700000000003</v>
      </c>
      <c r="U287">
        <v>18.490600000000001</v>
      </c>
      <c r="V287">
        <v>3730</v>
      </c>
      <c r="W287">
        <v>5085931.0174000002</v>
      </c>
      <c r="Y287" s="5">
        <v>26.820499999999999</v>
      </c>
      <c r="Z287">
        <v>-0.873</v>
      </c>
      <c r="AA287">
        <v>0.57720000000000005</v>
      </c>
      <c r="AB287">
        <v>4.2183000000000002</v>
      </c>
      <c r="AC287">
        <v>-0.4904</v>
      </c>
      <c r="AD287" t="s">
        <v>33</v>
      </c>
      <c r="AE287">
        <v>4.4165999999999999</v>
      </c>
      <c r="AF287">
        <v>7.8700000000000006E-2</v>
      </c>
      <c r="AG287">
        <v>117.02</v>
      </c>
      <c r="AH287">
        <v>823419.35809999995</v>
      </c>
      <c r="AJ287">
        <v>7.5823999999999998</v>
      </c>
      <c r="AK287">
        <v>16.827400000000001</v>
      </c>
      <c r="AL287">
        <v>0.48359999999999997</v>
      </c>
      <c r="AM287">
        <v>22.279699999999998</v>
      </c>
      <c r="AN287">
        <v>-0.13950000000000001</v>
      </c>
      <c r="AO287">
        <v>195.11080000000001</v>
      </c>
      <c r="AP287">
        <v>49.9133</v>
      </c>
      <c r="AQ287">
        <v>37.493000000000002</v>
      </c>
      <c r="AR287">
        <v>6311.0429999999997</v>
      </c>
      <c r="AS287">
        <v>4953167.7615999999</v>
      </c>
      <c r="AU287" s="1">
        <f t="shared" si="33"/>
        <v>45618</v>
      </c>
      <c r="AV287" s="29">
        <f t="shared" si="34"/>
        <v>21.081562013423355</v>
      </c>
      <c r="AW287" s="30">
        <f t="shared" si="35"/>
        <v>4.2027748706527515</v>
      </c>
      <c r="AX287">
        <f t="shared" ca="1" si="27"/>
        <v>2.7409096887558628</v>
      </c>
      <c r="AY287">
        <f t="shared" ca="1" si="28"/>
        <v>2.5246410497844227</v>
      </c>
      <c r="AZ287">
        <f t="shared" ca="1" si="29"/>
        <v>1.5007630905587765</v>
      </c>
      <c r="BA287">
        <f t="shared" ca="1" si="30"/>
        <v>1.4024270658513271</v>
      </c>
      <c r="BB287">
        <f t="shared" ca="1" si="31"/>
        <v>1.3419331257524674</v>
      </c>
    </row>
    <row r="288" spans="1:54" x14ac:dyDescent="0.25">
      <c r="A288" s="37">
        <v>45625</v>
      </c>
      <c r="B288" s="5">
        <v>22.738600000000002</v>
      </c>
      <c r="C288">
        <v>-8.3568999999999996</v>
      </c>
      <c r="D288">
        <v>-0.6401</v>
      </c>
      <c r="E288">
        <v>43.352600000000002</v>
      </c>
      <c r="F288">
        <v>5.5846999999999998</v>
      </c>
      <c r="G288">
        <v>0</v>
      </c>
      <c r="H288">
        <v>7.2625000000000002</v>
      </c>
      <c r="I288">
        <v>-7.1856999999999998</v>
      </c>
      <c r="J288">
        <v>4517.5</v>
      </c>
      <c r="K288">
        <v>17664128.2392</v>
      </c>
      <c r="M288" s="37">
        <v>45625</v>
      </c>
      <c r="N288" s="5">
        <v>7.3846999999999996</v>
      </c>
      <c r="O288">
        <v>11.093500000000001</v>
      </c>
      <c r="P288">
        <v>0.29459999999999997</v>
      </c>
      <c r="Q288">
        <v>35.133099999999999</v>
      </c>
      <c r="R288">
        <v>0.99719999999999998</v>
      </c>
      <c r="S288" t="s">
        <v>33</v>
      </c>
      <c r="T288">
        <v>36.280700000000003</v>
      </c>
      <c r="U288">
        <v>18.490600000000001</v>
      </c>
      <c r="V288">
        <v>3855</v>
      </c>
      <c r="W288">
        <v>5256371.0648999996</v>
      </c>
      <c r="Y288" s="5">
        <v>24.720700000000001</v>
      </c>
      <c r="Z288">
        <v>-0.873</v>
      </c>
      <c r="AA288">
        <v>0.57720000000000005</v>
      </c>
      <c r="AB288">
        <v>4.2183000000000002</v>
      </c>
      <c r="AC288">
        <v>-0.4904</v>
      </c>
      <c r="AD288" t="s">
        <v>33</v>
      </c>
      <c r="AE288">
        <v>4.4165999999999999</v>
      </c>
      <c r="AF288">
        <v>7.8700000000000006E-2</v>
      </c>
      <c r="AG288">
        <v>107.93300000000001</v>
      </c>
      <c r="AH288">
        <v>759479.59730000002</v>
      </c>
      <c r="AJ288">
        <v>7.6059000000000001</v>
      </c>
      <c r="AK288">
        <v>16.827400000000001</v>
      </c>
      <c r="AL288">
        <v>0.48359999999999997</v>
      </c>
      <c r="AM288">
        <v>22.279699999999998</v>
      </c>
      <c r="AN288">
        <v>-0.13950000000000001</v>
      </c>
      <c r="AO288">
        <v>195.11080000000001</v>
      </c>
      <c r="AP288">
        <v>49.9133</v>
      </c>
      <c r="AQ288">
        <v>37.493000000000002</v>
      </c>
      <c r="AR288">
        <v>6330.2250000000004</v>
      </c>
      <c r="AS288">
        <v>4968222.9828000003</v>
      </c>
      <c r="AU288" s="1">
        <f t="shared" si="33"/>
        <v>45625</v>
      </c>
      <c r="AV288" s="29">
        <f t="shared" si="34"/>
        <v>20.989754522936131</v>
      </c>
      <c r="AW288" s="30">
        <f t="shared" si="35"/>
        <v>4.1743057816683677</v>
      </c>
      <c r="AX288">
        <f t="shared" ca="1" si="27"/>
        <v>2.9575716836228931</v>
      </c>
      <c r="AY288">
        <f t="shared" ca="1" si="28"/>
        <v>2.6161035217865249</v>
      </c>
      <c r="AZ288">
        <f t="shared" ca="1" si="29"/>
        <v>1.5007630905587765</v>
      </c>
      <c r="BA288">
        <f t="shared" ca="1" si="30"/>
        <v>1.4024270658513271</v>
      </c>
      <c r="BB288">
        <f t="shared" ca="1" si="31"/>
        <v>1.3419331257524674</v>
      </c>
    </row>
    <row r="289" spans="1:54" x14ac:dyDescent="0.25">
      <c r="A289" s="37">
        <v>45632</v>
      </c>
      <c r="B289" s="5">
        <v>21.692599999999999</v>
      </c>
      <c r="C289">
        <v>-8.3568999999999996</v>
      </c>
      <c r="D289">
        <v>-0.6401</v>
      </c>
      <c r="E289">
        <v>43.352600000000002</v>
      </c>
      <c r="F289">
        <v>5.5846999999999998</v>
      </c>
      <c r="G289">
        <v>0</v>
      </c>
      <c r="H289">
        <v>7.2625000000000002</v>
      </c>
      <c r="I289">
        <v>-7.1856999999999998</v>
      </c>
      <c r="J289">
        <v>4215</v>
      </c>
      <c r="K289">
        <v>16481306.1491</v>
      </c>
      <c r="M289" s="37">
        <v>45632</v>
      </c>
      <c r="N289" s="5">
        <v>7.1506999999999996</v>
      </c>
      <c r="O289">
        <v>11.093500000000001</v>
      </c>
      <c r="P289">
        <v>0.29459999999999997</v>
      </c>
      <c r="Q289">
        <v>35.133099999999999</v>
      </c>
      <c r="R289">
        <v>0.99719999999999998</v>
      </c>
      <c r="S289" t="s">
        <v>33</v>
      </c>
      <c r="T289">
        <v>36.280700000000003</v>
      </c>
      <c r="U289">
        <v>18.490600000000001</v>
      </c>
      <c r="V289">
        <v>3730</v>
      </c>
      <c r="W289">
        <v>5085931.0174000002</v>
      </c>
      <c r="Y289" s="5">
        <v>22.953800000000001</v>
      </c>
      <c r="Z289">
        <v>-0.873</v>
      </c>
      <c r="AA289">
        <v>0.57720000000000005</v>
      </c>
      <c r="AB289">
        <v>4.2183000000000002</v>
      </c>
      <c r="AC289">
        <v>-0.4904</v>
      </c>
      <c r="AD289" t="s">
        <v>33</v>
      </c>
      <c r="AE289">
        <v>4.4165999999999999</v>
      </c>
      <c r="AF289">
        <v>7.8700000000000006E-2</v>
      </c>
      <c r="AG289">
        <v>100.28700000000001</v>
      </c>
      <c r="AH289">
        <v>705676.62789999996</v>
      </c>
      <c r="AJ289">
        <v>7.0073999999999996</v>
      </c>
      <c r="AK289">
        <v>16.827400000000001</v>
      </c>
      <c r="AL289">
        <v>0.48359999999999997</v>
      </c>
      <c r="AM289">
        <v>22.279699999999998</v>
      </c>
      <c r="AN289">
        <v>-0.13950000000000001</v>
      </c>
      <c r="AO289">
        <v>195.11080000000001</v>
      </c>
      <c r="AP289">
        <v>49.9133</v>
      </c>
      <c r="AQ289">
        <v>37.493000000000002</v>
      </c>
      <c r="AR289">
        <v>5841.0709999999999</v>
      </c>
      <c r="AS289">
        <v>4584314.8432</v>
      </c>
      <c r="AU289" s="1">
        <f t="shared" si="33"/>
        <v>45632</v>
      </c>
      <c r="AV289" s="29">
        <f t="shared" si="34"/>
        <v>19.854269665471584</v>
      </c>
      <c r="AW289" s="30">
        <f t="shared" si="35"/>
        <v>3.8221970454854781</v>
      </c>
      <c r="AX289">
        <f t="shared" ca="1" si="27"/>
        <v>3.2913379648112571</v>
      </c>
      <c r="AY289">
        <f t="shared" ca="1" si="28"/>
        <v>2.7002279030220193</v>
      </c>
      <c r="AZ289">
        <f t="shared" ca="1" si="29"/>
        <v>1.6296231160023167</v>
      </c>
      <c r="BA289">
        <f t="shared" ca="1" si="30"/>
        <v>1.4076506986418513</v>
      </c>
      <c r="BB289">
        <f t="shared" ca="1" si="31"/>
        <v>1.3419331257524674</v>
      </c>
    </row>
    <row r="290" spans="1:54" x14ac:dyDescent="0.25">
      <c r="A290" s="37">
        <v>45639</v>
      </c>
      <c r="B290" s="5">
        <v>23.896899999999999</v>
      </c>
      <c r="C290">
        <v>-8.3568999999999996</v>
      </c>
      <c r="D290">
        <v>-0.6401</v>
      </c>
      <c r="E290">
        <v>43.352600000000002</v>
      </c>
      <c r="F290">
        <v>5.5846999999999998</v>
      </c>
      <c r="G290">
        <v>0</v>
      </c>
      <c r="H290">
        <v>7.2625000000000002</v>
      </c>
      <c r="I290">
        <v>-7.1856999999999998</v>
      </c>
      <c r="J290">
        <v>4852.5</v>
      </c>
      <c r="K290">
        <v>18974030.388700001</v>
      </c>
      <c r="M290" s="37">
        <v>45639</v>
      </c>
      <c r="N290" s="5">
        <v>7.3897000000000004</v>
      </c>
      <c r="O290">
        <v>11.093500000000001</v>
      </c>
      <c r="P290">
        <v>0.29459999999999997</v>
      </c>
      <c r="Q290">
        <v>35.133099999999999</v>
      </c>
      <c r="R290">
        <v>0.99719999999999998</v>
      </c>
      <c r="S290" t="s">
        <v>33</v>
      </c>
      <c r="T290">
        <v>36.280700000000003</v>
      </c>
      <c r="U290">
        <v>18.490600000000001</v>
      </c>
      <c r="V290">
        <v>3890</v>
      </c>
      <c r="W290">
        <v>5304094.2781999996</v>
      </c>
      <c r="Y290" s="5">
        <v>24.925599999999999</v>
      </c>
      <c r="Z290">
        <v>-0.873</v>
      </c>
      <c r="AA290">
        <v>0.57720000000000005</v>
      </c>
      <c r="AB290">
        <v>4.2183000000000002</v>
      </c>
      <c r="AC290">
        <v>-0.4904</v>
      </c>
      <c r="AD290" t="s">
        <v>33</v>
      </c>
      <c r="AE290">
        <v>4.4165999999999999</v>
      </c>
      <c r="AF290">
        <v>7.8700000000000006E-2</v>
      </c>
      <c r="AG290">
        <v>108.82</v>
      </c>
      <c r="AH290">
        <v>765717.62280000001</v>
      </c>
      <c r="AJ290">
        <v>7.4767999999999999</v>
      </c>
      <c r="AK290">
        <v>16.827400000000001</v>
      </c>
      <c r="AL290">
        <v>0.48359999999999997</v>
      </c>
      <c r="AM290">
        <v>22.279699999999998</v>
      </c>
      <c r="AN290">
        <v>-0.13950000000000001</v>
      </c>
      <c r="AO290">
        <v>195.11080000000001</v>
      </c>
      <c r="AP290">
        <v>49.9133</v>
      </c>
      <c r="AQ290">
        <v>37.493000000000002</v>
      </c>
      <c r="AR290">
        <v>6224.7209999999995</v>
      </c>
      <c r="AS290">
        <v>4885419.2664000001</v>
      </c>
      <c r="AU290" s="1">
        <f t="shared" si="33"/>
        <v>45639</v>
      </c>
      <c r="AV290" s="29">
        <f t="shared" si="34"/>
        <v>21.89078815828104</v>
      </c>
      <c r="AW290" s="30">
        <f t="shared" si="35"/>
        <v>4.4537122506440898</v>
      </c>
      <c r="AX290">
        <f t="shared" ca="1" si="27"/>
        <v>3.6604324764019713</v>
      </c>
      <c r="AY290">
        <f t="shared" ca="1" si="28"/>
        <v>2.7401299834957302</v>
      </c>
      <c r="AZ290">
        <f t="shared" ca="1" si="29"/>
        <v>1.6368318139670612</v>
      </c>
      <c r="BA290">
        <f t="shared" ca="1" si="30"/>
        <v>1.4076506986418513</v>
      </c>
      <c r="BB290">
        <f t="shared" ca="1" si="31"/>
        <v>1.3419331257524674</v>
      </c>
    </row>
    <row r="291" spans="1:54" x14ac:dyDescent="0.25">
      <c r="A291" s="37">
        <v>45646</v>
      </c>
      <c r="B291" s="5">
        <v>24.1995</v>
      </c>
      <c r="C291">
        <v>-8.3568999999999996</v>
      </c>
      <c r="D291">
        <v>-0.6401</v>
      </c>
      <c r="E291">
        <v>43.352600000000002</v>
      </c>
      <c r="F291">
        <v>5.5846999999999998</v>
      </c>
      <c r="G291">
        <v>0</v>
      </c>
      <c r="H291">
        <v>7.2625000000000002</v>
      </c>
      <c r="I291">
        <v>-7.1856999999999998</v>
      </c>
      <c r="J291">
        <v>4940</v>
      </c>
      <c r="K291">
        <v>19316169.009799998</v>
      </c>
      <c r="M291" s="37">
        <v>45646</v>
      </c>
      <c r="N291" s="5">
        <v>7.6169000000000002</v>
      </c>
      <c r="O291">
        <v>11.093500000000001</v>
      </c>
      <c r="P291">
        <v>0.29459999999999997</v>
      </c>
      <c r="Q291">
        <v>35.133099999999999</v>
      </c>
      <c r="R291">
        <v>0.99719999999999998</v>
      </c>
      <c r="S291" t="s">
        <v>33</v>
      </c>
      <c r="T291">
        <v>36.280700000000003</v>
      </c>
      <c r="U291">
        <v>18.490600000000001</v>
      </c>
      <c r="V291">
        <v>4040</v>
      </c>
      <c r="W291">
        <v>5508622.3351999996</v>
      </c>
      <c r="Y291" s="5">
        <v>24.9</v>
      </c>
      <c r="Z291">
        <v>-0.873</v>
      </c>
      <c r="AA291">
        <v>0.57720000000000005</v>
      </c>
      <c r="AB291">
        <v>4.2183000000000002</v>
      </c>
      <c r="AC291">
        <v>-0.4904</v>
      </c>
      <c r="AD291" t="s">
        <v>33</v>
      </c>
      <c r="AE291">
        <v>4.4165999999999999</v>
      </c>
      <c r="AF291">
        <v>7.8700000000000006E-2</v>
      </c>
      <c r="AG291">
        <v>108.709</v>
      </c>
      <c r="AH291">
        <v>764937.86959999998</v>
      </c>
      <c r="AJ291">
        <v>7.6059000000000001</v>
      </c>
      <c r="AK291">
        <v>16.827400000000001</v>
      </c>
      <c r="AL291">
        <v>0.48359999999999997</v>
      </c>
      <c r="AM291">
        <v>22.279699999999998</v>
      </c>
      <c r="AN291">
        <v>-0.13950000000000001</v>
      </c>
      <c r="AO291">
        <v>195.11080000000001</v>
      </c>
      <c r="AP291">
        <v>49.9133</v>
      </c>
      <c r="AQ291">
        <v>37.493000000000002</v>
      </c>
      <c r="AR291">
        <v>6330.2250000000004</v>
      </c>
      <c r="AS291">
        <v>4968222.9828000003</v>
      </c>
      <c r="AU291" s="1">
        <f t="shared" si="33"/>
        <v>45646</v>
      </c>
      <c r="AV291" s="29">
        <f t="shared" si="34"/>
        <v>22.127432955894584</v>
      </c>
      <c r="AW291" s="30">
        <f t="shared" si="35"/>
        <v>4.5270947357245319</v>
      </c>
      <c r="AX291">
        <f t="shared" ca="1" si="27"/>
        <v>4.0334622871952126</v>
      </c>
      <c r="AY291">
        <f t="shared" ca="1" si="28"/>
        <v>2.7414294922626179</v>
      </c>
      <c r="AZ291">
        <f t="shared" ca="1" si="29"/>
        <v>1.6417057448347698</v>
      </c>
      <c r="BA291">
        <f t="shared" ca="1" si="30"/>
        <v>1.4554056573777916</v>
      </c>
      <c r="BB291">
        <f t="shared" ca="1" si="31"/>
        <v>1.3489098969815261</v>
      </c>
    </row>
    <row r="292" spans="1:54" x14ac:dyDescent="0.25">
      <c r="A292" s="37">
        <v>45653</v>
      </c>
      <c r="B292" s="5">
        <v>24.5625</v>
      </c>
      <c r="C292">
        <v>-8.3568999999999996</v>
      </c>
      <c r="D292">
        <v>-0.6401</v>
      </c>
      <c r="E292">
        <v>43.352600000000002</v>
      </c>
      <c r="F292">
        <v>5.5846999999999998</v>
      </c>
      <c r="G292">
        <v>0</v>
      </c>
      <c r="H292">
        <v>7.2625000000000002</v>
      </c>
      <c r="I292">
        <v>-7.1856999999999998</v>
      </c>
      <c r="J292">
        <v>5045</v>
      </c>
      <c r="K292">
        <v>19726735.3552</v>
      </c>
      <c r="M292" s="37">
        <v>45653</v>
      </c>
      <c r="N292" s="5">
        <v>7.8250999999999999</v>
      </c>
      <c r="O292">
        <v>11.093500000000001</v>
      </c>
      <c r="P292">
        <v>0.29459999999999997</v>
      </c>
      <c r="Q292">
        <v>35.133099999999999</v>
      </c>
      <c r="R292">
        <v>0.99719999999999998</v>
      </c>
      <c r="S292" t="s">
        <v>33</v>
      </c>
      <c r="T292">
        <v>36.280700000000003</v>
      </c>
      <c r="U292">
        <v>18.490600000000001</v>
      </c>
      <c r="V292">
        <v>4190</v>
      </c>
      <c r="W292">
        <v>5713150.3921999997</v>
      </c>
      <c r="Y292" s="5">
        <v>26.154699999999998</v>
      </c>
      <c r="Z292">
        <v>-0.873</v>
      </c>
      <c r="AA292">
        <v>0.57720000000000005</v>
      </c>
      <c r="AB292">
        <v>4.2183000000000002</v>
      </c>
      <c r="AC292">
        <v>-0.4904</v>
      </c>
      <c r="AD292" t="s">
        <v>33</v>
      </c>
      <c r="AE292">
        <v>4.4165999999999999</v>
      </c>
      <c r="AF292">
        <v>7.8700000000000006E-2</v>
      </c>
      <c r="AG292">
        <v>114.139</v>
      </c>
      <c r="AH292">
        <v>803145.77540000004</v>
      </c>
      <c r="AJ292">
        <v>8.1692</v>
      </c>
      <c r="AK292">
        <v>16.827400000000001</v>
      </c>
      <c r="AL292">
        <v>0.48359999999999997</v>
      </c>
      <c r="AM292">
        <v>22.279699999999998</v>
      </c>
      <c r="AN292">
        <v>-0.13950000000000001</v>
      </c>
      <c r="AO292">
        <v>195.11080000000001</v>
      </c>
      <c r="AP292">
        <v>49.9133</v>
      </c>
      <c r="AQ292">
        <v>37.493000000000002</v>
      </c>
      <c r="AR292">
        <v>6790.6049999999996</v>
      </c>
      <c r="AS292">
        <v>5329548.2905999999</v>
      </c>
      <c r="AU292" s="1">
        <f t="shared" si="33"/>
        <v>45653</v>
      </c>
      <c r="AV292" s="29">
        <f t="shared" si="34"/>
        <v>22.626505344386135</v>
      </c>
      <c r="AW292" s="30">
        <f t="shared" si="35"/>
        <v>4.6818548338626291</v>
      </c>
      <c r="AX292">
        <f t="shared" ca="1" si="27"/>
        <v>4.1913872350589978</v>
      </c>
      <c r="AY292">
        <f t="shared" ca="1" si="28"/>
        <v>3.101666477863076</v>
      </c>
      <c r="AZ292">
        <f t="shared" ca="1" si="29"/>
        <v>1.6722744484642658</v>
      </c>
      <c r="BA292">
        <f t="shared" ca="1" si="30"/>
        <v>1.4635103267075436</v>
      </c>
      <c r="BB292">
        <f t="shared" ca="1" si="31"/>
        <v>1.3760725251728103</v>
      </c>
    </row>
    <row r="293" spans="1:54" x14ac:dyDescent="0.25">
      <c r="A293" s="37">
        <v>45660</v>
      </c>
      <c r="B293" s="5">
        <v>7.5213999999999999</v>
      </c>
      <c r="C293">
        <v>13.373799999999999</v>
      </c>
      <c r="D293">
        <v>0.28260000000000002</v>
      </c>
      <c r="E293">
        <v>45.015700000000002</v>
      </c>
      <c r="F293">
        <v>1.9368000000000001</v>
      </c>
      <c r="G293">
        <v>0</v>
      </c>
      <c r="H293">
        <v>21.971699999999998</v>
      </c>
      <c r="I293">
        <v>7.6711999999999998</v>
      </c>
      <c r="J293">
        <v>5250</v>
      </c>
      <c r="K293">
        <v>20528317.267499998</v>
      </c>
      <c r="M293" s="37">
        <v>45660</v>
      </c>
      <c r="N293" s="5">
        <v>10.349</v>
      </c>
      <c r="O293">
        <v>7.9386000000000001</v>
      </c>
      <c r="P293">
        <v>0.35270000000000001</v>
      </c>
      <c r="Q293">
        <v>38.851500000000001</v>
      </c>
      <c r="R293">
        <v>0.78990000000000005</v>
      </c>
      <c r="S293" t="s">
        <v>33</v>
      </c>
      <c r="T293">
        <v>32.065100000000001</v>
      </c>
      <c r="U293">
        <v>13.870900000000001</v>
      </c>
      <c r="V293">
        <v>4445</v>
      </c>
      <c r="W293">
        <v>6060848.0891000004</v>
      </c>
      <c r="Y293" s="5">
        <v>10.9634</v>
      </c>
      <c r="Z293">
        <v>9.5021000000000004</v>
      </c>
      <c r="AA293">
        <v>0.40150000000000002</v>
      </c>
      <c r="AB293">
        <v>4.7557</v>
      </c>
      <c r="AC293">
        <v>-0.59850000000000003</v>
      </c>
      <c r="AD293" t="s">
        <v>33</v>
      </c>
      <c r="AE293">
        <v>10.561299999999999</v>
      </c>
      <c r="AF293">
        <v>5.8358999999999996</v>
      </c>
      <c r="AG293">
        <v>120.788</v>
      </c>
      <c r="AH293">
        <v>849930.96620000002</v>
      </c>
      <c r="AJ293">
        <v>6.2904</v>
      </c>
      <c r="AK293">
        <v>12.8408</v>
      </c>
      <c r="AL293">
        <v>0.71619999999999995</v>
      </c>
      <c r="AM293">
        <v>20.617899999999999</v>
      </c>
      <c r="AN293">
        <v>-0.32229999999999998</v>
      </c>
      <c r="AO293">
        <v>195.11080000000001</v>
      </c>
      <c r="AP293">
        <v>57.1096</v>
      </c>
      <c r="AQ293">
        <v>46.081899999999997</v>
      </c>
      <c r="AR293">
        <v>7442.81</v>
      </c>
      <c r="AS293">
        <v>5841425.8101000004</v>
      </c>
      <c r="AU293" s="1">
        <f t="shared" si="33"/>
        <v>45660</v>
      </c>
      <c r="AV293" s="29">
        <f t="shared" si="34"/>
        <v>9.5917313509289688</v>
      </c>
      <c r="AW293" s="30">
        <f t="shared" si="35"/>
        <v>0.63983017180402679</v>
      </c>
      <c r="AX293">
        <f t="shared" ca="1" si="27"/>
        <v>4.3533372986475545</v>
      </c>
      <c r="AY293">
        <f t="shared" ca="1" si="28"/>
        <v>3.4177856227767101</v>
      </c>
      <c r="AZ293">
        <f t="shared" ca="1" si="29"/>
        <v>2.5246410497844227</v>
      </c>
      <c r="BA293">
        <f t="shared" ca="1" si="30"/>
        <v>1.4738410820822192</v>
      </c>
      <c r="BB293">
        <f t="shared" ca="1" si="31"/>
        <v>1.3760725251728103</v>
      </c>
    </row>
    <row r="294" spans="1:54" x14ac:dyDescent="0.25">
      <c r="A294" s="37">
        <v>45667</v>
      </c>
      <c r="B294" s="5">
        <v>7.7630999999999997</v>
      </c>
      <c r="C294">
        <v>13.373799999999999</v>
      </c>
      <c r="D294">
        <v>0.28260000000000002</v>
      </c>
      <c r="E294">
        <v>45.015700000000002</v>
      </c>
      <c r="F294">
        <v>1.9368000000000001</v>
      </c>
      <c r="G294">
        <v>0</v>
      </c>
      <c r="H294">
        <v>21.971699999999998</v>
      </c>
      <c r="I294">
        <v>7.6711999999999998</v>
      </c>
      <c r="J294">
        <v>5490</v>
      </c>
      <c r="K294">
        <v>21466754.6283</v>
      </c>
      <c r="M294" s="37">
        <v>45667</v>
      </c>
      <c r="N294" s="5">
        <v>10.487299999999999</v>
      </c>
      <c r="O294">
        <v>7.9386000000000001</v>
      </c>
      <c r="P294">
        <v>0.35270000000000001</v>
      </c>
      <c r="Q294">
        <v>38.851500000000001</v>
      </c>
      <c r="R294">
        <v>0.78990000000000005</v>
      </c>
      <c r="S294" t="s">
        <v>33</v>
      </c>
      <c r="T294">
        <v>32.065100000000001</v>
      </c>
      <c r="U294">
        <v>13.870900000000001</v>
      </c>
      <c r="V294">
        <v>4530</v>
      </c>
      <c r="W294">
        <v>6176747.3213999998</v>
      </c>
      <c r="Y294" s="5">
        <v>10.984299999999999</v>
      </c>
      <c r="Z294">
        <v>9.5021000000000004</v>
      </c>
      <c r="AA294">
        <v>0.40150000000000002</v>
      </c>
      <c r="AB294">
        <v>4.7557</v>
      </c>
      <c r="AC294">
        <v>-0.59850000000000003</v>
      </c>
      <c r="AD294" t="s">
        <v>33</v>
      </c>
      <c r="AE294">
        <v>10.561299999999999</v>
      </c>
      <c r="AF294">
        <v>5.8358999999999996</v>
      </c>
      <c r="AG294">
        <v>121.009</v>
      </c>
      <c r="AH294">
        <v>851490.47259999998</v>
      </c>
      <c r="AJ294">
        <v>6.1966999999999999</v>
      </c>
      <c r="AK294">
        <v>12.8408</v>
      </c>
      <c r="AL294">
        <v>0.71619999999999995</v>
      </c>
      <c r="AM294">
        <v>20.617899999999999</v>
      </c>
      <c r="AN294">
        <v>-0.32229999999999998</v>
      </c>
      <c r="AO294">
        <v>195.11080000000001</v>
      </c>
      <c r="AP294">
        <v>57.1096</v>
      </c>
      <c r="AQ294">
        <v>46.081899999999997</v>
      </c>
      <c r="AR294">
        <v>7337.3059999999996</v>
      </c>
      <c r="AS294">
        <v>5758622.0937000001</v>
      </c>
      <c r="AU294" s="1">
        <f t="shared" si="33"/>
        <v>45667</v>
      </c>
      <c r="AV294" s="29">
        <f t="shared" si="34"/>
        <v>9.7021764830695805</v>
      </c>
      <c r="AW294" s="30">
        <f t="shared" si="35"/>
        <v>0.67407870945728843</v>
      </c>
      <c r="AX294">
        <f t="shared" ca="1" si="27"/>
        <v>4.3533372986475545</v>
      </c>
      <c r="AY294">
        <f t="shared" ca="1" si="28"/>
        <v>3.4177856227767101</v>
      </c>
      <c r="AZ294">
        <f t="shared" ca="1" si="29"/>
        <v>2.5246410497844227</v>
      </c>
      <c r="BA294">
        <f t="shared" ca="1" si="30"/>
        <v>1.4635103267075436</v>
      </c>
      <c r="BB294">
        <f t="shared" ca="1" si="31"/>
        <v>1.3489098969815261</v>
      </c>
    </row>
    <row r="295" spans="1:54" x14ac:dyDescent="0.25">
      <c r="A295" s="37">
        <v>45674</v>
      </c>
      <c r="B295" s="5">
        <v>7.3201000000000001</v>
      </c>
      <c r="C295">
        <v>13.373799999999999</v>
      </c>
      <c r="D295">
        <v>0.28260000000000002</v>
      </c>
      <c r="E295">
        <v>45.015700000000002</v>
      </c>
      <c r="F295">
        <v>1.9368000000000001</v>
      </c>
      <c r="G295">
        <v>0</v>
      </c>
      <c r="H295">
        <v>21.971699999999998</v>
      </c>
      <c r="I295">
        <v>7.6711999999999998</v>
      </c>
      <c r="J295">
        <v>5050</v>
      </c>
      <c r="K295">
        <v>19746286.133499999</v>
      </c>
      <c r="M295" s="37">
        <v>45674</v>
      </c>
      <c r="N295" s="5">
        <v>9.4702999999999999</v>
      </c>
      <c r="O295">
        <v>7.9386000000000001</v>
      </c>
      <c r="P295">
        <v>0.35270000000000001</v>
      </c>
      <c r="Q295">
        <v>38.851500000000001</v>
      </c>
      <c r="R295">
        <v>0.78990000000000005</v>
      </c>
      <c r="S295" t="s">
        <v>33</v>
      </c>
      <c r="T295">
        <v>32.065100000000001</v>
      </c>
      <c r="U295">
        <v>13.870900000000001</v>
      </c>
      <c r="V295">
        <v>4080</v>
      </c>
      <c r="W295">
        <v>5563163.1503999997</v>
      </c>
      <c r="Y295" s="5">
        <v>9.0170999999999992</v>
      </c>
      <c r="Z295">
        <v>9.5021000000000004</v>
      </c>
      <c r="AA295">
        <v>0.40150000000000002</v>
      </c>
      <c r="AB295">
        <v>4.7557</v>
      </c>
      <c r="AC295">
        <v>-0.59850000000000003</v>
      </c>
      <c r="AD295" t="s">
        <v>33</v>
      </c>
      <c r="AE295">
        <v>10.561299999999999</v>
      </c>
      <c r="AF295">
        <v>5.8358999999999996</v>
      </c>
      <c r="AG295">
        <v>100.176</v>
      </c>
      <c r="AH295">
        <v>704896.87470000004</v>
      </c>
      <c r="AJ295">
        <v>5.4042000000000003</v>
      </c>
      <c r="AK295">
        <v>12.8408</v>
      </c>
      <c r="AL295">
        <v>0.71619999999999995</v>
      </c>
      <c r="AM295">
        <v>20.617899999999999</v>
      </c>
      <c r="AN295">
        <v>-0.32229999999999998</v>
      </c>
      <c r="AO295">
        <v>195.11080000000001</v>
      </c>
      <c r="AP295">
        <v>57.1096</v>
      </c>
      <c r="AQ295">
        <v>46.081899999999997</v>
      </c>
      <c r="AR295">
        <v>6445.32</v>
      </c>
      <c r="AS295">
        <v>5058554.3097999999</v>
      </c>
      <c r="AU295" s="1">
        <f t="shared" si="33"/>
        <v>45674</v>
      </c>
      <c r="AV295" s="29">
        <f t="shared" si="34"/>
        <v>8.8767627105094409</v>
      </c>
      <c r="AW295" s="30">
        <f t="shared" si="35"/>
        <v>0.41812161907999468</v>
      </c>
      <c r="AX295">
        <f t="shared" ca="1" si="27"/>
        <v>4.3533372986475545</v>
      </c>
      <c r="AY295">
        <f t="shared" ca="1" si="28"/>
        <v>3.4177856227767101</v>
      </c>
      <c r="AZ295">
        <f t="shared" ca="1" si="29"/>
        <v>2.5246410497844227</v>
      </c>
      <c r="BA295">
        <f t="shared" ca="1" si="30"/>
        <v>1.4554056573777916</v>
      </c>
      <c r="BB295">
        <f t="shared" ca="1" si="31"/>
        <v>1.3094169350826512</v>
      </c>
    </row>
    <row r="296" spans="1:54" x14ac:dyDescent="0.25">
      <c r="A296" s="37">
        <v>45681</v>
      </c>
      <c r="B296" s="5">
        <v>7.0785</v>
      </c>
      <c r="C296">
        <v>13.373799999999999</v>
      </c>
      <c r="D296">
        <v>0.28260000000000002</v>
      </c>
      <c r="E296">
        <v>45.015700000000002</v>
      </c>
      <c r="F296">
        <v>1.9368000000000001</v>
      </c>
      <c r="G296">
        <v>0</v>
      </c>
      <c r="H296">
        <v>21.971699999999998</v>
      </c>
      <c r="I296">
        <v>7.6711999999999998</v>
      </c>
      <c r="J296">
        <v>4810</v>
      </c>
      <c r="K296">
        <v>18807848.772700001</v>
      </c>
      <c r="M296" s="37">
        <v>45681</v>
      </c>
      <c r="N296" s="5">
        <v>9.3439999999999994</v>
      </c>
      <c r="O296">
        <v>7.9386000000000001</v>
      </c>
      <c r="P296">
        <v>0.35270000000000001</v>
      </c>
      <c r="Q296">
        <v>38.851500000000001</v>
      </c>
      <c r="R296">
        <v>0.78990000000000005</v>
      </c>
      <c r="S296" t="s">
        <v>33</v>
      </c>
      <c r="T296">
        <v>32.065100000000001</v>
      </c>
      <c r="U296">
        <v>13.870900000000001</v>
      </c>
      <c r="V296">
        <v>4040</v>
      </c>
      <c r="W296">
        <v>5508622.3351999996</v>
      </c>
      <c r="Y296" s="5">
        <v>9.2891999999999992</v>
      </c>
      <c r="Z296">
        <v>9.5021000000000004</v>
      </c>
      <c r="AA296">
        <v>0.40150000000000002</v>
      </c>
      <c r="AB296">
        <v>4.7557</v>
      </c>
      <c r="AC296">
        <v>-0.59850000000000003</v>
      </c>
      <c r="AD296" t="s">
        <v>33</v>
      </c>
      <c r="AE296">
        <v>10.561299999999999</v>
      </c>
      <c r="AF296">
        <v>5.8358999999999996</v>
      </c>
      <c r="AG296">
        <v>103.057</v>
      </c>
      <c r="AH296">
        <v>725170.45739999996</v>
      </c>
      <c r="AJ296">
        <v>5.4298000000000002</v>
      </c>
      <c r="AK296">
        <v>12.8408</v>
      </c>
      <c r="AL296">
        <v>0.71619999999999995</v>
      </c>
      <c r="AM296">
        <v>20.617899999999999</v>
      </c>
      <c r="AN296">
        <v>-0.32229999999999998</v>
      </c>
      <c r="AO296">
        <v>195.11080000000001</v>
      </c>
      <c r="AP296">
        <v>57.1096</v>
      </c>
      <c r="AQ296">
        <v>46.081899999999997</v>
      </c>
      <c r="AR296">
        <v>6474.0940000000001</v>
      </c>
      <c r="AS296">
        <v>5081137.1414999999</v>
      </c>
      <c r="AU296" s="1">
        <f t="shared" si="33"/>
        <v>45681</v>
      </c>
      <c r="AV296" s="29">
        <f t="shared" si="34"/>
        <v>8.7426271928127779</v>
      </c>
      <c r="AW296" s="30">
        <f t="shared" si="35"/>
        <v>0.37652679964852176</v>
      </c>
      <c r="AX296">
        <f t="shared" ca="1" si="27"/>
        <v>4.3533372986475545</v>
      </c>
      <c r="AY296">
        <f t="shared" ca="1" si="28"/>
        <v>3.4177856227767101</v>
      </c>
      <c r="AZ296">
        <f t="shared" ca="1" si="29"/>
        <v>2.5246410497844227</v>
      </c>
      <c r="BA296">
        <f t="shared" ca="1" si="30"/>
        <v>1.3917287038027177</v>
      </c>
      <c r="BB296">
        <f t="shared" ca="1" si="31"/>
        <v>0.92065590778263973</v>
      </c>
    </row>
    <row r="297" spans="1:54" x14ac:dyDescent="0.25">
      <c r="A297" s="37">
        <v>45688</v>
      </c>
      <c r="B297" s="5">
        <v>6.9854000000000003</v>
      </c>
      <c r="C297">
        <v>13.373799999999999</v>
      </c>
      <c r="D297">
        <v>0.28260000000000002</v>
      </c>
      <c r="E297">
        <v>45.015700000000002</v>
      </c>
      <c r="F297">
        <v>1.9368000000000001</v>
      </c>
      <c r="G297">
        <v>0</v>
      </c>
      <c r="H297">
        <v>21.971699999999998</v>
      </c>
      <c r="I297">
        <v>7.6711999999999998</v>
      </c>
      <c r="J297">
        <v>4717.5</v>
      </c>
      <c r="K297">
        <v>18446159.373199999</v>
      </c>
      <c r="M297" s="37">
        <v>45688</v>
      </c>
      <c r="N297" s="5">
        <v>9.73</v>
      </c>
      <c r="O297">
        <v>7.9386000000000001</v>
      </c>
      <c r="P297">
        <v>0.35270000000000001</v>
      </c>
      <c r="Q297">
        <v>38.851500000000001</v>
      </c>
      <c r="R297">
        <v>0.78990000000000005</v>
      </c>
      <c r="S297" t="s">
        <v>33</v>
      </c>
      <c r="T297">
        <v>32.065100000000001</v>
      </c>
      <c r="U297">
        <v>13.870900000000001</v>
      </c>
      <c r="V297">
        <v>4240</v>
      </c>
      <c r="W297">
        <v>5781326.4112</v>
      </c>
      <c r="Y297" s="5">
        <v>9.3728999999999996</v>
      </c>
      <c r="Z297">
        <v>9.5021000000000004</v>
      </c>
      <c r="AA297">
        <v>0.40150000000000002</v>
      </c>
      <c r="AB297">
        <v>4.7557</v>
      </c>
      <c r="AC297">
        <v>-0.59850000000000003</v>
      </c>
      <c r="AD297" t="s">
        <v>33</v>
      </c>
      <c r="AE297">
        <v>10.561299999999999</v>
      </c>
      <c r="AF297">
        <v>5.8358999999999996</v>
      </c>
      <c r="AG297">
        <v>103.944</v>
      </c>
      <c r="AH297">
        <v>731408.4828</v>
      </c>
      <c r="AJ297">
        <v>5.4298000000000002</v>
      </c>
      <c r="AK297">
        <v>12.8408</v>
      </c>
      <c r="AL297">
        <v>0.71619999999999995</v>
      </c>
      <c r="AM297">
        <v>20.617899999999999</v>
      </c>
      <c r="AN297">
        <v>-0.32229999999999998</v>
      </c>
      <c r="AO297">
        <v>195.11080000000001</v>
      </c>
      <c r="AP297">
        <v>57.1096</v>
      </c>
      <c r="AQ297">
        <v>46.081899999999997</v>
      </c>
      <c r="AR297">
        <v>6474.0940000000001</v>
      </c>
      <c r="AS297">
        <v>5081137.1414999999</v>
      </c>
      <c r="AU297" s="1">
        <f t="shared" si="33"/>
        <v>45688</v>
      </c>
      <c r="AV297" s="29">
        <f t="shared" si="34"/>
        <v>8.796506861860685</v>
      </c>
      <c r="AW297" s="30">
        <f t="shared" si="35"/>
        <v>0.3932346421615191</v>
      </c>
      <c r="AX297">
        <f t="shared" ca="1" si="27"/>
        <v>4.3533372986475545</v>
      </c>
      <c r="AY297">
        <f t="shared" ca="1" si="28"/>
        <v>3.4177856227767101</v>
      </c>
      <c r="AZ297">
        <f t="shared" ca="1" si="29"/>
        <v>2.5246410497844227</v>
      </c>
      <c r="BA297">
        <f t="shared" ca="1" si="30"/>
        <v>1.3656350727528719</v>
      </c>
      <c r="BB297">
        <f t="shared" ca="1" si="31"/>
        <v>0.65352958686533147</v>
      </c>
    </row>
    <row r="298" spans="1:54" x14ac:dyDescent="0.25">
      <c r="A298" s="37">
        <v>45695</v>
      </c>
      <c r="B298" s="5">
        <v>6.8091999999999997</v>
      </c>
      <c r="C298">
        <v>13.373799999999999</v>
      </c>
      <c r="D298">
        <v>0.28260000000000002</v>
      </c>
      <c r="E298">
        <v>45.015700000000002</v>
      </c>
      <c r="F298">
        <v>1.9368000000000001</v>
      </c>
      <c r="G298">
        <v>0</v>
      </c>
      <c r="H298">
        <v>21.971699999999998</v>
      </c>
      <c r="I298">
        <v>7.6711999999999998</v>
      </c>
      <c r="J298">
        <v>4542.5</v>
      </c>
      <c r="K298">
        <v>17761882.131000001</v>
      </c>
      <c r="M298" s="37">
        <v>45695</v>
      </c>
      <c r="N298" s="5">
        <v>8.9620999999999995</v>
      </c>
      <c r="O298">
        <v>7.9386000000000001</v>
      </c>
      <c r="P298">
        <v>0.35270000000000001</v>
      </c>
      <c r="Q298">
        <v>38.851500000000001</v>
      </c>
      <c r="R298">
        <v>0.78990000000000005</v>
      </c>
      <c r="S298" t="s">
        <v>33</v>
      </c>
      <c r="T298">
        <v>32.065100000000001</v>
      </c>
      <c r="U298">
        <v>13.870900000000001</v>
      </c>
      <c r="V298">
        <v>3890</v>
      </c>
      <c r="W298">
        <v>5304094.2781999996</v>
      </c>
      <c r="Y298" s="5">
        <v>8.6928000000000001</v>
      </c>
      <c r="Z298">
        <v>9.5021000000000004</v>
      </c>
      <c r="AA298">
        <v>0.40150000000000002</v>
      </c>
      <c r="AB298">
        <v>4.7557</v>
      </c>
      <c r="AC298">
        <v>-0.59850000000000003</v>
      </c>
      <c r="AD298" t="s">
        <v>33</v>
      </c>
      <c r="AE298">
        <v>10.561299999999999</v>
      </c>
      <c r="AF298">
        <v>5.8358999999999996</v>
      </c>
      <c r="AG298">
        <v>96.741</v>
      </c>
      <c r="AH298">
        <v>680724.52610000002</v>
      </c>
      <c r="AJ298">
        <v>5.0548000000000002</v>
      </c>
      <c r="AK298">
        <v>12.8408</v>
      </c>
      <c r="AL298">
        <v>0.71619999999999995</v>
      </c>
      <c r="AM298">
        <v>20.617899999999999</v>
      </c>
      <c r="AN298">
        <v>-0.32229999999999998</v>
      </c>
      <c r="AO298">
        <v>195.11080000000001</v>
      </c>
      <c r="AP298">
        <v>57.1096</v>
      </c>
      <c r="AQ298">
        <v>46.081899999999997</v>
      </c>
      <c r="AR298">
        <v>6052.0789999999997</v>
      </c>
      <c r="AS298">
        <v>4749922.2759999996</v>
      </c>
      <c r="AU298" s="1">
        <f t="shared" si="33"/>
        <v>45695</v>
      </c>
      <c r="AV298" s="29">
        <f t="shared" si="34"/>
        <v>8.3551538783785908</v>
      </c>
      <c r="AW298" s="30">
        <f t="shared" si="35"/>
        <v>0.25637307135076087</v>
      </c>
      <c r="AX298">
        <f t="shared" ca="1" si="27"/>
        <v>4.3533372986475545</v>
      </c>
      <c r="AY298">
        <f t="shared" ca="1" si="28"/>
        <v>3.4177856227767101</v>
      </c>
      <c r="AZ298">
        <f t="shared" ca="1" si="29"/>
        <v>2.5246410497844227</v>
      </c>
      <c r="BA298">
        <f t="shared" ca="1" si="30"/>
        <v>1.3377597798006289</v>
      </c>
      <c r="BB298">
        <f t="shared" ca="1" si="31"/>
        <v>0.50680504016960759</v>
      </c>
    </row>
    <row r="299" spans="1:54" x14ac:dyDescent="0.25">
      <c r="A299" s="37">
        <v>45702</v>
      </c>
      <c r="B299" s="5">
        <v>6.7714999999999996</v>
      </c>
      <c r="C299">
        <v>13.373799999999999</v>
      </c>
      <c r="D299">
        <v>0.28260000000000002</v>
      </c>
      <c r="E299">
        <v>45.015700000000002</v>
      </c>
      <c r="F299">
        <v>1.9368000000000001</v>
      </c>
      <c r="G299">
        <v>0</v>
      </c>
      <c r="H299">
        <v>21.971699999999998</v>
      </c>
      <c r="I299">
        <v>7.6711999999999998</v>
      </c>
      <c r="J299">
        <v>4505</v>
      </c>
      <c r="K299">
        <v>17615251.293400001</v>
      </c>
      <c r="M299" s="37">
        <v>45702</v>
      </c>
      <c r="N299" s="5">
        <v>9.0436999999999994</v>
      </c>
      <c r="O299">
        <v>7.9386000000000001</v>
      </c>
      <c r="P299">
        <v>0.35270000000000001</v>
      </c>
      <c r="Q299">
        <v>38.851500000000001</v>
      </c>
      <c r="R299">
        <v>0.78990000000000005</v>
      </c>
      <c r="S299" t="s">
        <v>33</v>
      </c>
      <c r="T299">
        <v>32.065100000000001</v>
      </c>
      <c r="U299">
        <v>13.870900000000001</v>
      </c>
      <c r="V299">
        <v>3940</v>
      </c>
      <c r="W299">
        <v>5372270.2971999999</v>
      </c>
      <c r="Y299" s="5">
        <v>8.6090999999999998</v>
      </c>
      <c r="Z299">
        <v>9.5021000000000004</v>
      </c>
      <c r="AA299">
        <v>0.40150000000000002</v>
      </c>
      <c r="AB299">
        <v>4.7557</v>
      </c>
      <c r="AC299">
        <v>-0.59850000000000003</v>
      </c>
      <c r="AD299" t="s">
        <v>33</v>
      </c>
      <c r="AE299">
        <v>10.561299999999999</v>
      </c>
      <c r="AF299">
        <v>5.8358999999999996</v>
      </c>
      <c r="AG299">
        <v>95.855000000000004</v>
      </c>
      <c r="AH299">
        <v>674486.50069999998</v>
      </c>
      <c r="AJ299">
        <v>5.319</v>
      </c>
      <c r="AK299">
        <v>12.8408</v>
      </c>
      <c r="AL299">
        <v>0.71619999999999995</v>
      </c>
      <c r="AM299">
        <v>20.617899999999999</v>
      </c>
      <c r="AN299">
        <v>-0.32229999999999998</v>
      </c>
      <c r="AO299">
        <v>195.11080000000001</v>
      </c>
      <c r="AP299">
        <v>57.1096</v>
      </c>
      <c r="AQ299">
        <v>46.081899999999997</v>
      </c>
      <c r="AR299">
        <v>6349.4080000000004</v>
      </c>
      <c r="AS299">
        <v>4983278.2039999999</v>
      </c>
      <c r="AU299" s="1">
        <f t="shared" si="33"/>
        <v>45702</v>
      </c>
      <c r="AV299" s="29">
        <f t="shared" si="34"/>
        <v>8.4599604880491857</v>
      </c>
      <c r="AW299" s="30">
        <f t="shared" si="35"/>
        <v>0.28887312860130748</v>
      </c>
      <c r="AX299">
        <f t="shared" ca="1" si="27"/>
        <v>4.3533372986475545</v>
      </c>
      <c r="AY299">
        <f t="shared" ca="1" si="28"/>
        <v>3.4177856227767101</v>
      </c>
      <c r="AZ299">
        <f t="shared" ca="1" si="29"/>
        <v>2.5246410497844227</v>
      </c>
      <c r="BA299">
        <f t="shared" ca="1" si="30"/>
        <v>1.2905217052706661</v>
      </c>
      <c r="BB299">
        <f t="shared" ca="1" si="31"/>
        <v>0.40318943292890935</v>
      </c>
    </row>
    <row r="300" spans="1:54" x14ac:dyDescent="0.25">
      <c r="A300" s="37">
        <v>45709</v>
      </c>
      <c r="B300" s="5">
        <v>6.7965999999999998</v>
      </c>
      <c r="C300">
        <v>13.373799999999999</v>
      </c>
      <c r="D300">
        <v>0.28260000000000002</v>
      </c>
      <c r="E300">
        <v>45.015700000000002</v>
      </c>
      <c r="F300">
        <v>1.9368000000000001</v>
      </c>
      <c r="G300">
        <v>0</v>
      </c>
      <c r="H300">
        <v>21.971699999999998</v>
      </c>
      <c r="I300">
        <v>7.6711999999999998</v>
      </c>
      <c r="J300">
        <v>4530</v>
      </c>
      <c r="K300">
        <v>17713005.1851</v>
      </c>
      <c r="M300" s="37">
        <v>45709</v>
      </c>
      <c r="N300" s="5">
        <v>8.9512999999999998</v>
      </c>
      <c r="O300">
        <v>7.9386000000000001</v>
      </c>
      <c r="P300">
        <v>0.35270000000000001</v>
      </c>
      <c r="Q300">
        <v>38.851500000000001</v>
      </c>
      <c r="R300">
        <v>0.78990000000000005</v>
      </c>
      <c r="S300" t="s">
        <v>33</v>
      </c>
      <c r="T300">
        <v>32.065100000000001</v>
      </c>
      <c r="U300">
        <v>13.870900000000001</v>
      </c>
      <c r="V300">
        <v>3905</v>
      </c>
      <c r="W300">
        <v>5324547.0839</v>
      </c>
      <c r="Y300" s="5">
        <v>7.8661000000000003</v>
      </c>
      <c r="Z300">
        <v>9.5021000000000004</v>
      </c>
      <c r="AA300">
        <v>0.40150000000000002</v>
      </c>
      <c r="AB300">
        <v>4.7557</v>
      </c>
      <c r="AC300">
        <v>-0.59850000000000003</v>
      </c>
      <c r="AD300" t="s">
        <v>33</v>
      </c>
      <c r="AE300">
        <v>10.561299999999999</v>
      </c>
      <c r="AF300">
        <v>5.8358999999999996</v>
      </c>
      <c r="AG300">
        <v>87.986999999999995</v>
      </c>
      <c r="AH300">
        <v>619124.02489999996</v>
      </c>
      <c r="AJ300">
        <v>5.3274999999999997</v>
      </c>
      <c r="AK300">
        <v>12.8408</v>
      </c>
      <c r="AL300">
        <v>0.71619999999999995</v>
      </c>
      <c r="AM300">
        <v>20.617899999999999</v>
      </c>
      <c r="AN300">
        <v>-0.32229999999999998</v>
      </c>
      <c r="AO300">
        <v>195.11080000000001</v>
      </c>
      <c r="AP300">
        <v>57.1096</v>
      </c>
      <c r="AQ300">
        <v>46.081899999999997</v>
      </c>
      <c r="AR300">
        <v>6358.9989999999998</v>
      </c>
      <c r="AS300">
        <v>4990805.8145000003</v>
      </c>
      <c r="AU300" s="1">
        <f t="shared" si="33"/>
        <v>45709</v>
      </c>
      <c r="AV300" s="29">
        <f t="shared" si="34"/>
        <v>8.4334940523163713</v>
      </c>
      <c r="AW300" s="30">
        <f t="shared" si="35"/>
        <v>0.28066600617612986</v>
      </c>
      <c r="AX300">
        <f t="shared" ca="1" si="27"/>
        <v>4.3533372986475545</v>
      </c>
      <c r="AY300">
        <f t="shared" ca="1" si="28"/>
        <v>3.4177856227767101</v>
      </c>
      <c r="AZ300">
        <f t="shared" ca="1" si="29"/>
        <v>2.5246410497844227</v>
      </c>
      <c r="BA300">
        <f t="shared" ca="1" si="30"/>
        <v>0.67407870945728843</v>
      </c>
      <c r="BB300">
        <f t="shared" ca="1" si="31"/>
        <v>0.38320993665372072</v>
      </c>
    </row>
    <row r="301" spans="1:54" x14ac:dyDescent="0.25">
      <c r="A301" s="37">
        <v>45716</v>
      </c>
      <c r="B301" s="5">
        <v>6.4794999999999998</v>
      </c>
      <c r="C301">
        <v>13.373799999999999</v>
      </c>
      <c r="D301">
        <v>0.28260000000000002</v>
      </c>
      <c r="E301">
        <v>45.015700000000002</v>
      </c>
      <c r="F301">
        <v>1.9368000000000001</v>
      </c>
      <c r="G301">
        <v>0</v>
      </c>
      <c r="H301">
        <v>21.971699999999998</v>
      </c>
      <c r="I301">
        <v>7.6711999999999998</v>
      </c>
      <c r="J301">
        <v>4215</v>
      </c>
      <c r="K301">
        <v>16481306.1491</v>
      </c>
      <c r="M301" s="37">
        <v>45716</v>
      </c>
      <c r="N301" s="5">
        <v>8.5701999999999998</v>
      </c>
      <c r="O301">
        <v>7.9386000000000001</v>
      </c>
      <c r="P301">
        <v>0.35270000000000001</v>
      </c>
      <c r="Q301">
        <v>38.851500000000001</v>
      </c>
      <c r="R301">
        <v>0.78990000000000005</v>
      </c>
      <c r="S301" t="s">
        <v>33</v>
      </c>
      <c r="T301">
        <v>32.065100000000001</v>
      </c>
      <c r="U301">
        <v>13.870900000000001</v>
      </c>
      <c r="V301">
        <v>3745</v>
      </c>
      <c r="W301">
        <v>5106383.8230999997</v>
      </c>
      <c r="Y301" s="5">
        <v>6.6627999999999998</v>
      </c>
      <c r="Z301">
        <v>9.5021000000000004</v>
      </c>
      <c r="AA301">
        <v>0.40150000000000002</v>
      </c>
      <c r="AB301">
        <v>4.7557</v>
      </c>
      <c r="AC301">
        <v>-0.59850000000000003</v>
      </c>
      <c r="AD301" t="s">
        <v>33</v>
      </c>
      <c r="AE301">
        <v>10.561299999999999</v>
      </c>
      <c r="AF301">
        <v>5.8358999999999996</v>
      </c>
      <c r="AG301">
        <v>75.242999999999995</v>
      </c>
      <c r="AH301">
        <v>529452.40919999999</v>
      </c>
      <c r="AJ301">
        <v>4.8418000000000001</v>
      </c>
      <c r="AK301">
        <v>12.8408</v>
      </c>
      <c r="AL301">
        <v>0.71619999999999995</v>
      </c>
      <c r="AM301">
        <v>20.617899999999999</v>
      </c>
      <c r="AN301">
        <v>-0.32229999999999998</v>
      </c>
      <c r="AO301">
        <v>195.11080000000001</v>
      </c>
      <c r="AP301">
        <v>57.1096</v>
      </c>
      <c r="AQ301">
        <v>46.081899999999997</v>
      </c>
      <c r="AR301">
        <v>5812.2979999999998</v>
      </c>
      <c r="AS301">
        <v>4561732.0115</v>
      </c>
      <c r="AU301" s="1">
        <f t="shared" si="33"/>
        <v>45716</v>
      </c>
      <c r="AV301" s="29">
        <f t="shared" si="34"/>
        <v>7.9652235519936205</v>
      </c>
      <c r="AW301" s="30">
        <f t="shared" si="35"/>
        <v>0.135457434721868</v>
      </c>
      <c r="AX301">
        <f t="shared" ca="1" si="27"/>
        <v>4.3533372986475545</v>
      </c>
      <c r="AY301">
        <f t="shared" ca="1" si="28"/>
        <v>3.4177856227767101</v>
      </c>
      <c r="AZ301">
        <f t="shared" ca="1" si="29"/>
        <v>2.5246410497844227</v>
      </c>
      <c r="BA301">
        <f t="shared" ca="1" si="30"/>
        <v>0.63983017180402679</v>
      </c>
      <c r="BB301">
        <f t="shared" ca="1" si="31"/>
        <v>0.32393459702019323</v>
      </c>
    </row>
    <row r="302" spans="1:54" x14ac:dyDescent="0.25">
      <c r="A302" s="37">
        <v>45723</v>
      </c>
      <c r="B302" s="5">
        <v>6.3487</v>
      </c>
      <c r="C302">
        <v>13.373799999999999</v>
      </c>
      <c r="D302">
        <v>0.28260000000000002</v>
      </c>
      <c r="E302">
        <v>45.015700000000002</v>
      </c>
      <c r="F302">
        <v>1.9368000000000001</v>
      </c>
      <c r="G302">
        <v>0</v>
      </c>
      <c r="H302">
        <v>21.971699999999998</v>
      </c>
      <c r="I302">
        <v>7.6711999999999998</v>
      </c>
      <c r="J302">
        <v>4085</v>
      </c>
      <c r="K302">
        <v>15972985.912</v>
      </c>
      <c r="M302" s="37">
        <v>45723</v>
      </c>
      <c r="N302" s="5">
        <v>8.8333999999999993</v>
      </c>
      <c r="O302">
        <v>7.9386000000000001</v>
      </c>
      <c r="P302">
        <v>0.35270000000000001</v>
      </c>
      <c r="Q302">
        <v>38.851500000000001</v>
      </c>
      <c r="R302">
        <v>0.78990000000000005</v>
      </c>
      <c r="S302" t="s">
        <v>33</v>
      </c>
      <c r="T302">
        <v>32.065100000000001</v>
      </c>
      <c r="U302">
        <v>13.870900000000001</v>
      </c>
      <c r="V302">
        <v>3875</v>
      </c>
      <c r="W302">
        <v>5283641.4725000001</v>
      </c>
      <c r="Y302" s="5">
        <v>6.7988</v>
      </c>
      <c r="Z302">
        <v>9.5021000000000004</v>
      </c>
      <c r="AA302">
        <v>0.40150000000000002</v>
      </c>
      <c r="AB302">
        <v>4.7557</v>
      </c>
      <c r="AC302">
        <v>-0.59850000000000003</v>
      </c>
      <c r="AD302" t="s">
        <v>33</v>
      </c>
      <c r="AE302">
        <v>10.561299999999999</v>
      </c>
      <c r="AF302">
        <v>5.8358999999999996</v>
      </c>
      <c r="AG302">
        <v>76.683999999999997</v>
      </c>
      <c r="AH302">
        <v>539589.20059999998</v>
      </c>
      <c r="AJ302">
        <v>4.9099000000000004</v>
      </c>
      <c r="AK302">
        <v>12.8408</v>
      </c>
      <c r="AL302">
        <v>0.71619999999999995</v>
      </c>
      <c r="AM302">
        <v>20.617899999999999</v>
      </c>
      <c r="AN302">
        <v>-0.32229999999999998</v>
      </c>
      <c r="AO302">
        <v>195.11080000000001</v>
      </c>
      <c r="AP302">
        <v>57.1096</v>
      </c>
      <c r="AQ302">
        <v>46.081899999999997</v>
      </c>
      <c r="AR302">
        <v>5889.0280000000002</v>
      </c>
      <c r="AS302">
        <v>4621952.8960999995</v>
      </c>
      <c r="AU302" s="1">
        <f t="shared" si="33"/>
        <v>45723</v>
      </c>
      <c r="AV302" s="29">
        <f t="shared" si="34"/>
        <v>8.0033201699576644</v>
      </c>
      <c r="AW302" s="30">
        <f t="shared" si="35"/>
        <v>0.14727102423473445</v>
      </c>
      <c r="AX302">
        <f t="shared" ca="1" si="27"/>
        <v>4.3533372986475545</v>
      </c>
      <c r="AY302">
        <f t="shared" ca="1" si="28"/>
        <v>3.4177856227767101</v>
      </c>
      <c r="AZ302">
        <f t="shared" ca="1" si="29"/>
        <v>2.5246410497844227</v>
      </c>
      <c r="BA302">
        <f t="shared" ca="1" si="30"/>
        <v>0.41812161907999468</v>
      </c>
      <c r="BB302">
        <f t="shared" ca="1" si="31"/>
        <v>0.28394885514620088</v>
      </c>
    </row>
    <row r="303" spans="1:54" x14ac:dyDescent="0.25">
      <c r="A303" s="37">
        <v>45730</v>
      </c>
      <c r="B303" s="5">
        <v>6.6959999999999997</v>
      </c>
      <c r="C303">
        <v>13.373799999999999</v>
      </c>
      <c r="D303">
        <v>0.28260000000000002</v>
      </c>
      <c r="E303">
        <v>45.015700000000002</v>
      </c>
      <c r="F303">
        <v>1.9368000000000001</v>
      </c>
      <c r="G303">
        <v>0</v>
      </c>
      <c r="H303">
        <v>21.971699999999998</v>
      </c>
      <c r="I303">
        <v>7.6711999999999998</v>
      </c>
      <c r="J303">
        <v>4430</v>
      </c>
      <c r="K303">
        <v>17321989.618099999</v>
      </c>
      <c r="M303" s="37">
        <v>45730</v>
      </c>
      <c r="N303" s="5">
        <v>9.2538999999999998</v>
      </c>
      <c r="O303">
        <v>7.9386000000000001</v>
      </c>
      <c r="P303">
        <v>0.35270000000000001</v>
      </c>
      <c r="Q303">
        <v>38.851500000000001</v>
      </c>
      <c r="R303">
        <v>0.78990000000000005</v>
      </c>
      <c r="S303" t="s">
        <v>33</v>
      </c>
      <c r="T303">
        <v>32.065100000000001</v>
      </c>
      <c r="U303">
        <v>13.870900000000001</v>
      </c>
      <c r="V303">
        <v>4080</v>
      </c>
      <c r="W303">
        <v>5563163.1503999997</v>
      </c>
      <c r="Y303" s="5">
        <v>6.3907999999999996</v>
      </c>
      <c r="Z303">
        <v>9.5021000000000004</v>
      </c>
      <c r="AA303">
        <v>0.40150000000000002</v>
      </c>
      <c r="AB303">
        <v>4.7557</v>
      </c>
      <c r="AC303">
        <v>-0.59850000000000003</v>
      </c>
      <c r="AD303" t="s">
        <v>33</v>
      </c>
      <c r="AE303">
        <v>10.561299999999999</v>
      </c>
      <c r="AF303">
        <v>5.8358999999999996</v>
      </c>
      <c r="AG303">
        <v>72.361999999999995</v>
      </c>
      <c r="AH303">
        <v>509178.82650000002</v>
      </c>
      <c r="AJ303">
        <v>5.4638</v>
      </c>
      <c r="AK303">
        <v>12.8408</v>
      </c>
      <c r="AL303">
        <v>0.71619999999999995</v>
      </c>
      <c r="AM303">
        <v>20.617899999999999</v>
      </c>
      <c r="AN303">
        <v>-0.32229999999999998</v>
      </c>
      <c r="AO303">
        <v>195.11080000000001</v>
      </c>
      <c r="AP303">
        <v>57.1096</v>
      </c>
      <c r="AQ303">
        <v>46.081899999999997</v>
      </c>
      <c r="AR303">
        <v>6512.4589999999998</v>
      </c>
      <c r="AS303">
        <v>5111247.5838000001</v>
      </c>
      <c r="AU303" s="1">
        <f t="shared" si="33"/>
        <v>45730</v>
      </c>
      <c r="AV303" s="29">
        <f t="shared" si="34"/>
        <v>8.4913685927023295</v>
      </c>
      <c r="AW303" s="30">
        <f t="shared" si="35"/>
        <v>0.29861264028445972</v>
      </c>
      <c r="AX303">
        <f t="shared" ca="1" si="27"/>
        <v>4.3533372986475545</v>
      </c>
      <c r="AY303">
        <f t="shared" ca="1" si="28"/>
        <v>3.4177856227767101</v>
      </c>
      <c r="AZ303">
        <f t="shared" ca="1" si="29"/>
        <v>2.5246410497844227</v>
      </c>
      <c r="BA303">
        <f t="shared" ca="1" si="30"/>
        <v>0.3932346421615191</v>
      </c>
      <c r="BB303">
        <f t="shared" ca="1" si="31"/>
        <v>0.26609024528090847</v>
      </c>
    </row>
    <row r="304" spans="1:54" x14ac:dyDescent="0.25">
      <c r="A304" s="37">
        <v>45737</v>
      </c>
      <c r="B304" s="5">
        <v>6.9854000000000003</v>
      </c>
      <c r="C304">
        <v>13.373799999999999</v>
      </c>
      <c r="D304">
        <v>0.28260000000000002</v>
      </c>
      <c r="E304">
        <v>45.015700000000002</v>
      </c>
      <c r="F304">
        <v>1.9368000000000001</v>
      </c>
      <c r="G304">
        <v>0</v>
      </c>
      <c r="H304">
        <v>21.971699999999998</v>
      </c>
      <c r="I304">
        <v>7.6711999999999998</v>
      </c>
      <c r="J304">
        <v>4717.5</v>
      </c>
      <c r="K304">
        <v>18446159.373199999</v>
      </c>
      <c r="M304" s="37">
        <v>45737</v>
      </c>
      <c r="N304" s="5">
        <v>9.6008999999999993</v>
      </c>
      <c r="O304">
        <v>7.9386000000000001</v>
      </c>
      <c r="P304">
        <v>0.35270000000000001</v>
      </c>
      <c r="Q304">
        <v>38.851500000000001</v>
      </c>
      <c r="R304">
        <v>0.78990000000000005</v>
      </c>
      <c r="S304" t="s">
        <v>33</v>
      </c>
      <c r="T304">
        <v>32.065100000000001</v>
      </c>
      <c r="U304">
        <v>13.870900000000001</v>
      </c>
      <c r="V304">
        <v>4255</v>
      </c>
      <c r="W304">
        <v>5801779.2169000003</v>
      </c>
      <c r="Y304" s="5">
        <v>7.2801999999999998</v>
      </c>
      <c r="Z304">
        <v>9.5021000000000004</v>
      </c>
      <c r="AA304">
        <v>0.40150000000000002</v>
      </c>
      <c r="AB304">
        <v>4.7557</v>
      </c>
      <c r="AC304">
        <v>-0.59850000000000003</v>
      </c>
      <c r="AD304" t="s">
        <v>33</v>
      </c>
      <c r="AE304">
        <v>10.561299999999999</v>
      </c>
      <c r="AF304">
        <v>5.8358999999999996</v>
      </c>
      <c r="AG304">
        <v>81.781000000000006</v>
      </c>
      <c r="AH304">
        <v>575457.84680000006</v>
      </c>
      <c r="AJ304">
        <v>5.7365000000000004</v>
      </c>
      <c r="AK304">
        <v>12.8408</v>
      </c>
      <c r="AL304">
        <v>0.71619999999999995</v>
      </c>
      <c r="AM304">
        <v>20.617899999999999</v>
      </c>
      <c r="AN304">
        <v>-0.32229999999999998</v>
      </c>
      <c r="AO304">
        <v>195.11080000000001</v>
      </c>
      <c r="AP304">
        <v>57.1096</v>
      </c>
      <c r="AQ304">
        <v>46.081899999999997</v>
      </c>
      <c r="AR304">
        <v>6819.3789999999999</v>
      </c>
      <c r="AS304">
        <v>5352131.1223999998</v>
      </c>
      <c r="AU304" s="1">
        <f t="shared" si="33"/>
        <v>45737</v>
      </c>
      <c r="AV304" s="29">
        <f t="shared" si="34"/>
        <v>8.8403717326448437</v>
      </c>
      <c r="AW304" s="30">
        <f t="shared" si="35"/>
        <v>0.4068369408739157</v>
      </c>
      <c r="AX304">
        <f t="shared" ca="1" si="27"/>
        <v>4.3533372986475545</v>
      </c>
      <c r="AY304">
        <f t="shared" ca="1" si="28"/>
        <v>3.4177856227767101</v>
      </c>
      <c r="AZ304">
        <f t="shared" ca="1" si="29"/>
        <v>2.5246410497844227</v>
      </c>
      <c r="BA304">
        <f t="shared" ca="1" si="30"/>
        <v>0.37652679964852176</v>
      </c>
      <c r="BB304">
        <f t="shared" ca="1" si="31"/>
        <v>0.26609024528090847</v>
      </c>
    </row>
    <row r="305" spans="1:54" x14ac:dyDescent="0.25">
      <c r="A305" s="37">
        <v>45744</v>
      </c>
      <c r="B305" s="5">
        <v>6.9551999999999996</v>
      </c>
      <c r="C305">
        <v>13.373799999999999</v>
      </c>
      <c r="D305">
        <v>0.28260000000000002</v>
      </c>
      <c r="E305">
        <v>45.015700000000002</v>
      </c>
      <c r="F305">
        <v>1.9368000000000001</v>
      </c>
      <c r="G305">
        <v>0</v>
      </c>
      <c r="H305">
        <v>21.971699999999998</v>
      </c>
      <c r="I305">
        <v>7.6711999999999998</v>
      </c>
      <c r="J305">
        <v>4687.5</v>
      </c>
      <c r="K305">
        <v>18328854.7031</v>
      </c>
      <c r="M305" s="37">
        <v>45744</v>
      </c>
      <c r="N305" s="5">
        <v>9.3503000000000007</v>
      </c>
      <c r="O305">
        <v>7.9386000000000001</v>
      </c>
      <c r="P305">
        <v>0.35270000000000001</v>
      </c>
      <c r="Q305">
        <v>38.851500000000001</v>
      </c>
      <c r="R305">
        <v>0.78990000000000005</v>
      </c>
      <c r="S305" t="s">
        <v>33</v>
      </c>
      <c r="T305">
        <v>32.065100000000001</v>
      </c>
      <c r="U305">
        <v>13.870900000000001</v>
      </c>
      <c r="V305">
        <v>4145</v>
      </c>
      <c r="W305">
        <v>5651791.9751000004</v>
      </c>
      <c r="Y305" s="5">
        <v>7.2697000000000003</v>
      </c>
      <c r="Z305">
        <v>9.5021000000000004</v>
      </c>
      <c r="AA305">
        <v>0.40150000000000002</v>
      </c>
      <c r="AB305">
        <v>4.7557</v>
      </c>
      <c r="AC305">
        <v>-0.59850000000000003</v>
      </c>
      <c r="AD305" t="s">
        <v>33</v>
      </c>
      <c r="AE305">
        <v>10.561299999999999</v>
      </c>
      <c r="AF305">
        <v>5.8358999999999996</v>
      </c>
      <c r="AG305">
        <v>81.67</v>
      </c>
      <c r="AH305">
        <v>574678.09369999997</v>
      </c>
      <c r="AJ305">
        <v>5.7450999999999999</v>
      </c>
      <c r="AK305">
        <v>12.8408</v>
      </c>
      <c r="AL305">
        <v>0.71619999999999995</v>
      </c>
      <c r="AM305">
        <v>20.617899999999999</v>
      </c>
      <c r="AN305">
        <v>-0.32229999999999998</v>
      </c>
      <c r="AO305">
        <v>195.11080000000001</v>
      </c>
      <c r="AP305">
        <v>57.1096</v>
      </c>
      <c r="AQ305">
        <v>46.081899999999997</v>
      </c>
      <c r="AR305">
        <v>6828.97</v>
      </c>
      <c r="AS305">
        <v>5359658.733</v>
      </c>
      <c r="AU305" s="1">
        <f t="shared" si="33"/>
        <v>45744</v>
      </c>
      <c r="AV305" s="29">
        <f t="shared" si="34"/>
        <v>8.7678055762016722</v>
      </c>
      <c r="AW305" s="30">
        <f t="shared" si="35"/>
        <v>0.38433450284765369</v>
      </c>
      <c r="AX305">
        <f t="shared" ca="1" si="27"/>
        <v>4.3533372986475545</v>
      </c>
      <c r="AY305">
        <f t="shared" ca="1" si="28"/>
        <v>3.4177856227767101</v>
      </c>
      <c r="AZ305">
        <f t="shared" ca="1" si="29"/>
        <v>2.5246410497844227</v>
      </c>
      <c r="BA305">
        <f t="shared" ca="1" si="30"/>
        <v>0.37652679964852176</v>
      </c>
      <c r="BB305">
        <f t="shared" ca="1" si="31"/>
        <v>0.26609024528090847</v>
      </c>
    </row>
    <row r="306" spans="1:54" x14ac:dyDescent="0.25">
      <c r="A306" s="37">
        <v>45751</v>
      </c>
      <c r="B306" s="5">
        <v>6.7468000000000004</v>
      </c>
      <c r="C306">
        <v>8.5348000000000006</v>
      </c>
      <c r="D306">
        <v>9.4700000000000006E-2</v>
      </c>
      <c r="E306">
        <v>46.280500000000004</v>
      </c>
      <c r="F306">
        <v>2.3039000000000001</v>
      </c>
      <c r="G306">
        <v>0</v>
      </c>
      <c r="H306">
        <v>20.004100000000001</v>
      </c>
      <c r="I306">
        <v>5.1349999999999998</v>
      </c>
      <c r="J306">
        <v>4015</v>
      </c>
      <c r="K306">
        <v>15699275.0151</v>
      </c>
      <c r="M306" s="37">
        <v>45751</v>
      </c>
      <c r="N306" s="5">
        <v>8.1134000000000004</v>
      </c>
      <c r="O306">
        <v>5.9085999999999999</v>
      </c>
      <c r="P306">
        <v>-0.1166</v>
      </c>
      <c r="Q306">
        <v>32.870600000000003</v>
      </c>
      <c r="R306">
        <v>0.91180000000000005</v>
      </c>
      <c r="S306" t="s">
        <v>33</v>
      </c>
      <c r="T306">
        <v>34.053600000000003</v>
      </c>
      <c r="U306">
        <v>15.2033</v>
      </c>
      <c r="V306">
        <v>3660</v>
      </c>
      <c r="W306">
        <v>4990484.5908000004</v>
      </c>
      <c r="Y306" s="5">
        <v>7.2697000000000003</v>
      </c>
      <c r="Z306">
        <v>-14.909599999999999</v>
      </c>
      <c r="AA306">
        <v>-0.66369999999999996</v>
      </c>
      <c r="AB306">
        <v>5.0711000000000004</v>
      </c>
      <c r="AC306">
        <v>-0.59850000000000003</v>
      </c>
      <c r="AD306">
        <v>15.9076</v>
      </c>
      <c r="AE306">
        <v>-9.8628999999999998</v>
      </c>
      <c r="AF306">
        <v>-14.5936</v>
      </c>
      <c r="AG306">
        <v>68.040000000000006</v>
      </c>
      <c r="AH306">
        <v>478768.45250000001</v>
      </c>
      <c r="AJ306">
        <v>4.6801000000000004</v>
      </c>
      <c r="AK306">
        <v>14.7561</v>
      </c>
      <c r="AL306">
        <v>0.7611</v>
      </c>
      <c r="AM306">
        <v>18.9114</v>
      </c>
      <c r="AN306">
        <v>-8.1000000000000003E-2</v>
      </c>
      <c r="AO306">
        <v>195.11080000000001</v>
      </c>
      <c r="AP306">
        <v>58.838999999999999</v>
      </c>
      <c r="AQ306">
        <v>47.596299999999999</v>
      </c>
      <c r="AR306">
        <v>5984.94</v>
      </c>
      <c r="AS306">
        <v>4697229.0018999996</v>
      </c>
      <c r="AU306" s="1">
        <f t="shared" si="33"/>
        <v>45751</v>
      </c>
      <c r="AV306" s="29">
        <f t="shared" si="34"/>
        <v>8.1193019348174609</v>
      </c>
      <c r="AW306" s="30">
        <f t="shared" si="35"/>
        <v>0.18323644673823891</v>
      </c>
      <c r="AX306">
        <f t="shared" ca="1" si="27"/>
        <v>4.3282435606484206</v>
      </c>
      <c r="AY306">
        <f t="shared" ca="1" si="28"/>
        <v>3.3387558365483017</v>
      </c>
      <c r="AZ306">
        <f t="shared" ca="1" si="29"/>
        <v>1.5993598796208555</v>
      </c>
      <c r="BA306">
        <f t="shared" ca="1" si="30"/>
        <v>0.37847872544830474</v>
      </c>
      <c r="BB306">
        <f t="shared" ca="1" si="31"/>
        <v>0.26851953876344536</v>
      </c>
    </row>
    <row r="307" spans="1:54" x14ac:dyDescent="0.25">
      <c r="A307" s="37">
        <v>45758</v>
      </c>
      <c r="B307" s="5">
        <v>6.7492999999999999</v>
      </c>
      <c r="C307">
        <v>8.5348000000000006</v>
      </c>
      <c r="D307">
        <v>9.4700000000000006E-2</v>
      </c>
      <c r="E307">
        <v>46.280500000000004</v>
      </c>
      <c r="F307">
        <v>2.3039000000000001</v>
      </c>
      <c r="G307">
        <v>0</v>
      </c>
      <c r="H307">
        <v>20.004100000000001</v>
      </c>
      <c r="I307">
        <v>5.1349999999999998</v>
      </c>
      <c r="J307">
        <v>4017.5</v>
      </c>
      <c r="K307">
        <v>15709050.404200001</v>
      </c>
      <c r="M307" s="37">
        <v>45758</v>
      </c>
      <c r="N307" s="5">
        <v>8.2382000000000009</v>
      </c>
      <c r="O307">
        <v>5.9085999999999999</v>
      </c>
      <c r="P307">
        <v>-0.1166</v>
      </c>
      <c r="Q307">
        <v>32.870600000000003</v>
      </c>
      <c r="R307">
        <v>0.91180000000000005</v>
      </c>
      <c r="S307" t="s">
        <v>33</v>
      </c>
      <c r="T307">
        <v>34.053600000000003</v>
      </c>
      <c r="U307">
        <v>15.2033</v>
      </c>
      <c r="V307">
        <v>3730</v>
      </c>
      <c r="W307">
        <v>5085931.0174000002</v>
      </c>
      <c r="Y307" s="5">
        <v>7.2697000000000003</v>
      </c>
      <c r="Z307">
        <v>-14.909599999999999</v>
      </c>
      <c r="AA307">
        <v>-0.66369999999999996</v>
      </c>
      <c r="AB307">
        <v>5.0711000000000004</v>
      </c>
      <c r="AC307">
        <v>-0.59850000000000003</v>
      </c>
      <c r="AD307">
        <v>15.9076</v>
      </c>
      <c r="AE307">
        <v>-9.8628999999999998</v>
      </c>
      <c r="AF307">
        <v>-14.5936</v>
      </c>
      <c r="AG307">
        <v>69.147999999999996</v>
      </c>
      <c r="AH307">
        <v>486565.98430000001</v>
      </c>
      <c r="AJ307">
        <v>5.0157999999999996</v>
      </c>
      <c r="AK307">
        <v>14.7561</v>
      </c>
      <c r="AL307">
        <v>0.7611</v>
      </c>
      <c r="AM307">
        <v>18.9114</v>
      </c>
      <c r="AN307">
        <v>-8.1000000000000003E-2</v>
      </c>
      <c r="AO307">
        <v>195.11080000000001</v>
      </c>
      <c r="AP307">
        <v>58.838999999999999</v>
      </c>
      <c r="AQ307">
        <v>47.596299999999999</v>
      </c>
      <c r="AR307">
        <v>6406.9549999999999</v>
      </c>
      <c r="AS307">
        <v>5028443.8673999999</v>
      </c>
      <c r="AU307" s="1">
        <f t="shared" si="33"/>
        <v>45758</v>
      </c>
      <c r="AV307" s="29">
        <f t="shared" si="34"/>
        <v>8.3021626631247525</v>
      </c>
      <c r="AW307" s="30">
        <f t="shared" si="35"/>
        <v>0.23994073435466226</v>
      </c>
      <c r="AX307">
        <f t="shared" ca="1" si="27"/>
        <v>4.3031498226492877</v>
      </c>
      <c r="AY307">
        <f t="shared" ca="1" si="28"/>
        <v>3.2597260503198928</v>
      </c>
      <c r="AZ307">
        <f t="shared" ca="1" si="29"/>
        <v>0.67407870945728843</v>
      </c>
      <c r="BA307">
        <f t="shared" ca="1" si="30"/>
        <v>0.33756971996649077</v>
      </c>
      <c r="BB307">
        <f t="shared" ca="1" si="31"/>
        <v>0.22711842150575209</v>
      </c>
    </row>
    <row r="308" spans="1:54" x14ac:dyDescent="0.25">
      <c r="A308" s="37">
        <v>45765</v>
      </c>
      <c r="B308" s="5">
        <v>6.6104000000000003</v>
      </c>
      <c r="C308">
        <v>8.5348000000000006</v>
      </c>
      <c r="D308">
        <v>9.4700000000000006E-2</v>
      </c>
      <c r="E308">
        <v>46.280500000000004</v>
      </c>
      <c r="F308">
        <v>2.3039000000000001</v>
      </c>
      <c r="G308">
        <v>0</v>
      </c>
      <c r="H308">
        <v>20.004100000000001</v>
      </c>
      <c r="I308">
        <v>5.1349999999999998</v>
      </c>
      <c r="J308">
        <v>3882.5</v>
      </c>
      <c r="K308">
        <v>15181179.388800001</v>
      </c>
      <c r="M308" s="37">
        <v>45765</v>
      </c>
      <c r="N308" s="5">
        <v>7.4470999999999998</v>
      </c>
      <c r="O308">
        <v>5.9085999999999999</v>
      </c>
      <c r="P308">
        <v>-0.1166</v>
      </c>
      <c r="Q308">
        <v>32.870600000000003</v>
      </c>
      <c r="R308">
        <v>0.91180000000000005</v>
      </c>
      <c r="S308" t="s">
        <v>33</v>
      </c>
      <c r="T308">
        <v>34.053600000000003</v>
      </c>
      <c r="U308">
        <v>15.2033</v>
      </c>
      <c r="V308">
        <v>3615</v>
      </c>
      <c r="W308">
        <v>4929126.1737000002</v>
      </c>
      <c r="Y308" s="5">
        <v>7.2697000000000003</v>
      </c>
      <c r="Z308">
        <v>-14.909599999999999</v>
      </c>
      <c r="AA308">
        <v>-0.66369999999999996</v>
      </c>
      <c r="AB308">
        <v>5.0711000000000004</v>
      </c>
      <c r="AC308">
        <v>-0.59850000000000003</v>
      </c>
      <c r="AD308">
        <v>15.9076</v>
      </c>
      <c r="AE308">
        <v>-9.8628999999999998</v>
      </c>
      <c r="AF308">
        <v>-14.5936</v>
      </c>
      <c r="AG308">
        <v>63.718000000000004</v>
      </c>
      <c r="AH308">
        <v>448358.0785</v>
      </c>
      <c r="AJ308">
        <v>4.7717000000000001</v>
      </c>
      <c r="AK308">
        <v>14.7561</v>
      </c>
      <c r="AL308">
        <v>0.7611</v>
      </c>
      <c r="AM308">
        <v>18.9114</v>
      </c>
      <c r="AN308">
        <v>-8.1000000000000003E-2</v>
      </c>
      <c r="AO308">
        <v>195.11080000000001</v>
      </c>
      <c r="AP308">
        <v>58.838999999999999</v>
      </c>
      <c r="AQ308">
        <v>47.596299999999999</v>
      </c>
      <c r="AR308">
        <v>6100.0349999999999</v>
      </c>
      <c r="AS308">
        <v>4787560.3289000001</v>
      </c>
      <c r="AU308" s="1">
        <f t="shared" si="33"/>
        <v>45765</v>
      </c>
      <c r="AV308" s="29">
        <f t="shared" si="34"/>
        <v>7.9365856144058116</v>
      </c>
      <c r="AW308" s="30">
        <f t="shared" si="35"/>
        <v>0.12657693935934597</v>
      </c>
      <c r="AX308">
        <f t="shared" ca="1" si="27"/>
        <v>4.278056084650153</v>
      </c>
      <c r="AY308">
        <f t="shared" ca="1" si="28"/>
        <v>3.1806962640914844</v>
      </c>
      <c r="AZ308">
        <f t="shared" ca="1" si="29"/>
        <v>0.65695444063065755</v>
      </c>
      <c r="BA308">
        <f t="shared" ca="1" si="30"/>
        <v>0.29617776236367166</v>
      </c>
      <c r="BB308">
        <f t="shared" ca="1" si="31"/>
        <v>0.22292944806973528</v>
      </c>
    </row>
    <row r="309" spans="1:54" x14ac:dyDescent="0.25">
      <c r="A309" s="37">
        <v>45772</v>
      </c>
      <c r="B309" s="5">
        <v>6.5640999999999998</v>
      </c>
      <c r="C309">
        <v>8.5348000000000006</v>
      </c>
      <c r="D309">
        <v>9.4700000000000006E-2</v>
      </c>
      <c r="E309">
        <v>46.280500000000004</v>
      </c>
      <c r="F309">
        <v>2.3039000000000001</v>
      </c>
      <c r="G309">
        <v>0</v>
      </c>
      <c r="H309">
        <v>20.004100000000001</v>
      </c>
      <c r="I309">
        <v>5.1349999999999998</v>
      </c>
      <c r="J309">
        <v>3837.5</v>
      </c>
      <c r="K309">
        <v>15005222.3836</v>
      </c>
      <c r="M309" s="37">
        <v>45772</v>
      </c>
      <c r="N309" s="5">
        <v>7.4401000000000002</v>
      </c>
      <c r="O309">
        <v>5.9085999999999999</v>
      </c>
      <c r="P309">
        <v>-0.1166</v>
      </c>
      <c r="Q309">
        <v>32.870600000000003</v>
      </c>
      <c r="R309">
        <v>0.91180000000000005</v>
      </c>
      <c r="S309" t="s">
        <v>33</v>
      </c>
      <c r="T309">
        <v>34.053600000000003</v>
      </c>
      <c r="U309">
        <v>15.2033</v>
      </c>
      <c r="V309">
        <v>3650</v>
      </c>
      <c r="W309">
        <v>4976849.3870000001</v>
      </c>
      <c r="Y309" s="5">
        <v>7.2697000000000003</v>
      </c>
      <c r="Z309">
        <v>-14.909599999999999</v>
      </c>
      <c r="AA309">
        <v>-0.66369999999999996</v>
      </c>
      <c r="AB309">
        <v>5.0711000000000004</v>
      </c>
      <c r="AC309">
        <v>-0.59850000000000003</v>
      </c>
      <c r="AD309">
        <v>15.9076</v>
      </c>
      <c r="AE309">
        <v>-9.8628999999999998</v>
      </c>
      <c r="AF309">
        <v>-14.5936</v>
      </c>
      <c r="AG309">
        <v>61.945</v>
      </c>
      <c r="AH309">
        <v>435882.02759999997</v>
      </c>
      <c r="AJ309">
        <v>4.6877000000000004</v>
      </c>
      <c r="AK309">
        <v>14.7561</v>
      </c>
      <c r="AL309">
        <v>0.7611</v>
      </c>
      <c r="AM309">
        <v>18.9114</v>
      </c>
      <c r="AN309">
        <v>-8.1000000000000003E-2</v>
      </c>
      <c r="AO309">
        <v>195.11080000000001</v>
      </c>
      <c r="AP309">
        <v>58.838999999999999</v>
      </c>
      <c r="AQ309">
        <v>47.596299999999999</v>
      </c>
      <c r="AR309">
        <v>5994.5309999999999</v>
      </c>
      <c r="AS309">
        <v>4704756.6124999998</v>
      </c>
      <c r="AU309" s="1">
        <f t="shared" si="33"/>
        <v>45772</v>
      </c>
      <c r="AV309" s="29">
        <f t="shared" si="34"/>
        <v>7.8728386845031721</v>
      </c>
      <c r="AW309" s="30">
        <f t="shared" si="35"/>
        <v>0.10680930373126943</v>
      </c>
      <c r="AX309">
        <f t="shared" ca="1" si="27"/>
        <v>4.2529623466510191</v>
      </c>
      <c r="AY309">
        <f t="shared" ca="1" si="28"/>
        <v>3.101666477863076</v>
      </c>
      <c r="AZ309">
        <f t="shared" ca="1" si="29"/>
        <v>0.63983017180402679</v>
      </c>
      <c r="BA309">
        <f t="shared" ca="1" si="30"/>
        <v>0.28887312860130748</v>
      </c>
      <c r="BB309">
        <f t="shared" ca="1" si="31"/>
        <v>0.17604336223753803</v>
      </c>
    </row>
    <row r="310" spans="1:54" x14ac:dyDescent="0.25">
      <c r="A310" s="37">
        <v>45779</v>
      </c>
      <c r="B310" s="5">
        <v>6.2786</v>
      </c>
      <c r="C310">
        <v>8.5348000000000006</v>
      </c>
      <c r="D310">
        <v>9.4700000000000006E-2</v>
      </c>
      <c r="E310">
        <v>46.280500000000004</v>
      </c>
      <c r="F310">
        <v>2.3039000000000001</v>
      </c>
      <c r="G310">
        <v>0</v>
      </c>
      <c r="H310">
        <v>20.004100000000001</v>
      </c>
      <c r="I310">
        <v>5.1349999999999998</v>
      </c>
      <c r="J310">
        <v>3560</v>
      </c>
      <c r="K310">
        <v>13920154.1852</v>
      </c>
      <c r="M310" s="37">
        <v>45779</v>
      </c>
      <c r="N310" s="5">
        <v>6.9612999999999996</v>
      </c>
      <c r="O310">
        <v>5.9085999999999999</v>
      </c>
      <c r="P310">
        <v>-0.1166</v>
      </c>
      <c r="Q310">
        <v>32.870600000000003</v>
      </c>
      <c r="R310">
        <v>0.91180000000000005</v>
      </c>
      <c r="S310" t="s">
        <v>33</v>
      </c>
      <c r="T310">
        <v>34.053600000000003</v>
      </c>
      <c r="U310">
        <v>15.2033</v>
      </c>
      <c r="V310">
        <v>3385</v>
      </c>
      <c r="W310">
        <v>4615516.4863</v>
      </c>
      <c r="Y310" s="5">
        <v>7.2697000000000003</v>
      </c>
      <c r="Z310">
        <v>-14.909599999999999</v>
      </c>
      <c r="AA310">
        <v>-0.66369999999999996</v>
      </c>
      <c r="AB310">
        <v>5.0711000000000004</v>
      </c>
      <c r="AC310">
        <v>-0.59850000000000003</v>
      </c>
      <c r="AD310">
        <v>15.9076</v>
      </c>
      <c r="AE310">
        <v>-9.8628999999999998</v>
      </c>
      <c r="AF310">
        <v>-14.5936</v>
      </c>
      <c r="AG310">
        <v>57.956000000000003</v>
      </c>
      <c r="AH310">
        <v>407810.91310000001</v>
      </c>
      <c r="AJ310">
        <v>4.5274999999999999</v>
      </c>
      <c r="AK310">
        <v>14.7561</v>
      </c>
      <c r="AL310">
        <v>0.7611</v>
      </c>
      <c r="AM310">
        <v>18.9114</v>
      </c>
      <c r="AN310">
        <v>-8.1000000000000003E-2</v>
      </c>
      <c r="AO310">
        <v>195.11080000000001</v>
      </c>
      <c r="AP310">
        <v>58.838999999999999</v>
      </c>
      <c r="AQ310">
        <v>47.596299999999999</v>
      </c>
      <c r="AR310">
        <v>5793.1149999999998</v>
      </c>
      <c r="AS310">
        <v>4546676.7903000005</v>
      </c>
      <c r="AU310" s="1">
        <f t="shared" si="33"/>
        <v>45779</v>
      </c>
      <c r="AV310" s="29">
        <f t="shared" si="34"/>
        <v>7.5529314137607297</v>
      </c>
      <c r="AW310" s="30">
        <f t="shared" si="35"/>
        <v>7.6075010332041252E-3</v>
      </c>
      <c r="AX310">
        <f t="shared" ca="1" si="27"/>
        <v>4.2278686086518853</v>
      </c>
      <c r="AY310">
        <f t="shared" ca="1" si="28"/>
        <v>3.0116072314629614</v>
      </c>
      <c r="AZ310">
        <f t="shared" ca="1" si="29"/>
        <v>0.52897589544201074</v>
      </c>
      <c r="BA310">
        <f t="shared" ca="1" si="30"/>
        <v>0.28271778678242426</v>
      </c>
      <c r="BB310">
        <f t="shared" ca="1" si="31"/>
        <v>0.1460896652834478</v>
      </c>
    </row>
    <row r="311" spans="1:54" x14ac:dyDescent="0.25">
      <c r="A311" s="37">
        <v>45786</v>
      </c>
      <c r="B311" s="5">
        <v>6.5023999999999997</v>
      </c>
      <c r="C311">
        <v>8.5348000000000006</v>
      </c>
      <c r="D311">
        <v>9.4700000000000006E-2</v>
      </c>
      <c r="E311">
        <v>46.280500000000004</v>
      </c>
      <c r="F311">
        <v>2.3039000000000001</v>
      </c>
      <c r="G311">
        <v>0</v>
      </c>
      <c r="H311">
        <v>20.004100000000001</v>
      </c>
      <c r="I311">
        <v>5.1349999999999998</v>
      </c>
      <c r="J311">
        <v>3777.5</v>
      </c>
      <c r="K311">
        <v>14770613.043400001</v>
      </c>
      <c r="M311" s="37">
        <v>45786</v>
      </c>
      <c r="N311" s="5">
        <v>7.4942000000000002</v>
      </c>
      <c r="O311">
        <v>5.9085999999999999</v>
      </c>
      <c r="P311">
        <v>-0.1166</v>
      </c>
      <c r="Q311">
        <v>32.870600000000003</v>
      </c>
      <c r="R311">
        <v>0.91180000000000005</v>
      </c>
      <c r="S311" t="s">
        <v>33</v>
      </c>
      <c r="T311">
        <v>34.053600000000003</v>
      </c>
      <c r="U311">
        <v>15.2033</v>
      </c>
      <c r="V311">
        <v>3495</v>
      </c>
      <c r="W311">
        <v>4765503.7280999999</v>
      </c>
      <c r="Y311" s="5">
        <v>7.2697000000000003</v>
      </c>
      <c r="Z311">
        <v>-14.909599999999999</v>
      </c>
      <c r="AA311">
        <v>-0.66369999999999996</v>
      </c>
      <c r="AB311">
        <v>5.0711000000000004</v>
      </c>
      <c r="AC311">
        <v>-0.59850000000000003</v>
      </c>
      <c r="AD311">
        <v>15.9076</v>
      </c>
      <c r="AE311">
        <v>-9.8628999999999998</v>
      </c>
      <c r="AF311">
        <v>-14.5936</v>
      </c>
      <c r="AG311">
        <v>60.171999999999997</v>
      </c>
      <c r="AH311">
        <v>423405.9767</v>
      </c>
      <c r="AJ311">
        <v>4.8479999999999999</v>
      </c>
      <c r="AK311">
        <v>14.7561</v>
      </c>
      <c r="AL311">
        <v>0.7611</v>
      </c>
      <c r="AM311">
        <v>18.9114</v>
      </c>
      <c r="AN311">
        <v>-8.1000000000000003E-2</v>
      </c>
      <c r="AO311">
        <v>195.11080000000001</v>
      </c>
      <c r="AP311">
        <v>58.838999999999999</v>
      </c>
      <c r="AQ311">
        <v>47.596299999999999</v>
      </c>
      <c r="AR311">
        <v>6195.9480000000003</v>
      </c>
      <c r="AS311">
        <v>4862836.4347000001</v>
      </c>
      <c r="AU311" s="1">
        <f t="shared" si="33"/>
        <v>45786</v>
      </c>
      <c r="AV311" s="29">
        <f t="shared" si="34"/>
        <v>7.9366195151664476</v>
      </c>
      <c r="AW311" s="30">
        <f t="shared" si="35"/>
        <v>0.12658745183241396</v>
      </c>
      <c r="AX311">
        <f t="shared" ca="1" si="27"/>
        <v>4.2027748706527515</v>
      </c>
      <c r="AY311">
        <f t="shared" ca="1" si="28"/>
        <v>2.9215479850628467</v>
      </c>
      <c r="AZ311">
        <f t="shared" ca="1" si="29"/>
        <v>0.41812161907999468</v>
      </c>
      <c r="BA311">
        <f t="shared" ca="1" si="30"/>
        <v>0.26851953876344536</v>
      </c>
      <c r="BB311">
        <f t="shared" ca="1" si="31"/>
        <v>0.135457434721868</v>
      </c>
    </row>
    <row r="312" spans="1:54" x14ac:dyDescent="0.25">
      <c r="A312" s="37">
        <v>45793</v>
      </c>
      <c r="B312" s="5">
        <v>6.95</v>
      </c>
      <c r="C312">
        <v>8.5348000000000006</v>
      </c>
      <c r="D312">
        <v>9.4700000000000006E-2</v>
      </c>
      <c r="E312">
        <v>46.280500000000004</v>
      </c>
      <c r="F312">
        <v>2.3039000000000001</v>
      </c>
      <c r="G312">
        <v>0</v>
      </c>
      <c r="H312">
        <v>20.004100000000001</v>
      </c>
      <c r="I312">
        <v>5.1349999999999998</v>
      </c>
      <c r="J312">
        <v>4212.5</v>
      </c>
      <c r="K312">
        <v>16471530.7599</v>
      </c>
      <c r="M312" s="37">
        <v>45793</v>
      </c>
      <c r="N312" s="5">
        <v>7.9603999999999999</v>
      </c>
      <c r="O312">
        <v>5.9085999999999999</v>
      </c>
      <c r="P312">
        <v>-0.1166</v>
      </c>
      <c r="Q312">
        <v>32.870600000000003</v>
      </c>
      <c r="R312">
        <v>0.91180000000000005</v>
      </c>
      <c r="S312" t="s">
        <v>33</v>
      </c>
      <c r="T312">
        <v>34.053600000000003</v>
      </c>
      <c r="U312">
        <v>15.2033</v>
      </c>
      <c r="V312">
        <v>3860</v>
      </c>
      <c r="W312">
        <v>5263188.6667999998</v>
      </c>
      <c r="Y312" s="5">
        <v>7.2697000000000003</v>
      </c>
      <c r="Z312">
        <v>-14.909599999999999</v>
      </c>
      <c r="AA312">
        <v>-0.66369999999999996</v>
      </c>
      <c r="AB312">
        <v>5.0711000000000004</v>
      </c>
      <c r="AC312">
        <v>-0.59850000000000003</v>
      </c>
      <c r="AD312">
        <v>15.9076</v>
      </c>
      <c r="AE312">
        <v>-9.8628999999999998</v>
      </c>
      <c r="AF312">
        <v>-14.5936</v>
      </c>
      <c r="AG312">
        <v>75.747</v>
      </c>
      <c r="AH312">
        <v>530232.16240000003</v>
      </c>
      <c r="AJ312">
        <v>5.4202000000000004</v>
      </c>
      <c r="AK312">
        <v>14.7561</v>
      </c>
      <c r="AL312">
        <v>0.7611</v>
      </c>
      <c r="AM312">
        <v>18.9114</v>
      </c>
      <c r="AN312">
        <v>-8.1000000000000003E-2</v>
      </c>
      <c r="AO312">
        <v>195.11080000000001</v>
      </c>
      <c r="AP312">
        <v>58.838999999999999</v>
      </c>
      <c r="AQ312">
        <v>47.596299999999999</v>
      </c>
      <c r="AR312">
        <v>6915.2910000000002</v>
      </c>
      <c r="AS312">
        <v>5427407.2281999998</v>
      </c>
      <c r="AU312" s="1">
        <f t="shared" si="33"/>
        <v>45793</v>
      </c>
      <c r="AV312" s="29">
        <f t="shared" si="34"/>
        <v>8.5177138829545758</v>
      </c>
      <c r="AW312" s="30">
        <f t="shared" si="35"/>
        <v>0.30678219604216783</v>
      </c>
      <c r="AX312">
        <f t="shared" ca="1" si="27"/>
        <v>4.1999279617543133</v>
      </c>
      <c r="AY312">
        <f t="shared" ca="1" si="28"/>
        <v>2.8314887386627325</v>
      </c>
      <c r="AZ312">
        <f t="shared" ca="1" si="29"/>
        <v>0.41247927997695522</v>
      </c>
      <c r="BA312">
        <f t="shared" ca="1" si="30"/>
        <v>0.25226498710173623</v>
      </c>
      <c r="BB312">
        <f t="shared" ca="1" si="31"/>
        <v>0.12747445012135936</v>
      </c>
    </row>
    <row r="313" spans="1:54" x14ac:dyDescent="0.25">
      <c r="A313" s="37">
        <v>45800</v>
      </c>
      <c r="B313" s="5">
        <v>6.9936999999999996</v>
      </c>
      <c r="C313">
        <v>8.5348000000000006</v>
      </c>
      <c r="D313">
        <v>9.4700000000000006E-2</v>
      </c>
      <c r="E313">
        <v>46.280500000000004</v>
      </c>
      <c r="F313">
        <v>2.3039000000000001</v>
      </c>
      <c r="G313">
        <v>0</v>
      </c>
      <c r="H313">
        <v>20.004100000000001</v>
      </c>
      <c r="I313">
        <v>5.1349999999999998</v>
      </c>
      <c r="J313">
        <v>4255</v>
      </c>
      <c r="K313">
        <v>16637712.3759</v>
      </c>
      <c r="M313" s="37">
        <v>45800</v>
      </c>
      <c r="N313" s="5">
        <v>7.9423000000000004</v>
      </c>
      <c r="O313">
        <v>5.9085999999999999</v>
      </c>
      <c r="P313">
        <v>-0.1166</v>
      </c>
      <c r="Q313">
        <v>32.870600000000003</v>
      </c>
      <c r="R313">
        <v>0.91180000000000005</v>
      </c>
      <c r="S313" t="s">
        <v>33</v>
      </c>
      <c r="T313">
        <v>34.053600000000003</v>
      </c>
      <c r="U313">
        <v>15.2033</v>
      </c>
      <c r="V313">
        <v>3805</v>
      </c>
      <c r="W313">
        <v>5188195.0459000003</v>
      </c>
      <c r="Y313" s="5">
        <v>7.2697000000000003</v>
      </c>
      <c r="Z313">
        <v>-14.909599999999999</v>
      </c>
      <c r="AA313">
        <v>-0.66369999999999996</v>
      </c>
      <c r="AB313">
        <v>5.0711000000000004</v>
      </c>
      <c r="AC313">
        <v>-0.59850000000000003</v>
      </c>
      <c r="AD313">
        <v>15.9076</v>
      </c>
      <c r="AE313">
        <v>-9.8628999999999998</v>
      </c>
      <c r="AF313">
        <v>-14.5936</v>
      </c>
      <c r="AG313">
        <v>73.52</v>
      </c>
      <c r="AH313">
        <v>514637.09879999998</v>
      </c>
      <c r="AJ313">
        <v>5.4202000000000004</v>
      </c>
      <c r="AK313">
        <v>14.7561</v>
      </c>
      <c r="AL313">
        <v>0.7611</v>
      </c>
      <c r="AM313">
        <v>18.9114</v>
      </c>
      <c r="AN313">
        <v>-8.1000000000000003E-2</v>
      </c>
      <c r="AO313">
        <v>195.11080000000001</v>
      </c>
      <c r="AP313">
        <v>58.838999999999999</v>
      </c>
      <c r="AQ313">
        <v>47.596299999999999</v>
      </c>
      <c r="AR313">
        <v>6915.2910000000002</v>
      </c>
      <c r="AS313">
        <v>5427407.2281999998</v>
      </c>
      <c r="AU313" s="1">
        <f t="shared" si="33"/>
        <v>45800</v>
      </c>
      <c r="AV313" s="29">
        <f t="shared" si="34"/>
        <v>8.5371357155576213</v>
      </c>
      <c r="AW313" s="30">
        <f t="shared" si="35"/>
        <v>0.31280481878984945</v>
      </c>
      <c r="AX313">
        <f t="shared" ca="1" si="27"/>
        <v>4.1970810528558751</v>
      </c>
      <c r="AY313">
        <f t="shared" ca="1" si="28"/>
        <v>2.7414294922626179</v>
      </c>
      <c r="AZ313">
        <f t="shared" ca="1" si="29"/>
        <v>0.4068369408739157</v>
      </c>
      <c r="BA313">
        <f t="shared" ca="1" si="30"/>
        <v>0.25637307135076087</v>
      </c>
      <c r="BB313">
        <f t="shared" ca="1" si="31"/>
        <v>0.12836144841030478</v>
      </c>
    </row>
    <row r="314" spans="1:54" x14ac:dyDescent="0.25">
      <c r="A314" s="37">
        <v>45807</v>
      </c>
      <c r="B314" s="5">
        <v>7.0091999999999999</v>
      </c>
      <c r="C314">
        <v>8.5348000000000006</v>
      </c>
      <c r="D314">
        <v>9.4700000000000006E-2</v>
      </c>
      <c r="E314">
        <v>46.280500000000004</v>
      </c>
      <c r="F314">
        <v>2.3039000000000001</v>
      </c>
      <c r="G314">
        <v>0</v>
      </c>
      <c r="H314">
        <v>20.004100000000001</v>
      </c>
      <c r="I314">
        <v>5.1349999999999998</v>
      </c>
      <c r="J314">
        <v>4270</v>
      </c>
      <c r="K314">
        <v>16696364.710899999</v>
      </c>
      <c r="M314" s="37">
        <v>45807</v>
      </c>
      <c r="N314" s="5">
        <v>7.3375000000000004</v>
      </c>
      <c r="O314">
        <v>5.9085999999999999</v>
      </c>
      <c r="P314">
        <v>-0.1166</v>
      </c>
      <c r="Q314">
        <v>32.870600000000003</v>
      </c>
      <c r="R314">
        <v>0.91180000000000005</v>
      </c>
      <c r="S314" t="s">
        <v>33</v>
      </c>
      <c r="T314">
        <v>34.053600000000003</v>
      </c>
      <c r="U314">
        <v>15.2033</v>
      </c>
      <c r="V314">
        <v>3700</v>
      </c>
      <c r="W314">
        <v>5045025.4060000004</v>
      </c>
      <c r="Y314" s="5">
        <v>7.2697000000000003</v>
      </c>
      <c r="Z314">
        <v>-14.909599999999999</v>
      </c>
      <c r="AA314">
        <v>-0.66369999999999996</v>
      </c>
      <c r="AB314">
        <v>5.0711000000000004</v>
      </c>
      <c r="AC314">
        <v>-0.59850000000000003</v>
      </c>
      <c r="AD314">
        <v>15.9076</v>
      </c>
      <c r="AE314">
        <v>-9.8628999999999998</v>
      </c>
      <c r="AF314">
        <v>-14.5936</v>
      </c>
      <c r="AG314">
        <v>69.063999999999993</v>
      </c>
      <c r="AH314">
        <v>483446.97159999999</v>
      </c>
      <c r="AJ314">
        <v>5.0692000000000004</v>
      </c>
      <c r="AK314">
        <v>14.7561</v>
      </c>
      <c r="AL314">
        <v>0.7611</v>
      </c>
      <c r="AM314">
        <v>18.9114</v>
      </c>
      <c r="AN314">
        <v>-8.1000000000000003E-2</v>
      </c>
      <c r="AO314">
        <v>195.11080000000001</v>
      </c>
      <c r="AP314">
        <v>58.838999999999999</v>
      </c>
      <c r="AQ314">
        <v>47.596299999999999</v>
      </c>
      <c r="AR314">
        <v>6474.0940000000001</v>
      </c>
      <c r="AS314">
        <v>5081137.1414999999</v>
      </c>
      <c r="AU314" s="1">
        <f t="shared" si="33"/>
        <v>45807</v>
      </c>
      <c r="AV314" s="29">
        <f t="shared" si="34"/>
        <v>8.2483326003839839</v>
      </c>
      <c r="AW314" s="30">
        <f t="shared" si="35"/>
        <v>0.22324827453391166</v>
      </c>
      <c r="AX314">
        <f t="shared" ca="1" si="27"/>
        <v>4.194234143957436</v>
      </c>
      <c r="AY314">
        <f t="shared" ca="1" si="28"/>
        <v>2.741104615070896</v>
      </c>
      <c r="AZ314">
        <f t="shared" ca="1" si="29"/>
        <v>0.4000357915177174</v>
      </c>
      <c r="BA314">
        <f t="shared" ca="1" si="30"/>
        <v>0.26244630505710309</v>
      </c>
      <c r="BB314">
        <f t="shared" ca="1" si="31"/>
        <v>0.12924844669925017</v>
      </c>
    </row>
    <row r="315" spans="1:54" x14ac:dyDescent="0.25">
      <c r="A315" s="37">
        <v>45814</v>
      </c>
      <c r="B315" s="5">
        <v>6.7579000000000002</v>
      </c>
      <c r="C315">
        <v>8.5348000000000006</v>
      </c>
      <c r="D315">
        <v>9.4700000000000006E-2</v>
      </c>
      <c r="E315">
        <v>46.280500000000004</v>
      </c>
      <c r="F315">
        <v>2.3039000000000001</v>
      </c>
      <c r="G315">
        <v>0</v>
      </c>
      <c r="H315">
        <v>20.004100000000001</v>
      </c>
      <c r="I315">
        <v>5.1349999999999998</v>
      </c>
      <c r="J315">
        <v>4117.5</v>
      </c>
      <c r="K315">
        <v>15741729.251800001</v>
      </c>
      <c r="M315" s="37">
        <v>45814</v>
      </c>
      <c r="N315" s="5">
        <v>7.1094999999999997</v>
      </c>
      <c r="O315">
        <v>5.9085999999999999</v>
      </c>
      <c r="P315">
        <v>-0.1166</v>
      </c>
      <c r="Q315">
        <v>32.870600000000003</v>
      </c>
      <c r="R315">
        <v>0.91180000000000005</v>
      </c>
      <c r="S315" t="s">
        <v>33</v>
      </c>
      <c r="T315">
        <v>34.053600000000003</v>
      </c>
      <c r="U315">
        <v>15.2033</v>
      </c>
      <c r="V315">
        <v>3550</v>
      </c>
      <c r="W315">
        <v>4826727.1156000001</v>
      </c>
      <c r="Y315" s="5">
        <v>7.2697000000000003</v>
      </c>
      <c r="Z315">
        <v>-14.909599999999999</v>
      </c>
      <c r="AA315">
        <v>-0.66369999999999996</v>
      </c>
      <c r="AB315">
        <v>5.0711000000000004</v>
      </c>
      <c r="AC315">
        <v>-0.59850000000000003</v>
      </c>
      <c r="AD315">
        <v>15.9076</v>
      </c>
      <c r="AE315">
        <v>-9.8628999999999998</v>
      </c>
      <c r="AF315">
        <v>-14.5936</v>
      </c>
      <c r="AG315">
        <v>66.055999999999997</v>
      </c>
      <c r="AH315">
        <v>462393.63569999998</v>
      </c>
      <c r="AJ315">
        <v>4.7945000000000002</v>
      </c>
      <c r="AK315">
        <v>14.7561</v>
      </c>
      <c r="AL315">
        <v>0.7611</v>
      </c>
      <c r="AM315">
        <v>18.9114</v>
      </c>
      <c r="AN315">
        <v>-8.1000000000000003E-2</v>
      </c>
      <c r="AO315">
        <v>195.11080000000001</v>
      </c>
      <c r="AP315">
        <v>58.838999999999999</v>
      </c>
      <c r="AQ315">
        <v>47.596299999999999</v>
      </c>
      <c r="AR315">
        <v>6390</v>
      </c>
      <c r="AS315">
        <v>4810143.1606000001</v>
      </c>
      <c r="AU315" s="1">
        <f t="shared" si="33"/>
        <v>45814</v>
      </c>
      <c r="AV315" s="29">
        <f t="shared" si="34"/>
        <v>7.9464378715747799</v>
      </c>
      <c r="AW315" s="30">
        <f t="shared" si="35"/>
        <v>0.12963207989909778</v>
      </c>
      <c r="AX315">
        <f t="shared" ref="AX315:AX372" ca="1" si="36">+_xlfn.PERCENTILE.INC(OFFSET(AW315,-52,0,52,1),0.9)</f>
        <v>4.1913872350589978</v>
      </c>
      <c r="AY315">
        <f t="shared" ref="AY315:AY372" ca="1" si="37">+_xlfn.PERCENTILE.INC(OFFSET(AW315,-52,0,52,1),0.75)</f>
        <v>2.7407797378791741</v>
      </c>
      <c r="AZ315">
        <f t="shared" ref="AZ315:AZ372" ca="1" si="38">+_xlfn.PERCENTILE.INC(OFFSET(AW315,-52,0,52,1),0.5)</f>
        <v>0.3932346421615191</v>
      </c>
      <c r="BA315">
        <f t="shared" ref="BA315:BA372" ca="1" si="39">+_xlfn.PERCENTILE.INC(OFFSET(AW315,-52,0,52,1),0.25)</f>
        <v>0.24815690285271158</v>
      </c>
      <c r="BB315">
        <f t="shared" ref="BB315:BB372" ca="1" si="40">+_xlfn.PERCENTILE.INC(OFFSET(AW315,-52,0,52,1),0.1)</f>
        <v>0.13013544498819557</v>
      </c>
    </row>
    <row r="316" spans="1:54" x14ac:dyDescent="0.25">
      <c r="A316" s="37">
        <v>45821</v>
      </c>
      <c r="B316" s="5">
        <v>6.9667000000000003</v>
      </c>
      <c r="C316">
        <v>8.5348000000000006</v>
      </c>
      <c r="D316">
        <v>9.4700000000000006E-2</v>
      </c>
      <c r="E316">
        <v>46.280500000000004</v>
      </c>
      <c r="F316">
        <v>2.3039000000000001</v>
      </c>
      <c r="G316">
        <v>0</v>
      </c>
      <c r="H316">
        <v>20.004100000000001</v>
      </c>
      <c r="I316">
        <v>5.1349999999999998</v>
      </c>
      <c r="J316">
        <v>4325</v>
      </c>
      <c r="K316">
        <v>16535028.2973</v>
      </c>
      <c r="M316" s="37">
        <v>45821</v>
      </c>
      <c r="N316" s="5">
        <v>7.1776999999999997</v>
      </c>
      <c r="O316">
        <v>5.9085999999999999</v>
      </c>
      <c r="P316">
        <v>-0.1166</v>
      </c>
      <c r="Q316">
        <v>32.870600000000003</v>
      </c>
      <c r="R316">
        <v>0.91180000000000005</v>
      </c>
      <c r="S316" t="s">
        <v>33</v>
      </c>
      <c r="T316">
        <v>34.053600000000003</v>
      </c>
      <c r="U316">
        <v>15.2033</v>
      </c>
      <c r="V316">
        <v>3565</v>
      </c>
      <c r="W316">
        <v>4847121.7372000003</v>
      </c>
      <c r="Y316" s="5">
        <v>7.2697000000000003</v>
      </c>
      <c r="Z316">
        <v>-14.909599999999999</v>
      </c>
      <c r="AA316">
        <v>-0.66369999999999996</v>
      </c>
      <c r="AB316">
        <v>5.0711000000000004</v>
      </c>
      <c r="AC316">
        <v>-0.59850000000000003</v>
      </c>
      <c r="AD316">
        <v>15.9076</v>
      </c>
      <c r="AE316">
        <v>-9.8628999999999998</v>
      </c>
      <c r="AF316">
        <v>-14.5936</v>
      </c>
      <c r="AG316">
        <v>61.6</v>
      </c>
      <c r="AH316">
        <v>431203.5085</v>
      </c>
      <c r="AJ316">
        <v>4.8022</v>
      </c>
      <c r="AK316">
        <v>14.7561</v>
      </c>
      <c r="AL316">
        <v>0.7611</v>
      </c>
      <c r="AM316">
        <v>18.9114</v>
      </c>
      <c r="AN316">
        <v>-8.1000000000000003E-2</v>
      </c>
      <c r="AO316">
        <v>195.11080000000001</v>
      </c>
      <c r="AP316">
        <v>58.838999999999999</v>
      </c>
      <c r="AQ316">
        <v>47.596299999999999</v>
      </c>
      <c r="AR316">
        <v>6400</v>
      </c>
      <c r="AS316">
        <v>4817670.7712000003</v>
      </c>
      <c r="AU316" s="1">
        <f t="shared" si="33"/>
        <v>45821</v>
      </c>
      <c r="AV316" s="29">
        <f t="shared" si="34"/>
        <v>8.0801838061099396</v>
      </c>
      <c r="AW316" s="30">
        <f t="shared" si="35"/>
        <v>0.17110609134820678</v>
      </c>
      <c r="AX316">
        <f t="shared" ca="1" si="36"/>
        <v>4.1885403261605596</v>
      </c>
      <c r="AY316">
        <f t="shared" ca="1" si="37"/>
        <v>2.7404548606874521</v>
      </c>
      <c r="AZ316">
        <f t="shared" ca="1" si="38"/>
        <v>0.38878457250458642</v>
      </c>
      <c r="BA316">
        <f t="shared" ca="1" si="39"/>
        <v>0.2357676193994746</v>
      </c>
      <c r="BB316">
        <f t="shared" ca="1" si="40"/>
        <v>0.12810976586575587</v>
      </c>
    </row>
    <row r="317" spans="1:54" x14ac:dyDescent="0.25">
      <c r="A317" s="37">
        <v>45828</v>
      </c>
      <c r="B317" s="5">
        <v>6.7981999999999996</v>
      </c>
      <c r="C317">
        <v>8.5348000000000006</v>
      </c>
      <c r="D317">
        <v>9.4700000000000006E-2</v>
      </c>
      <c r="E317">
        <v>46.280500000000004</v>
      </c>
      <c r="F317">
        <v>2.3039000000000001</v>
      </c>
      <c r="G317">
        <v>0</v>
      </c>
      <c r="H317">
        <v>20.004100000000001</v>
      </c>
      <c r="I317">
        <v>5.1349999999999998</v>
      </c>
      <c r="J317">
        <v>4157.5</v>
      </c>
      <c r="K317">
        <v>15894654.369000001</v>
      </c>
      <c r="M317" s="37">
        <v>45828</v>
      </c>
      <c r="N317" s="5">
        <v>7.0580999999999996</v>
      </c>
      <c r="O317">
        <v>5.9085999999999999</v>
      </c>
      <c r="P317">
        <v>-0.1166</v>
      </c>
      <c r="Q317">
        <v>32.870600000000003</v>
      </c>
      <c r="R317">
        <v>0.91180000000000005</v>
      </c>
      <c r="S317" t="s">
        <v>33</v>
      </c>
      <c r="T317">
        <v>34.053600000000003</v>
      </c>
      <c r="U317">
        <v>15.2033</v>
      </c>
      <c r="V317">
        <v>3430</v>
      </c>
      <c r="W317">
        <v>4663570.1425999999</v>
      </c>
      <c r="Y317" s="5">
        <v>7.2697000000000003</v>
      </c>
      <c r="Z317">
        <v>-14.909599999999999</v>
      </c>
      <c r="AA317">
        <v>-0.66369999999999996</v>
      </c>
      <c r="AB317">
        <v>5.0711000000000004</v>
      </c>
      <c r="AC317">
        <v>-0.59850000000000003</v>
      </c>
      <c r="AD317">
        <v>15.9076</v>
      </c>
      <c r="AE317">
        <v>-9.8628999999999998</v>
      </c>
      <c r="AF317">
        <v>-14.5936</v>
      </c>
      <c r="AG317">
        <v>57.924999999999997</v>
      </c>
      <c r="AH317">
        <v>405471.65360000002</v>
      </c>
      <c r="AJ317">
        <v>4.97</v>
      </c>
      <c r="AK317">
        <v>14.7561</v>
      </c>
      <c r="AL317">
        <v>0.7611</v>
      </c>
      <c r="AM317">
        <v>18.9114</v>
      </c>
      <c r="AN317">
        <v>-8.1000000000000003E-2</v>
      </c>
      <c r="AO317">
        <v>195.11080000000001</v>
      </c>
      <c r="AP317">
        <v>58.838999999999999</v>
      </c>
      <c r="AQ317">
        <v>47.596299999999999</v>
      </c>
      <c r="AR317">
        <v>6620</v>
      </c>
      <c r="AS317">
        <v>4983278.2039999999</v>
      </c>
      <c r="AU317" s="1">
        <f t="shared" si="33"/>
        <v>45828</v>
      </c>
      <c r="AV317" s="29">
        <f t="shared" si="34"/>
        <v>8.0465549767362532</v>
      </c>
      <c r="AW317" s="30">
        <f t="shared" si="35"/>
        <v>0.16067794293897233</v>
      </c>
      <c r="AX317">
        <f t="shared" ca="1" si="36"/>
        <v>4.1856934172621214</v>
      </c>
      <c r="AY317">
        <f t="shared" ca="1" si="37"/>
        <v>2.7401299834957302</v>
      </c>
      <c r="AZ317">
        <f t="shared" ca="1" si="38"/>
        <v>0.38433450284765369</v>
      </c>
      <c r="BA317">
        <f t="shared" ca="1" si="39"/>
        <v>0.22324827453391166</v>
      </c>
      <c r="BB317">
        <f t="shared" ca="1" si="40"/>
        <v>0.12841422867242425</v>
      </c>
    </row>
    <row r="318" spans="1:54" x14ac:dyDescent="0.25">
      <c r="A318" s="37">
        <v>45835</v>
      </c>
      <c r="B318" s="5">
        <v>6.6497999999999999</v>
      </c>
      <c r="C318">
        <v>8.5348000000000006</v>
      </c>
      <c r="D318">
        <v>9.4700000000000006E-2</v>
      </c>
      <c r="E318">
        <v>46.280500000000004</v>
      </c>
      <c r="F318">
        <v>2.3039000000000001</v>
      </c>
      <c r="G318">
        <v>0</v>
      </c>
      <c r="H318">
        <v>20.004100000000001</v>
      </c>
      <c r="I318">
        <v>5.1349999999999998</v>
      </c>
      <c r="J318">
        <v>4010</v>
      </c>
      <c r="K318">
        <v>15330742.999299999</v>
      </c>
      <c r="M318" s="37">
        <v>45835</v>
      </c>
      <c r="N318" s="5">
        <v>6.84</v>
      </c>
      <c r="O318">
        <v>5.9085999999999999</v>
      </c>
      <c r="P318">
        <v>-0.1166</v>
      </c>
      <c r="Q318">
        <v>32.870600000000003</v>
      </c>
      <c r="R318">
        <v>0.91180000000000005</v>
      </c>
      <c r="S318" t="s">
        <v>33</v>
      </c>
      <c r="T318">
        <v>34.053600000000003</v>
      </c>
      <c r="U318">
        <v>15.2033</v>
      </c>
      <c r="V318">
        <v>3390</v>
      </c>
      <c r="W318">
        <v>4609184.4850000003</v>
      </c>
      <c r="Y318" s="5">
        <v>7.2697000000000003</v>
      </c>
      <c r="Z318">
        <v>-14.909599999999999</v>
      </c>
      <c r="AA318">
        <v>-0.66369999999999996</v>
      </c>
      <c r="AB318">
        <v>5.0711000000000004</v>
      </c>
      <c r="AC318">
        <v>-0.59850000000000003</v>
      </c>
      <c r="AD318">
        <v>15.9076</v>
      </c>
      <c r="AE318">
        <v>-9.8628999999999998</v>
      </c>
      <c r="AF318">
        <v>-14.5936</v>
      </c>
      <c r="AG318">
        <v>55.362000000000002</v>
      </c>
      <c r="AH318">
        <v>387537.33049999998</v>
      </c>
      <c r="AJ318">
        <v>4.7106000000000003</v>
      </c>
      <c r="AK318">
        <v>14.7561</v>
      </c>
      <c r="AL318">
        <v>0.7611</v>
      </c>
      <c r="AM318">
        <v>18.9114</v>
      </c>
      <c r="AN318">
        <v>-8.1000000000000003E-2</v>
      </c>
      <c r="AO318">
        <v>195.11080000000001</v>
      </c>
      <c r="AP318">
        <v>58.838999999999999</v>
      </c>
      <c r="AQ318">
        <v>47.596299999999999</v>
      </c>
      <c r="AR318">
        <v>6280</v>
      </c>
      <c r="AS318">
        <v>4727339.4441999998</v>
      </c>
      <c r="AU318" s="1">
        <f t="shared" si="33"/>
        <v>45835</v>
      </c>
      <c r="AV318" s="29">
        <f t="shared" si="34"/>
        <v>7.8002389100723475</v>
      </c>
      <c r="AW318" s="30">
        <f t="shared" si="35"/>
        <v>8.4296440918566834E-2</v>
      </c>
      <c r="AX318">
        <f t="shared" ca="1" si="36"/>
        <v>4.1828465083636832</v>
      </c>
      <c r="AY318">
        <f t="shared" ca="1" si="37"/>
        <v>2.7301544633773025</v>
      </c>
      <c r="AZ318">
        <f t="shared" ca="1" si="38"/>
        <v>0.38043065124808773</v>
      </c>
      <c r="BA318">
        <f t="shared" ca="1" si="39"/>
        <v>0.19323940368715709</v>
      </c>
      <c r="BB318">
        <f t="shared" ca="1" si="40"/>
        <v>0.12871869147909262</v>
      </c>
    </row>
    <row r="319" spans="1:54" x14ac:dyDescent="0.25">
      <c r="A319" s="37">
        <v>45842</v>
      </c>
      <c r="B319" s="5">
        <v>6.5846999999999998</v>
      </c>
      <c r="C319">
        <v>6.2013999999999996</v>
      </c>
      <c r="D319">
        <v>-1.2999999999999999E-3</v>
      </c>
      <c r="E319">
        <v>46.950200000000002</v>
      </c>
      <c r="F319">
        <v>2.3725000000000001</v>
      </c>
      <c r="G319">
        <v>0</v>
      </c>
      <c r="H319">
        <v>20.842600000000001</v>
      </c>
      <c r="I319">
        <v>4.2907999999999999</v>
      </c>
      <c r="J319">
        <v>3997.5</v>
      </c>
      <c r="K319">
        <v>15722678.9002</v>
      </c>
      <c r="M319" s="37">
        <v>45842</v>
      </c>
      <c r="N319" s="5">
        <v>7.8186999999999998</v>
      </c>
      <c r="O319">
        <v>3.5150999999999999</v>
      </c>
      <c r="P319">
        <v>-0.22869999999999999</v>
      </c>
      <c r="Q319">
        <v>31.490200000000002</v>
      </c>
      <c r="R319">
        <v>1.2161999999999999</v>
      </c>
      <c r="S319" t="s">
        <v>33</v>
      </c>
      <c r="T319">
        <v>31.7622</v>
      </c>
      <c r="U319">
        <v>12.0677</v>
      </c>
      <c r="V319">
        <v>3620</v>
      </c>
      <c r="W319">
        <v>4921902.0164000001</v>
      </c>
      <c r="Y319" s="5">
        <v>7.2697000000000003</v>
      </c>
      <c r="Z319">
        <v>-20.0427</v>
      </c>
      <c r="AA319">
        <v>-0.89910000000000001</v>
      </c>
      <c r="AB319">
        <v>6.9074999999999998</v>
      </c>
      <c r="AC319">
        <v>-0.59850000000000003</v>
      </c>
      <c r="AD319">
        <v>15.9076</v>
      </c>
      <c r="AE319">
        <v>-14.600300000000001</v>
      </c>
      <c r="AF319">
        <v>-19.234999999999999</v>
      </c>
      <c r="AG319">
        <v>53.023000000000003</v>
      </c>
      <c r="AH319">
        <v>371162.51370000001</v>
      </c>
      <c r="AJ319">
        <v>5.0933000000000002</v>
      </c>
      <c r="AK319">
        <v>17.3033</v>
      </c>
      <c r="AL319">
        <v>0.79649999999999999</v>
      </c>
      <c r="AM319">
        <v>21.0457</v>
      </c>
      <c r="AN319">
        <v>-2.3E-3</v>
      </c>
      <c r="AO319">
        <v>0</v>
      </c>
      <c r="AP319">
        <v>56.368699999999997</v>
      </c>
      <c r="AQ319">
        <v>44.298200000000001</v>
      </c>
      <c r="AR319">
        <v>6760</v>
      </c>
      <c r="AS319">
        <v>5088664.7521000002</v>
      </c>
      <c r="AU319" s="1">
        <f t="shared" si="33"/>
        <v>45842</v>
      </c>
      <c r="AV319" s="29">
        <f t="shared" si="34"/>
        <v>8.119072062493947</v>
      </c>
      <c r="AW319" s="30">
        <f t="shared" si="35"/>
        <v>0.18316516436685032</v>
      </c>
      <c r="AX319">
        <f t="shared" ca="1" si="36"/>
        <v>4.1799995994652441</v>
      </c>
      <c r="AY319">
        <f t="shared" ca="1" si="37"/>
        <v>2.7201789432588748</v>
      </c>
      <c r="AZ319">
        <f t="shared" ca="1" si="38"/>
        <v>0.37652679964852176</v>
      </c>
      <c r="BA319">
        <f t="shared" ca="1" si="39"/>
        <v>0.17717126904322283</v>
      </c>
      <c r="BB319">
        <f t="shared" ca="1" si="40"/>
        <v>0.12658534933780036</v>
      </c>
    </row>
    <row r="320" spans="1:54" x14ac:dyDescent="0.25">
      <c r="A320" s="37">
        <v>45849</v>
      </c>
      <c r="B320" s="5">
        <v>6.5350999999999999</v>
      </c>
      <c r="C320">
        <v>6.2013999999999996</v>
      </c>
      <c r="D320">
        <v>-1.2999999999999999E-3</v>
      </c>
      <c r="E320">
        <v>46.950200000000002</v>
      </c>
      <c r="F320">
        <v>2.3725000000000001</v>
      </c>
      <c r="G320">
        <v>0</v>
      </c>
      <c r="H320">
        <v>20.842600000000001</v>
      </c>
      <c r="I320">
        <v>4.2907999999999999</v>
      </c>
      <c r="J320">
        <v>3945</v>
      </c>
      <c r="K320">
        <v>15516189.683900001</v>
      </c>
      <c r="M320" s="37">
        <v>45849</v>
      </c>
      <c r="N320" s="5">
        <v>7.4785000000000004</v>
      </c>
      <c r="O320">
        <v>3.5150999999999999</v>
      </c>
      <c r="P320">
        <v>-0.22869999999999999</v>
      </c>
      <c r="Q320">
        <v>31.490200000000002</v>
      </c>
      <c r="R320">
        <v>1.2161999999999999</v>
      </c>
      <c r="S320" t="s">
        <v>33</v>
      </c>
      <c r="T320">
        <v>31.7622</v>
      </c>
      <c r="U320">
        <v>12.0677</v>
      </c>
      <c r="V320">
        <v>3495</v>
      </c>
      <c r="W320">
        <v>4751946.8362999996</v>
      </c>
      <c r="Y320" s="5">
        <v>7.2697000000000003</v>
      </c>
      <c r="Z320">
        <v>-20.0427</v>
      </c>
      <c r="AA320">
        <v>-0.89910000000000001</v>
      </c>
      <c r="AB320">
        <v>6.9074999999999998</v>
      </c>
      <c r="AC320">
        <v>-0.59850000000000003</v>
      </c>
      <c r="AD320">
        <v>15.9076</v>
      </c>
      <c r="AE320">
        <v>-14.600300000000001</v>
      </c>
      <c r="AF320">
        <v>-19.234999999999999</v>
      </c>
      <c r="AG320">
        <v>50.35</v>
      </c>
      <c r="AH320">
        <v>352448.4374</v>
      </c>
      <c r="AJ320">
        <v>4.7389999999999999</v>
      </c>
      <c r="AK320">
        <v>17.3033</v>
      </c>
      <c r="AL320">
        <v>0.79649999999999999</v>
      </c>
      <c r="AM320">
        <v>21.0457</v>
      </c>
      <c r="AN320">
        <v>-2.3E-3</v>
      </c>
      <c r="AO320">
        <v>0</v>
      </c>
      <c r="AP320">
        <v>56.368699999999997</v>
      </c>
      <c r="AQ320">
        <v>44.298200000000001</v>
      </c>
      <c r="AR320">
        <v>6290</v>
      </c>
      <c r="AS320">
        <v>4734867.0548</v>
      </c>
      <c r="AU320" s="1">
        <f t="shared" si="33"/>
        <v>45849</v>
      </c>
      <c r="AV320" s="29">
        <f t="shared" si="34"/>
        <v>7.8532212024811621</v>
      </c>
      <c r="AW320" s="30">
        <f t="shared" si="35"/>
        <v>0.10072601098064268</v>
      </c>
      <c r="AX320">
        <f t="shared" ca="1" si="36"/>
        <v>4.1771526905668059</v>
      </c>
      <c r="AY320">
        <f t="shared" ca="1" si="37"/>
        <v>2.710203423140447</v>
      </c>
      <c r="AZ320">
        <f t="shared" ca="1" si="38"/>
        <v>0.3446658092191856</v>
      </c>
      <c r="BA320">
        <f t="shared" ca="1" si="39"/>
        <v>0.18015039611218944</v>
      </c>
      <c r="BB320">
        <f t="shared" ca="1" si="40"/>
        <v>0.12658640058510717</v>
      </c>
    </row>
    <row r="321" spans="1:54" x14ac:dyDescent="0.25">
      <c r="A321" s="37">
        <v>45856</v>
      </c>
      <c r="B321" s="5">
        <v>6.58</v>
      </c>
      <c r="C321">
        <v>6.2013999999999996</v>
      </c>
      <c r="D321">
        <v>-1.2999999999999999E-3</v>
      </c>
      <c r="E321">
        <v>46.950200000000002</v>
      </c>
      <c r="F321">
        <v>2.3725000000000001</v>
      </c>
      <c r="G321">
        <v>0</v>
      </c>
      <c r="H321">
        <v>20.842600000000001</v>
      </c>
      <c r="I321">
        <v>4.2907999999999999</v>
      </c>
      <c r="J321">
        <v>3992.5</v>
      </c>
      <c r="K321">
        <v>15703013.260500001</v>
      </c>
      <c r="M321" s="37">
        <v>45856</v>
      </c>
      <c r="N321" s="5">
        <v>7.6893000000000002</v>
      </c>
      <c r="O321">
        <v>3.5150999999999999</v>
      </c>
      <c r="P321">
        <v>-0.22869999999999999</v>
      </c>
      <c r="Q321">
        <v>31.490200000000002</v>
      </c>
      <c r="R321">
        <v>1.2161999999999999</v>
      </c>
      <c r="S321" t="s">
        <v>33</v>
      </c>
      <c r="T321">
        <v>31.7622</v>
      </c>
      <c r="U321">
        <v>12.0677</v>
      </c>
      <c r="V321">
        <v>3695</v>
      </c>
      <c r="W321">
        <v>5023875.1244999999</v>
      </c>
      <c r="Y321" s="5">
        <v>7.2697000000000003</v>
      </c>
      <c r="Z321">
        <v>-20.0427</v>
      </c>
      <c r="AA321">
        <v>-0.89910000000000001</v>
      </c>
      <c r="AB321">
        <v>6.9074999999999998</v>
      </c>
      <c r="AC321">
        <v>-0.59850000000000003</v>
      </c>
      <c r="AD321">
        <v>15.9076</v>
      </c>
      <c r="AE321">
        <v>-14.600300000000001</v>
      </c>
      <c r="AF321">
        <v>-19.234999999999999</v>
      </c>
      <c r="AG321">
        <v>51.018000000000001</v>
      </c>
      <c r="AH321">
        <v>357126.95640000002</v>
      </c>
      <c r="AJ321">
        <v>5.0707000000000004</v>
      </c>
      <c r="AK321">
        <v>17.3033</v>
      </c>
      <c r="AL321">
        <v>0.79649999999999999</v>
      </c>
      <c r="AM321">
        <v>21.0457</v>
      </c>
      <c r="AN321">
        <v>-2.3E-3</v>
      </c>
      <c r="AO321">
        <v>0</v>
      </c>
      <c r="AP321">
        <v>56.368699999999997</v>
      </c>
      <c r="AQ321">
        <v>44.298200000000001</v>
      </c>
      <c r="AR321">
        <v>6730</v>
      </c>
      <c r="AS321">
        <v>5066081.9203000003</v>
      </c>
      <c r="AU321" s="1">
        <f t="shared" si="33"/>
        <v>45856</v>
      </c>
      <c r="AV321" s="29">
        <f t="shared" si="34"/>
        <v>8.0743964050734753</v>
      </c>
      <c r="AW321" s="30">
        <f t="shared" si="35"/>
        <v>0.16931144437309589</v>
      </c>
      <c r="AX321">
        <f t="shared" ca="1" si="36"/>
        <v>4.1743057816683677</v>
      </c>
      <c r="AY321">
        <f t="shared" ca="1" si="37"/>
        <v>2.7002279030220193</v>
      </c>
      <c r="AZ321">
        <f t="shared" ca="1" si="38"/>
        <v>0.31280481878984945</v>
      </c>
      <c r="BA321">
        <f t="shared" ca="1" si="39"/>
        <v>0.17110609134820678</v>
      </c>
      <c r="BB321">
        <f t="shared" ca="1" si="40"/>
        <v>0.12657693935934597</v>
      </c>
    </row>
    <row r="322" spans="1:54" x14ac:dyDescent="0.25">
      <c r="A322" s="37">
        <v>45863</v>
      </c>
      <c r="B322" s="5">
        <v>6.8566000000000003</v>
      </c>
      <c r="C322">
        <v>6.2013999999999996</v>
      </c>
      <c r="D322">
        <v>-1.2999999999999999E-3</v>
      </c>
      <c r="E322">
        <v>46.950200000000002</v>
      </c>
      <c r="F322">
        <v>2.3725000000000001</v>
      </c>
      <c r="G322">
        <v>0</v>
      </c>
      <c r="H322">
        <v>20.842600000000001</v>
      </c>
      <c r="I322">
        <v>4.2907999999999999</v>
      </c>
      <c r="J322">
        <v>4285</v>
      </c>
      <c r="K322">
        <v>16853453.180100001</v>
      </c>
      <c r="M322" s="37">
        <v>45863</v>
      </c>
      <c r="N322" s="5">
        <v>7.9523000000000001</v>
      </c>
      <c r="O322">
        <v>3.5150999999999999</v>
      </c>
      <c r="P322">
        <v>-0.22869999999999999</v>
      </c>
      <c r="Q322">
        <v>31.490200000000002</v>
      </c>
      <c r="R322">
        <v>1.2161999999999999</v>
      </c>
      <c r="S322" t="s">
        <v>33</v>
      </c>
      <c r="T322">
        <v>31.7622</v>
      </c>
      <c r="U322">
        <v>12.0677</v>
      </c>
      <c r="V322">
        <v>3840</v>
      </c>
      <c r="W322">
        <v>5221023.1333999997</v>
      </c>
      <c r="Y322" s="5">
        <v>7.2697000000000003</v>
      </c>
      <c r="Z322">
        <v>-20.0427</v>
      </c>
      <c r="AA322">
        <v>-0.89910000000000001</v>
      </c>
      <c r="AB322">
        <v>6.9074999999999998</v>
      </c>
      <c r="AC322">
        <v>-0.59850000000000003</v>
      </c>
      <c r="AD322">
        <v>15.9076</v>
      </c>
      <c r="AE322">
        <v>-14.600300000000001</v>
      </c>
      <c r="AF322">
        <v>-19.234999999999999</v>
      </c>
      <c r="AG322">
        <v>51.686</v>
      </c>
      <c r="AH322">
        <v>361805.4755</v>
      </c>
      <c r="AJ322">
        <v>5.3872</v>
      </c>
      <c r="AK322">
        <v>17.3033</v>
      </c>
      <c r="AL322">
        <v>0.79649999999999999</v>
      </c>
      <c r="AM322">
        <v>21.0457</v>
      </c>
      <c r="AN322">
        <v>-2.3E-3</v>
      </c>
      <c r="AO322">
        <v>0</v>
      </c>
      <c r="AP322">
        <v>56.368699999999997</v>
      </c>
      <c r="AQ322">
        <v>44.298200000000001</v>
      </c>
      <c r="AR322">
        <v>7150</v>
      </c>
      <c r="AS322">
        <v>5382241.5647</v>
      </c>
      <c r="AU322" s="1">
        <f t="shared" si="33"/>
        <v>45863</v>
      </c>
      <c r="AV322" s="29">
        <f t="shared" si="34"/>
        <v>8.4105717754677585</v>
      </c>
      <c r="AW322" s="30">
        <f t="shared" si="35"/>
        <v>0.27355791144590019</v>
      </c>
      <c r="AX322">
        <f t="shared" ca="1" si="36"/>
        <v>4.1390949080500778</v>
      </c>
      <c r="AY322">
        <f t="shared" ca="1" si="37"/>
        <v>2.6791968077131458</v>
      </c>
      <c r="AZ322">
        <f t="shared" ca="1" si="38"/>
        <v>0.30979350741600864</v>
      </c>
      <c r="BA322">
        <f t="shared" ca="1" si="39"/>
        <v>0.16976010611687362</v>
      </c>
      <c r="BB322">
        <f t="shared" ca="1" si="40"/>
        <v>0.12657799060665276</v>
      </c>
    </row>
    <row r="323" spans="1:54" x14ac:dyDescent="0.25">
      <c r="A323" s="37">
        <v>45870</v>
      </c>
      <c r="B323" s="5">
        <v>7.0763999999999996</v>
      </c>
      <c r="C323">
        <v>6.2013999999999996</v>
      </c>
      <c r="D323">
        <v>-1.2999999999999999E-3</v>
      </c>
      <c r="E323">
        <v>46.950200000000002</v>
      </c>
      <c r="F323">
        <v>2.3725000000000001</v>
      </c>
      <c r="G323">
        <v>0</v>
      </c>
      <c r="H323">
        <v>20.842600000000001</v>
      </c>
      <c r="I323">
        <v>4.2907999999999999</v>
      </c>
      <c r="J323">
        <v>4517.5</v>
      </c>
      <c r="K323">
        <v>17767905.423799999</v>
      </c>
      <c r="M323" s="37">
        <v>45870</v>
      </c>
      <c r="N323" s="5">
        <v>7.8394000000000004</v>
      </c>
      <c r="O323">
        <v>3.5150999999999999</v>
      </c>
      <c r="P323">
        <v>-0.22869999999999999</v>
      </c>
      <c r="Q323">
        <v>31.490200000000002</v>
      </c>
      <c r="R323">
        <v>1.2161999999999999</v>
      </c>
      <c r="S323" t="s">
        <v>33</v>
      </c>
      <c r="T323">
        <v>31.7622</v>
      </c>
      <c r="U323">
        <v>12.0677</v>
      </c>
      <c r="V323">
        <v>4065</v>
      </c>
      <c r="W323">
        <v>5526942.4577000001</v>
      </c>
      <c r="Y323" s="5">
        <v>7.2697000000000003</v>
      </c>
      <c r="Z323">
        <v>-20.0427</v>
      </c>
      <c r="AA323">
        <v>-0.89910000000000001</v>
      </c>
      <c r="AB323">
        <v>6.9074999999999998</v>
      </c>
      <c r="AC323">
        <v>-0.59850000000000003</v>
      </c>
      <c r="AD323">
        <v>15.9076</v>
      </c>
      <c r="AE323">
        <v>-14.600300000000001</v>
      </c>
      <c r="AF323">
        <v>-19.234999999999999</v>
      </c>
      <c r="AG323">
        <v>55.808</v>
      </c>
      <c r="AH323">
        <v>390656.3432</v>
      </c>
      <c r="AJ323">
        <v>5.8094000000000001</v>
      </c>
      <c r="AK323">
        <v>17.3033</v>
      </c>
      <c r="AL323">
        <v>0.79649999999999999</v>
      </c>
      <c r="AM323">
        <v>21.0457</v>
      </c>
      <c r="AN323">
        <v>-2.3E-3</v>
      </c>
      <c r="AO323">
        <v>0</v>
      </c>
      <c r="AP323">
        <v>56.368699999999997</v>
      </c>
      <c r="AQ323">
        <v>44.298200000000001</v>
      </c>
      <c r="AR323">
        <v>7710</v>
      </c>
      <c r="AS323">
        <v>5803787.7571999999</v>
      </c>
      <c r="AU323" s="1">
        <f t="shared" si="33"/>
        <v>45870</v>
      </c>
      <c r="AV323" s="29">
        <f t="shared" si="34"/>
        <v>8.681140823858259</v>
      </c>
      <c r="AW323" s="30">
        <f t="shared" si="35"/>
        <v>0.35746015378114043</v>
      </c>
      <c r="AX323">
        <f t="shared" ca="1" si="36"/>
        <v>4.1038840344317915</v>
      </c>
      <c r="AY323">
        <f t="shared" ca="1" si="37"/>
        <v>2.6581657124042719</v>
      </c>
      <c r="AZ323">
        <f t="shared" ca="1" si="38"/>
        <v>0.30678219604216783</v>
      </c>
      <c r="BA323">
        <f t="shared" ca="1" si="39"/>
        <v>0.17020876786065134</v>
      </c>
      <c r="BB323">
        <f t="shared" ca="1" si="40"/>
        <v>0.12657904185395957</v>
      </c>
    </row>
    <row r="324" spans="1:54" x14ac:dyDescent="0.25">
      <c r="A324" s="37">
        <v>45877</v>
      </c>
      <c r="B324" s="5">
        <v>7.1284000000000001</v>
      </c>
      <c r="C324">
        <v>6.2013999999999996</v>
      </c>
      <c r="D324">
        <v>-1.2999999999999999E-3</v>
      </c>
      <c r="E324">
        <v>46.950200000000002</v>
      </c>
      <c r="F324">
        <v>2.3725000000000001</v>
      </c>
      <c r="G324">
        <v>0</v>
      </c>
      <c r="H324">
        <v>20.842600000000001</v>
      </c>
      <c r="I324">
        <v>4.2907999999999999</v>
      </c>
      <c r="J324">
        <v>4572.5</v>
      </c>
      <c r="K324">
        <v>17984227.459899999</v>
      </c>
      <c r="M324" s="37">
        <v>45877</v>
      </c>
      <c r="N324" s="5">
        <v>7.9596</v>
      </c>
      <c r="O324">
        <v>3.5150999999999999</v>
      </c>
      <c r="P324">
        <v>-0.22869999999999999</v>
      </c>
      <c r="Q324">
        <v>31.490200000000002</v>
      </c>
      <c r="R324">
        <v>1.2161999999999999</v>
      </c>
      <c r="S324" t="s">
        <v>33</v>
      </c>
      <c r="T324">
        <v>31.7622</v>
      </c>
      <c r="U324">
        <v>12.0677</v>
      </c>
      <c r="V324">
        <v>3980</v>
      </c>
      <c r="W324">
        <v>5411372.9352000002</v>
      </c>
      <c r="Y324" s="5">
        <v>7.2697000000000003</v>
      </c>
      <c r="Z324">
        <v>-20.0427</v>
      </c>
      <c r="AA324">
        <v>-0.89910000000000001</v>
      </c>
      <c r="AB324">
        <v>6.9074999999999998</v>
      </c>
      <c r="AC324">
        <v>-0.59850000000000003</v>
      </c>
      <c r="AD324">
        <v>15.9076</v>
      </c>
      <c r="AE324">
        <v>-14.600300000000001</v>
      </c>
      <c r="AF324">
        <v>-19.234999999999999</v>
      </c>
      <c r="AG324">
        <v>60.709000000000003</v>
      </c>
      <c r="AH324">
        <v>424965.48310000001</v>
      </c>
      <c r="AJ324">
        <v>5.6887999999999996</v>
      </c>
      <c r="AK324">
        <v>17.3033</v>
      </c>
      <c r="AL324">
        <v>0.79649999999999999</v>
      </c>
      <c r="AM324">
        <v>21.0457</v>
      </c>
      <c r="AN324">
        <v>-2.3E-3</v>
      </c>
      <c r="AO324">
        <v>0</v>
      </c>
      <c r="AP324">
        <v>56.368699999999997</v>
      </c>
      <c r="AQ324">
        <v>44.298200000000001</v>
      </c>
      <c r="AR324">
        <v>7550</v>
      </c>
      <c r="AS324">
        <v>5683345.9879000001</v>
      </c>
      <c r="AU324" s="1">
        <f t="shared" si="33"/>
        <v>45877</v>
      </c>
      <c r="AV324" s="29">
        <f t="shared" si="34"/>
        <v>8.6770365710659316</v>
      </c>
      <c r="AW324" s="30">
        <f t="shared" si="35"/>
        <v>0.35618744348986592</v>
      </c>
      <c r="AX324">
        <f t="shared" ca="1" si="36"/>
        <v>4.0686731608135016</v>
      </c>
      <c r="AY324">
        <f t="shared" ca="1" si="37"/>
        <v>2.6371346170953984</v>
      </c>
      <c r="AZ324">
        <f t="shared" ca="1" si="38"/>
        <v>0.30979350741600864</v>
      </c>
      <c r="BA324">
        <f t="shared" ca="1" si="39"/>
        <v>0.17065742960442906</v>
      </c>
      <c r="BB324">
        <f t="shared" ca="1" si="40"/>
        <v>0.12658009310126636</v>
      </c>
    </row>
    <row r="325" spans="1:54" x14ac:dyDescent="0.25">
      <c r="A325" s="37">
        <v>45884</v>
      </c>
      <c r="B325" s="5">
        <v>6.8636999999999997</v>
      </c>
      <c r="C325">
        <v>6.2013999999999996</v>
      </c>
      <c r="D325">
        <v>-1.2999999999999999E-3</v>
      </c>
      <c r="E325">
        <v>46.950200000000002</v>
      </c>
      <c r="F325">
        <v>2.3725000000000001</v>
      </c>
      <c r="G325">
        <v>0</v>
      </c>
      <c r="H325">
        <v>20.842600000000001</v>
      </c>
      <c r="I325">
        <v>4.2907999999999999</v>
      </c>
      <c r="J325">
        <v>4292.5</v>
      </c>
      <c r="K325">
        <v>16882951.6395</v>
      </c>
      <c r="M325" s="37">
        <v>45884</v>
      </c>
      <c r="N325" s="5">
        <v>8.0146999999999995</v>
      </c>
      <c r="O325">
        <v>3.5150999999999999</v>
      </c>
      <c r="P325">
        <v>-0.22869999999999999</v>
      </c>
      <c r="Q325">
        <v>31.490200000000002</v>
      </c>
      <c r="R325">
        <v>1.2161999999999999</v>
      </c>
      <c r="S325" t="s">
        <v>33</v>
      </c>
      <c r="T325">
        <v>31.7622</v>
      </c>
      <c r="U325">
        <v>12.0677</v>
      </c>
      <c r="V325">
        <v>3910</v>
      </c>
      <c r="W325">
        <v>5316198.0343000004</v>
      </c>
      <c r="Y325" s="5">
        <v>7.2697000000000003</v>
      </c>
      <c r="Z325">
        <v>-20.0427</v>
      </c>
      <c r="AA325">
        <v>-0.89910000000000001</v>
      </c>
      <c r="AB325">
        <v>6.9074999999999998</v>
      </c>
      <c r="AC325">
        <v>-0.59850000000000003</v>
      </c>
      <c r="AD325">
        <v>15.9076</v>
      </c>
      <c r="AE325">
        <v>-14.600300000000001</v>
      </c>
      <c r="AF325">
        <v>-19.234999999999999</v>
      </c>
      <c r="AG325">
        <v>58.8</v>
      </c>
      <c r="AH325">
        <v>411600</v>
      </c>
      <c r="AJ325">
        <v>5.5380000000000003</v>
      </c>
      <c r="AK325">
        <v>17.3033</v>
      </c>
      <c r="AL325">
        <v>0.79649999999999999</v>
      </c>
      <c r="AM325">
        <v>21.0457</v>
      </c>
      <c r="AN325">
        <v>-2.3E-3</v>
      </c>
      <c r="AO325">
        <v>0</v>
      </c>
      <c r="AP325">
        <v>56.368699999999997</v>
      </c>
      <c r="AQ325">
        <v>44.298200000000001</v>
      </c>
      <c r="AR325">
        <v>7350</v>
      </c>
      <c r="AS325">
        <v>5532793.7763</v>
      </c>
      <c r="AU325" s="1">
        <f t="shared" si="33"/>
        <v>45884</v>
      </c>
      <c r="AV325" s="29">
        <f t="shared" si="34"/>
        <v>8.4968464459764093</v>
      </c>
      <c r="AW325" s="30">
        <f t="shared" si="35"/>
        <v>0.30031129789371963</v>
      </c>
      <c r="AX325">
        <f t="shared" ca="1" si="36"/>
        <v>4.0334622871952126</v>
      </c>
      <c r="AY325">
        <f t="shared" ca="1" si="37"/>
        <v>2.6161035217865249</v>
      </c>
      <c r="AZ325">
        <f t="shared" ca="1" si="38"/>
        <v>0.31280481878984945</v>
      </c>
      <c r="BA325">
        <f t="shared" ca="1" si="39"/>
        <v>0.17110609134820678</v>
      </c>
      <c r="BB325">
        <f t="shared" ca="1" si="40"/>
        <v>0.12658114434857318</v>
      </c>
    </row>
    <row r="326" spans="1:54" x14ac:dyDescent="0.25">
      <c r="A326" s="37">
        <v>45891</v>
      </c>
      <c r="B326" s="5">
        <v>6.8235000000000001</v>
      </c>
      <c r="C326">
        <v>6.2013999999999996</v>
      </c>
      <c r="D326">
        <v>-1.2999999999999999E-3</v>
      </c>
      <c r="E326">
        <v>46.950200000000002</v>
      </c>
      <c r="F326">
        <v>2.3725000000000001</v>
      </c>
      <c r="G326">
        <v>0</v>
      </c>
      <c r="H326">
        <v>20.842600000000001</v>
      </c>
      <c r="I326">
        <v>4.2907999999999999</v>
      </c>
      <c r="J326">
        <v>4250</v>
      </c>
      <c r="K326">
        <v>16715793.702500001</v>
      </c>
      <c r="M326" s="37">
        <v>45891</v>
      </c>
      <c r="N326" s="5">
        <v>7.5667</v>
      </c>
      <c r="O326">
        <v>3.5150999999999999</v>
      </c>
      <c r="P326">
        <v>-0.22869999999999999</v>
      </c>
      <c r="Q326">
        <v>31.490200000000002</v>
      </c>
      <c r="R326">
        <v>1.2161999999999999</v>
      </c>
      <c r="S326" t="s">
        <v>33</v>
      </c>
      <c r="T326">
        <v>31.7622</v>
      </c>
      <c r="U326">
        <v>12.0677</v>
      </c>
      <c r="V326">
        <v>3750</v>
      </c>
      <c r="W326">
        <v>5098655.4036999997</v>
      </c>
      <c r="Y326" s="5">
        <v>7.2697000000000003</v>
      </c>
      <c r="Z326">
        <v>-20.0427</v>
      </c>
      <c r="AA326">
        <v>-0.89910000000000001</v>
      </c>
      <c r="AB326">
        <v>6.9074999999999998</v>
      </c>
      <c r="AC326">
        <v>-0.59850000000000003</v>
      </c>
      <c r="AD326">
        <v>15.9076</v>
      </c>
      <c r="AE326">
        <v>-14.600300000000001</v>
      </c>
      <c r="AF326">
        <v>-19.234999999999999</v>
      </c>
      <c r="AG326">
        <v>52.1</v>
      </c>
      <c r="AH326">
        <v>364700</v>
      </c>
      <c r="AJ326">
        <v>5.5907999999999998</v>
      </c>
      <c r="AK326">
        <v>17.3033</v>
      </c>
      <c r="AL326">
        <v>0.79649999999999999</v>
      </c>
      <c r="AM326">
        <v>21.0457</v>
      </c>
      <c r="AN326">
        <v>-2.3E-3</v>
      </c>
      <c r="AO326">
        <v>0</v>
      </c>
      <c r="AP326">
        <v>56.368699999999997</v>
      </c>
      <c r="AQ326">
        <v>44.298200000000001</v>
      </c>
      <c r="AR326">
        <v>7420</v>
      </c>
      <c r="AS326">
        <v>5585487.0504000001</v>
      </c>
      <c r="AU326" s="1">
        <f t="shared" si="33"/>
        <v>45891</v>
      </c>
      <c r="AV326" s="29">
        <f t="shared" si="34"/>
        <v>8.4096470009041973</v>
      </c>
      <c r="AW326" s="30">
        <f t="shared" si="35"/>
        <v>0.2732711430220951</v>
      </c>
      <c r="AX326">
        <f t="shared" ca="1" si="36"/>
        <v>3.9982514135769227</v>
      </c>
      <c r="AY326">
        <f t="shared" ca="1" si="37"/>
        <v>2.5932379037859992</v>
      </c>
      <c r="AZ326">
        <f t="shared" ca="1" si="38"/>
        <v>0.30979350741600864</v>
      </c>
      <c r="BA326">
        <f t="shared" ca="1" si="39"/>
        <v>0.17412085960286766</v>
      </c>
      <c r="BB326">
        <f t="shared" ca="1" si="40"/>
        <v>0.12658219559587996</v>
      </c>
    </row>
    <row r="327" spans="1:54" x14ac:dyDescent="0.25">
      <c r="A327" s="37">
        <v>45898</v>
      </c>
      <c r="B327" s="5">
        <v>6.71</v>
      </c>
      <c r="C327">
        <v>6.2013999999999996</v>
      </c>
      <c r="D327">
        <v>-1.2999999999999999E-3</v>
      </c>
      <c r="E327">
        <v>46.950200000000002</v>
      </c>
      <c r="F327">
        <v>2.3725000000000001</v>
      </c>
      <c r="G327">
        <v>0</v>
      </c>
      <c r="H327">
        <v>20.842600000000001</v>
      </c>
      <c r="I327">
        <v>4.2907999999999999</v>
      </c>
      <c r="J327">
        <v>4130</v>
      </c>
      <c r="K327">
        <v>16243818.3509</v>
      </c>
      <c r="M327" s="37">
        <v>45898</v>
      </c>
      <c r="N327" s="5">
        <v>7.3205999999999998</v>
      </c>
      <c r="O327">
        <v>3.5150999999999999</v>
      </c>
      <c r="P327">
        <v>-0.22869999999999999</v>
      </c>
      <c r="Q327">
        <v>31.490200000000002</v>
      </c>
      <c r="R327">
        <v>1.2161999999999999</v>
      </c>
      <c r="S327" t="s">
        <v>33</v>
      </c>
      <c r="T327">
        <v>31.7622</v>
      </c>
      <c r="U327">
        <v>12.0677</v>
      </c>
      <c r="V327">
        <v>3645</v>
      </c>
      <c r="W327">
        <v>4955893.0524000004</v>
      </c>
      <c r="Y327" s="5">
        <v>7.2697000000000003</v>
      </c>
      <c r="Z327">
        <v>-20.0427</v>
      </c>
      <c r="AA327">
        <v>-0.89910000000000001</v>
      </c>
      <c r="AB327">
        <v>6.9074999999999998</v>
      </c>
      <c r="AC327">
        <v>-0.59850000000000003</v>
      </c>
      <c r="AD327">
        <v>15.9076</v>
      </c>
      <c r="AE327">
        <v>-14.600300000000001</v>
      </c>
      <c r="AF327">
        <v>-19.234999999999999</v>
      </c>
      <c r="AG327">
        <v>42.35</v>
      </c>
      <c r="AH327">
        <v>296450</v>
      </c>
      <c r="AJ327">
        <v>5.5454999999999997</v>
      </c>
      <c r="AK327">
        <v>17.3033</v>
      </c>
      <c r="AL327">
        <v>0.79649999999999999</v>
      </c>
      <c r="AM327">
        <v>21.0457</v>
      </c>
      <c r="AN327">
        <v>-2.3E-3</v>
      </c>
      <c r="AO327">
        <v>0</v>
      </c>
      <c r="AP327">
        <v>56.368699999999997</v>
      </c>
      <c r="AQ327">
        <v>44.298200000000001</v>
      </c>
      <c r="AR327">
        <v>7360</v>
      </c>
      <c r="AS327">
        <v>5540321.3869000003</v>
      </c>
      <c r="AU327" s="1">
        <f t="shared" ref="AU327:AU381" si="41">+A327</f>
        <v>45898</v>
      </c>
      <c r="AV327" s="29">
        <f t="shared" si="34"/>
        <v>8.2877627911112892</v>
      </c>
      <c r="AW327" s="30">
        <f t="shared" ref="AW327:AW372" si="42">+(AV327-$AW$1)/$AX$1</f>
        <v>0.23547539894968156</v>
      </c>
      <c r="AX327">
        <f t="shared" ca="1" si="36"/>
        <v>3.9630405399586337</v>
      </c>
      <c r="AY327">
        <f t="shared" ca="1" si="37"/>
        <v>2.5703722857854738</v>
      </c>
      <c r="AZ327">
        <f t="shared" ca="1" si="38"/>
        <v>0.30678219604216783</v>
      </c>
      <c r="BA327">
        <f t="shared" ca="1" si="39"/>
        <v>0.17713562785752857</v>
      </c>
      <c r="BB327">
        <f t="shared" ca="1" si="40"/>
        <v>0.12658324684318675</v>
      </c>
    </row>
    <row r="328" spans="1:54" x14ac:dyDescent="0.25">
      <c r="A328" s="37">
        <v>45905</v>
      </c>
      <c r="B328" s="5">
        <v>6.8589000000000002</v>
      </c>
      <c r="C328">
        <v>6.2013999999999996</v>
      </c>
      <c r="D328">
        <v>-1.2999999999999999E-3</v>
      </c>
      <c r="E328">
        <v>46.950200000000002</v>
      </c>
      <c r="F328">
        <v>2.3725000000000001</v>
      </c>
      <c r="G328">
        <v>0</v>
      </c>
      <c r="H328">
        <v>20.842600000000001</v>
      </c>
      <c r="I328">
        <v>4.2907999999999999</v>
      </c>
      <c r="J328">
        <v>4287.5</v>
      </c>
      <c r="K328">
        <v>16863285.999899998</v>
      </c>
      <c r="M328" s="37">
        <v>45905</v>
      </c>
      <c r="N328" s="5">
        <v>7.3277000000000001</v>
      </c>
      <c r="O328">
        <v>3.5150999999999999</v>
      </c>
      <c r="P328">
        <v>-0.22869999999999999</v>
      </c>
      <c r="Q328">
        <v>31.490200000000002</v>
      </c>
      <c r="R328">
        <v>1.2161999999999999</v>
      </c>
      <c r="S328" t="s">
        <v>33</v>
      </c>
      <c r="T328">
        <v>31.7622</v>
      </c>
      <c r="U328">
        <v>12.0677</v>
      </c>
      <c r="V328">
        <v>3760</v>
      </c>
      <c r="W328">
        <v>5112251.8181999996</v>
      </c>
      <c r="Y328" s="5">
        <v>7.2697000000000003</v>
      </c>
      <c r="Z328">
        <v>-20.0427</v>
      </c>
      <c r="AA328">
        <v>-0.89910000000000001</v>
      </c>
      <c r="AB328">
        <v>6.9074999999999998</v>
      </c>
      <c r="AC328">
        <v>-0.59850000000000003</v>
      </c>
      <c r="AD328">
        <v>15.9076</v>
      </c>
      <c r="AE328">
        <v>-14.600300000000001</v>
      </c>
      <c r="AF328">
        <v>-19.234999999999999</v>
      </c>
      <c r="AG328">
        <v>38.799999999999997</v>
      </c>
      <c r="AH328">
        <v>271600</v>
      </c>
      <c r="AJ328">
        <v>5.4776999999999996</v>
      </c>
      <c r="AK328">
        <v>17.3033</v>
      </c>
      <c r="AL328">
        <v>0.79649999999999999</v>
      </c>
      <c r="AM328">
        <v>21.0457</v>
      </c>
      <c r="AN328">
        <v>-2.3E-3</v>
      </c>
      <c r="AO328">
        <v>0</v>
      </c>
      <c r="AP328">
        <v>56.368699999999997</v>
      </c>
      <c r="AQ328">
        <v>44.298200000000001</v>
      </c>
      <c r="AR328">
        <v>7270</v>
      </c>
      <c r="AS328">
        <v>5472572.8916999996</v>
      </c>
      <c r="AU328" s="1">
        <f t="shared" si="41"/>
        <v>45905</v>
      </c>
      <c r="AV328" s="29">
        <f t="shared" si="34"/>
        <v>8.3191017449097497</v>
      </c>
      <c r="AW328" s="30">
        <f t="shared" si="42"/>
        <v>0.24519346726448904</v>
      </c>
      <c r="AX328">
        <f t="shared" ca="1" si="36"/>
        <v>3.9278296663403465</v>
      </c>
      <c r="AY328">
        <f t="shared" ca="1" si="37"/>
        <v>2.5475066677849485</v>
      </c>
      <c r="AZ328">
        <f t="shared" ca="1" si="38"/>
        <v>0.3035467469679437</v>
      </c>
      <c r="BA328">
        <f t="shared" ca="1" si="39"/>
        <v>0.18015039611218944</v>
      </c>
      <c r="BB328">
        <f t="shared" ca="1" si="40"/>
        <v>0.12658429809049357</v>
      </c>
    </row>
    <row r="329" spans="1:54" x14ac:dyDescent="0.25">
      <c r="A329" s="37">
        <v>45912</v>
      </c>
      <c r="B329" s="5">
        <v>6.6059999999999999</v>
      </c>
      <c r="C329">
        <v>6.2013999999999996</v>
      </c>
      <c r="D329">
        <v>-1.2999999999999999E-3</v>
      </c>
      <c r="E329">
        <v>46.950200000000002</v>
      </c>
      <c r="F329">
        <v>2.3725000000000001</v>
      </c>
      <c r="G329">
        <v>0</v>
      </c>
      <c r="H329">
        <v>20.842600000000001</v>
      </c>
      <c r="I329">
        <v>4.2907999999999999</v>
      </c>
      <c r="J329">
        <v>4020</v>
      </c>
      <c r="K329">
        <v>15811174.2786</v>
      </c>
      <c r="M329" s="37">
        <v>45912</v>
      </c>
      <c r="N329" s="5">
        <v>6.5071000000000003</v>
      </c>
      <c r="O329">
        <v>3.5150999999999999</v>
      </c>
      <c r="P329">
        <v>-0.22869999999999999</v>
      </c>
      <c r="Q329">
        <v>31.490200000000002</v>
      </c>
      <c r="R329">
        <v>1.2161999999999999</v>
      </c>
      <c r="S329" t="s">
        <v>33</v>
      </c>
      <c r="T329">
        <v>31.7622</v>
      </c>
      <c r="U329">
        <v>12.0677</v>
      </c>
      <c r="V329">
        <v>3512.5</v>
      </c>
      <c r="W329">
        <v>4775740.5614999998</v>
      </c>
      <c r="Y329" s="5">
        <v>7.2697000000000003</v>
      </c>
      <c r="Z329">
        <v>-20.0427</v>
      </c>
      <c r="AA329">
        <v>-0.89910000000000001</v>
      </c>
      <c r="AB329">
        <v>6.9074999999999998</v>
      </c>
      <c r="AC329">
        <v>-0.59850000000000003</v>
      </c>
      <c r="AD329">
        <v>15.9076</v>
      </c>
      <c r="AE329">
        <v>-14.600300000000001</v>
      </c>
      <c r="AF329">
        <v>-19.234999999999999</v>
      </c>
      <c r="AG329">
        <v>33.21</v>
      </c>
      <c r="AH329">
        <v>232470</v>
      </c>
      <c r="AJ329">
        <v>4.7427999999999999</v>
      </c>
      <c r="AK329">
        <v>17.3033</v>
      </c>
      <c r="AL329">
        <v>0.79649999999999999</v>
      </c>
      <c r="AM329">
        <v>21.0457</v>
      </c>
      <c r="AN329">
        <v>-2.3E-3</v>
      </c>
      <c r="AO329">
        <v>0</v>
      </c>
      <c r="AP329">
        <v>56.368699999999997</v>
      </c>
      <c r="AQ329">
        <v>44.298200000000001</v>
      </c>
      <c r="AR329">
        <v>6295</v>
      </c>
      <c r="AS329">
        <v>4738630.8601000002</v>
      </c>
      <c r="AU329" s="1">
        <f t="shared" si="41"/>
        <v>45912</v>
      </c>
      <c r="AV329" s="29">
        <f t="shared" si="34"/>
        <v>7.6702172288431321</v>
      </c>
      <c r="AW329" s="30">
        <f t="shared" si="42"/>
        <v>4.3977303632825454E-2</v>
      </c>
      <c r="AX329">
        <f t="shared" ca="1" si="36"/>
        <v>3.892618792722057</v>
      </c>
      <c r="AY329">
        <f t="shared" ca="1" si="37"/>
        <v>2.5246410497844227</v>
      </c>
      <c r="AZ329">
        <f t="shared" ca="1" si="38"/>
        <v>0.30031129789371963</v>
      </c>
      <c r="BA329">
        <f t="shared" ca="1" si="39"/>
        <v>0.18316516436685032</v>
      </c>
      <c r="BB329">
        <f t="shared" ca="1" si="40"/>
        <v>0.12658534933780036</v>
      </c>
    </row>
    <row r="330" spans="1:54" x14ac:dyDescent="0.25">
      <c r="A330" s="37">
        <v>45919</v>
      </c>
      <c r="B330" s="5">
        <v>6.3109999999999999</v>
      </c>
      <c r="C330">
        <v>6.2013999999999996</v>
      </c>
      <c r="D330">
        <v>-1.2999999999999999E-3</v>
      </c>
      <c r="E330">
        <v>46.950200000000002</v>
      </c>
      <c r="F330">
        <v>2.3725000000000001</v>
      </c>
      <c r="G330">
        <v>0</v>
      </c>
      <c r="H330">
        <v>20.842600000000001</v>
      </c>
      <c r="I330">
        <v>4.2907999999999999</v>
      </c>
      <c r="J330">
        <v>3708</v>
      </c>
      <c r="K330">
        <v>14584038.364399999</v>
      </c>
      <c r="M330" s="37">
        <v>45919</v>
      </c>
      <c r="N330" s="5">
        <v>6.5064000000000002</v>
      </c>
      <c r="O330">
        <v>3.5150999999999999</v>
      </c>
      <c r="P330">
        <v>-0.22869999999999999</v>
      </c>
      <c r="Q330">
        <v>31.490200000000002</v>
      </c>
      <c r="R330">
        <v>1.2161999999999999</v>
      </c>
      <c r="S330" t="s">
        <v>33</v>
      </c>
      <c r="T330">
        <v>31.7622</v>
      </c>
      <c r="U330">
        <v>12.0677</v>
      </c>
      <c r="V330">
        <v>3572.5</v>
      </c>
      <c r="W330">
        <v>4857319.0480000004</v>
      </c>
      <c r="Y330" s="5">
        <v>7.2697000000000003</v>
      </c>
      <c r="Z330">
        <v>-20.0427</v>
      </c>
      <c r="AA330">
        <v>-0.89910000000000001</v>
      </c>
      <c r="AB330">
        <v>6.9074999999999998</v>
      </c>
      <c r="AC330">
        <v>-0.59850000000000003</v>
      </c>
      <c r="AD330">
        <v>15.9076</v>
      </c>
      <c r="AE330">
        <v>-14.600300000000001</v>
      </c>
      <c r="AF330">
        <v>-19.234999999999999</v>
      </c>
      <c r="AG330">
        <v>29.34</v>
      </c>
      <c r="AH330">
        <v>205380</v>
      </c>
      <c r="AJ330">
        <v>4.8144</v>
      </c>
      <c r="AK330">
        <v>17.3033</v>
      </c>
      <c r="AL330">
        <v>0.79649999999999999</v>
      </c>
      <c r="AM330">
        <v>21.0457</v>
      </c>
      <c r="AN330">
        <v>-2.3E-3</v>
      </c>
      <c r="AO330">
        <v>0</v>
      </c>
      <c r="AP330">
        <v>56.368699999999997</v>
      </c>
      <c r="AQ330">
        <v>44.298200000000001</v>
      </c>
      <c r="AR330">
        <v>6390</v>
      </c>
      <c r="AS330">
        <v>4810143.1606000001</v>
      </c>
      <c r="AU330" s="1">
        <f t="shared" si="41"/>
        <v>45919</v>
      </c>
      <c r="AV330" s="29">
        <f t="shared" si="34"/>
        <v>7.5480487104404634</v>
      </c>
      <c r="AW330" s="30">
        <f t="shared" si="42"/>
        <v>6.0933967420259008E-3</v>
      </c>
      <c r="AX330">
        <f t="shared" ca="1" si="36"/>
        <v>3.8574079191037676</v>
      </c>
      <c r="AY330">
        <f t="shared" ca="1" si="37"/>
        <v>2.0620004647026393</v>
      </c>
      <c r="AZ330">
        <f t="shared" ca="1" si="38"/>
        <v>0.29946196908908967</v>
      </c>
      <c r="BA330">
        <f t="shared" ca="1" si="39"/>
        <v>0.17412085960286766</v>
      </c>
      <c r="BB330">
        <f t="shared" ca="1" si="40"/>
        <v>0.12460017579653831</v>
      </c>
    </row>
    <row r="331" spans="1:54" x14ac:dyDescent="0.25">
      <c r="A331" s="37">
        <v>45926</v>
      </c>
      <c r="B331" s="5">
        <v>6.4339000000000004</v>
      </c>
      <c r="C331">
        <v>6.2013999999999996</v>
      </c>
      <c r="D331">
        <v>-1.2999999999999999E-3</v>
      </c>
      <c r="E331">
        <v>46.950200000000002</v>
      </c>
      <c r="F331">
        <v>2.3725000000000001</v>
      </c>
      <c r="G331">
        <v>0</v>
      </c>
      <c r="H331">
        <v>20.842600000000001</v>
      </c>
      <c r="I331">
        <v>4.2907999999999999</v>
      </c>
      <c r="J331">
        <v>3838</v>
      </c>
      <c r="K331">
        <v>15095344.995300001</v>
      </c>
      <c r="M331" s="37">
        <v>45926</v>
      </c>
      <c r="N331" s="5">
        <v>7.3647</v>
      </c>
      <c r="O331">
        <v>3.5150999999999999</v>
      </c>
      <c r="P331">
        <v>-0.22869999999999999</v>
      </c>
      <c r="Q331">
        <v>31.490200000000002</v>
      </c>
      <c r="R331">
        <v>1.2161999999999999</v>
      </c>
      <c r="S331" t="s">
        <v>33</v>
      </c>
      <c r="T331">
        <v>31.7622</v>
      </c>
      <c r="U331">
        <v>12.0677</v>
      </c>
      <c r="V331">
        <v>3637.5</v>
      </c>
      <c r="W331">
        <v>4945695.7416000003</v>
      </c>
      <c r="Y331" s="5">
        <v>7.2697000000000003</v>
      </c>
      <c r="Z331">
        <v>-20.0427</v>
      </c>
      <c r="AA331">
        <v>-0.89910000000000001</v>
      </c>
      <c r="AB331">
        <v>6.9074999999999998</v>
      </c>
      <c r="AC331">
        <v>-0.59850000000000003</v>
      </c>
      <c r="AD331">
        <v>15.9076</v>
      </c>
      <c r="AE331">
        <v>-14.600300000000001</v>
      </c>
      <c r="AF331">
        <v>-19.234999999999999</v>
      </c>
      <c r="AG331">
        <v>31.17</v>
      </c>
      <c r="AH331">
        <v>218190</v>
      </c>
      <c r="AJ331">
        <v>4.8483000000000001</v>
      </c>
      <c r="AK331">
        <v>17.3033</v>
      </c>
      <c r="AL331">
        <v>0.79649999999999999</v>
      </c>
      <c r="AM331">
        <v>21.0457</v>
      </c>
      <c r="AN331">
        <v>-2.3E-3</v>
      </c>
      <c r="AO331">
        <v>0</v>
      </c>
      <c r="AP331">
        <v>56.368699999999997</v>
      </c>
      <c r="AQ331">
        <v>44.298200000000001</v>
      </c>
      <c r="AR331">
        <v>6435</v>
      </c>
      <c r="AS331">
        <v>4844017.4082000004</v>
      </c>
      <c r="AU331" s="1">
        <f t="shared" si="41"/>
        <v>45926</v>
      </c>
      <c r="AV331" s="29">
        <f t="shared" si="34"/>
        <v>7.8293659367675126</v>
      </c>
      <c r="AW331" s="30">
        <f t="shared" si="42"/>
        <v>9.3328600608745774E-2</v>
      </c>
      <c r="AX331">
        <f t="shared" ca="1" si="36"/>
        <v>3.8221970454854781</v>
      </c>
      <c r="AY331">
        <f t="shared" ca="1" si="37"/>
        <v>1.5993598796208555</v>
      </c>
      <c r="AZ331">
        <f t="shared" ca="1" si="38"/>
        <v>0.29861264028445972</v>
      </c>
      <c r="BA331">
        <f t="shared" ca="1" si="39"/>
        <v>0.17020876786065134</v>
      </c>
      <c r="BB331">
        <f t="shared" ca="1" si="40"/>
        <v>0.10680930373126943</v>
      </c>
    </row>
    <row r="332" spans="1:54" x14ac:dyDescent="0.25">
      <c r="A332" s="37">
        <v>45933</v>
      </c>
      <c r="B332" s="5">
        <v>6.3811</v>
      </c>
      <c r="C332">
        <v>-2.3226</v>
      </c>
      <c r="D332">
        <v>-0.51349999999999996</v>
      </c>
      <c r="E332">
        <v>49.129899999999999</v>
      </c>
      <c r="F332">
        <v>2.5665</v>
      </c>
      <c r="G332">
        <v>0</v>
      </c>
      <c r="H332">
        <v>21.359200000000001</v>
      </c>
      <c r="I332">
        <v>3.3578000000000001</v>
      </c>
      <c r="J332">
        <v>3682</v>
      </c>
      <c r="K332">
        <v>14481777.0383</v>
      </c>
      <c r="M332" s="37">
        <v>45933</v>
      </c>
      <c r="N332" s="5">
        <v>6.6332000000000004</v>
      </c>
      <c r="O332">
        <v>2.1259999999999999</v>
      </c>
      <c r="P332">
        <v>-0.29770000000000002</v>
      </c>
      <c r="Q332">
        <v>34.2879</v>
      </c>
      <c r="R332">
        <v>1.3694</v>
      </c>
      <c r="S332" t="s">
        <v>33</v>
      </c>
      <c r="T332">
        <v>34.619999999999997</v>
      </c>
      <c r="U332">
        <v>14.404400000000001</v>
      </c>
      <c r="V332">
        <v>3707.5</v>
      </c>
      <c r="W332">
        <v>5040870.6425000001</v>
      </c>
      <c r="Y332" s="5">
        <v>7.2697000000000003</v>
      </c>
      <c r="Z332">
        <v>-11.3489</v>
      </c>
      <c r="AA332">
        <v>-0.66979999999999995</v>
      </c>
      <c r="AB332">
        <v>8.2204999999999995</v>
      </c>
      <c r="AC332">
        <v>-0.59850000000000003</v>
      </c>
      <c r="AD332">
        <v>15.9076</v>
      </c>
      <c r="AE332">
        <v>-9.1801999999999992</v>
      </c>
      <c r="AF332">
        <v>-13.6242</v>
      </c>
      <c r="AG332">
        <v>32.49</v>
      </c>
      <c r="AH332">
        <v>227430</v>
      </c>
      <c r="AJ332">
        <v>4.5609000000000002</v>
      </c>
      <c r="AK332">
        <v>16.099299999999999</v>
      </c>
      <c r="AL332">
        <v>0.9083</v>
      </c>
      <c r="AM332">
        <v>22.0093</v>
      </c>
      <c r="AN332">
        <v>-8.5999999999999993E-2</v>
      </c>
      <c r="AO332">
        <v>0</v>
      </c>
      <c r="AP332">
        <v>55.951300000000003</v>
      </c>
      <c r="AQ332">
        <v>43.993000000000002</v>
      </c>
      <c r="AR332">
        <v>6425</v>
      </c>
      <c r="AS332">
        <v>4836489.7977</v>
      </c>
      <c r="AU332" s="1">
        <f t="shared" si="41"/>
        <v>45933</v>
      </c>
      <c r="AV332" s="29">
        <f t="shared" si="34"/>
        <v>7.572570964601848</v>
      </c>
      <c r="AW332" s="30">
        <f t="shared" si="42"/>
        <v>1.3697637225162684E-2</v>
      </c>
      <c r="AX332">
        <f t="shared" ca="1" si="36"/>
        <v>3.7817559032146009</v>
      </c>
      <c r="AY332">
        <f t="shared" ca="1" si="37"/>
        <v>1.1367192945390721</v>
      </c>
      <c r="AZ332">
        <f t="shared" ca="1" si="38"/>
        <v>0.2937428844428836</v>
      </c>
      <c r="BA332">
        <f t="shared" ca="1" si="39"/>
        <v>0.167153069014565</v>
      </c>
      <c r="BB332">
        <f t="shared" ca="1" si="40"/>
        <v>0.10133434025570535</v>
      </c>
    </row>
    <row r="333" spans="1:54" x14ac:dyDescent="0.25">
      <c r="A333" s="37">
        <v>45940</v>
      </c>
      <c r="B333" s="5">
        <v>6.5410000000000004</v>
      </c>
      <c r="C333">
        <v>-2.3226</v>
      </c>
      <c r="D333">
        <v>-0.51349999999999996</v>
      </c>
      <c r="E333">
        <v>49.129899999999999</v>
      </c>
      <c r="F333">
        <v>2.5665</v>
      </c>
      <c r="G333">
        <v>0</v>
      </c>
      <c r="H333">
        <v>21.359200000000001</v>
      </c>
      <c r="I333">
        <v>3.3578000000000001</v>
      </c>
      <c r="J333">
        <v>3866</v>
      </c>
      <c r="K333">
        <v>15205472.577400001</v>
      </c>
      <c r="M333" s="37">
        <v>45940</v>
      </c>
      <c r="N333" s="5">
        <v>6.6623000000000001</v>
      </c>
      <c r="O333">
        <v>2.1259999999999999</v>
      </c>
      <c r="P333">
        <v>-0.29770000000000002</v>
      </c>
      <c r="Q333">
        <v>34.2879</v>
      </c>
      <c r="R333">
        <v>1.3694</v>
      </c>
      <c r="S333" t="s">
        <v>33</v>
      </c>
      <c r="T333">
        <v>34.619999999999997</v>
      </c>
      <c r="U333">
        <v>14.404400000000001</v>
      </c>
      <c r="V333">
        <v>3825</v>
      </c>
      <c r="W333">
        <v>5200628.5118000004</v>
      </c>
      <c r="Y333" s="5">
        <v>7.2697000000000003</v>
      </c>
      <c r="Z333">
        <v>-11.3489</v>
      </c>
      <c r="AA333">
        <v>-0.66979999999999995</v>
      </c>
      <c r="AB333">
        <v>8.2204999999999995</v>
      </c>
      <c r="AC333">
        <v>-0.59850000000000003</v>
      </c>
      <c r="AD333">
        <v>15.9076</v>
      </c>
      <c r="AE333">
        <v>-9.1801999999999992</v>
      </c>
      <c r="AF333">
        <v>-13.6242</v>
      </c>
      <c r="AG333">
        <v>32.78</v>
      </c>
      <c r="AH333">
        <v>229460</v>
      </c>
      <c r="AJ333">
        <v>4.7598000000000003</v>
      </c>
      <c r="AK333">
        <v>16.099299999999999</v>
      </c>
      <c r="AL333">
        <v>0.9083</v>
      </c>
      <c r="AM333">
        <v>22.0093</v>
      </c>
      <c r="AN333">
        <v>-8.5999999999999993E-2</v>
      </c>
      <c r="AO333">
        <v>0</v>
      </c>
      <c r="AP333">
        <v>55.951300000000003</v>
      </c>
      <c r="AQ333">
        <v>43.993000000000002</v>
      </c>
      <c r="AR333">
        <v>6700</v>
      </c>
      <c r="AS333">
        <v>5043499.0886000004</v>
      </c>
      <c r="AU333" s="1">
        <f t="shared" si="41"/>
        <v>45940</v>
      </c>
      <c r="AV333" s="29">
        <f t="shared" si="34"/>
        <v>7.7430070884033917</v>
      </c>
      <c r="AW333" s="30">
        <f t="shared" si="42"/>
        <v>6.6549110987370708E-2</v>
      </c>
      <c r="AX333">
        <f t="shared" ca="1" si="36"/>
        <v>3.7817559032146009</v>
      </c>
      <c r="AY333">
        <f t="shared" ca="1" si="37"/>
        <v>0.64839230621734223</v>
      </c>
      <c r="AZ333">
        <f t="shared" ca="1" si="38"/>
        <v>0.28476956738871867</v>
      </c>
      <c r="BA333">
        <f t="shared" ca="1" si="39"/>
        <v>0.15732621326291285</v>
      </c>
      <c r="BB333">
        <f t="shared" ca="1" si="40"/>
        <v>9.4068341645935472E-2</v>
      </c>
    </row>
    <row r="334" spans="1:54" x14ac:dyDescent="0.25">
      <c r="A334" s="37">
        <v>45947</v>
      </c>
      <c r="B334" s="5">
        <v>6.6725000000000003</v>
      </c>
      <c r="C334">
        <v>-2.3226</v>
      </c>
      <c r="D334">
        <v>-0.51349999999999996</v>
      </c>
      <c r="E334">
        <v>49.129899999999999</v>
      </c>
      <c r="F334">
        <v>2.5665</v>
      </c>
      <c r="G334">
        <v>0</v>
      </c>
      <c r="H334">
        <v>21.359200000000001</v>
      </c>
      <c r="I334">
        <v>3.3578000000000001</v>
      </c>
      <c r="J334">
        <v>4026</v>
      </c>
      <c r="K334">
        <v>15800539.1227</v>
      </c>
      <c r="M334" s="37">
        <v>45947</v>
      </c>
      <c r="N334" s="5">
        <v>6.8117000000000001</v>
      </c>
      <c r="O334">
        <v>2.1259999999999999</v>
      </c>
      <c r="P334">
        <v>-0.29770000000000002</v>
      </c>
      <c r="Q334">
        <v>34.2879</v>
      </c>
      <c r="R334">
        <v>1.3694</v>
      </c>
      <c r="S334" t="s">
        <v>33</v>
      </c>
      <c r="T334">
        <v>34.619999999999997</v>
      </c>
      <c r="U334">
        <v>14.404400000000001</v>
      </c>
      <c r="V334">
        <v>3927.5</v>
      </c>
      <c r="W334">
        <v>5339991.7594999997</v>
      </c>
      <c r="Y334" s="5">
        <v>7.2697000000000003</v>
      </c>
      <c r="Z334">
        <v>-11.3489</v>
      </c>
      <c r="AA334">
        <v>-0.66979999999999995</v>
      </c>
      <c r="AB334">
        <v>8.2204999999999995</v>
      </c>
      <c r="AC334">
        <v>-0.59850000000000003</v>
      </c>
      <c r="AD334">
        <v>15.9076</v>
      </c>
      <c r="AE334">
        <v>-9.1801999999999992</v>
      </c>
      <c r="AF334">
        <v>-13.6242</v>
      </c>
      <c r="AG334">
        <v>31.79</v>
      </c>
      <c r="AH334">
        <v>222530</v>
      </c>
      <c r="AJ334">
        <v>4.8574000000000002</v>
      </c>
      <c r="AK334">
        <v>16.099299999999999</v>
      </c>
      <c r="AL334">
        <v>0.9083</v>
      </c>
      <c r="AM334">
        <v>22.0093</v>
      </c>
      <c r="AN334">
        <v>-8.5999999999999993E-2</v>
      </c>
      <c r="AO334">
        <v>0</v>
      </c>
      <c r="AP334">
        <v>55.951300000000003</v>
      </c>
      <c r="AQ334">
        <v>43.993000000000002</v>
      </c>
      <c r="AR334">
        <v>6835</v>
      </c>
      <c r="AS334">
        <v>5145121.8313999996</v>
      </c>
      <c r="AU334" s="1">
        <f t="shared" si="41"/>
        <v>45947</v>
      </c>
      <c r="AV334" s="29">
        <f t="shared" si="34"/>
        <v>7.8833815630590873</v>
      </c>
      <c r="AW334" s="30">
        <f t="shared" si="42"/>
        <v>0.1100786028501869</v>
      </c>
      <c r="AX334">
        <f t="shared" ca="1" si="36"/>
        <v>3.7817559032146009</v>
      </c>
      <c r="AY334">
        <f t="shared" ca="1" si="37"/>
        <v>0.47354875726100271</v>
      </c>
      <c r="AZ334">
        <f t="shared" ca="1" si="38"/>
        <v>0.27711195881101502</v>
      </c>
      <c r="BA334">
        <f t="shared" ca="1" si="39"/>
        <v>0.14431762685651783</v>
      </c>
      <c r="BB334">
        <f t="shared" ca="1" si="40"/>
        <v>8.5199656887584727E-2</v>
      </c>
    </row>
    <row r="335" spans="1:54" x14ac:dyDescent="0.25">
      <c r="A335" s="37">
        <v>45954</v>
      </c>
      <c r="B335" s="5">
        <v>6.8476999999999997</v>
      </c>
      <c r="C335">
        <v>-2.3226</v>
      </c>
      <c r="D335">
        <v>-0.51349999999999996</v>
      </c>
      <c r="E335">
        <v>49.129899999999999</v>
      </c>
      <c r="F335">
        <v>2.5665</v>
      </c>
      <c r="G335">
        <v>0</v>
      </c>
      <c r="H335">
        <v>21.359200000000001</v>
      </c>
      <c r="I335">
        <v>3.3578000000000001</v>
      </c>
      <c r="J335">
        <v>4228</v>
      </c>
      <c r="K335">
        <v>16593313.316199999</v>
      </c>
      <c r="M335" s="37">
        <v>45954</v>
      </c>
      <c r="N335" s="5">
        <v>6.6363000000000003</v>
      </c>
      <c r="O335">
        <v>2.1259999999999999</v>
      </c>
      <c r="P335">
        <v>-0.29770000000000002</v>
      </c>
      <c r="Q335">
        <v>34.2879</v>
      </c>
      <c r="R335">
        <v>1.3694</v>
      </c>
      <c r="S335" t="s">
        <v>33</v>
      </c>
      <c r="T335">
        <v>34.619999999999997</v>
      </c>
      <c r="U335">
        <v>14.404400000000001</v>
      </c>
      <c r="V335">
        <v>3920</v>
      </c>
      <c r="W335">
        <v>5329794.4486999996</v>
      </c>
      <c r="Y335" s="5">
        <v>7.2697000000000003</v>
      </c>
      <c r="Z335">
        <v>-11.3489</v>
      </c>
      <c r="AA335">
        <v>-0.66979999999999995</v>
      </c>
      <c r="AB335">
        <v>8.2204999999999995</v>
      </c>
      <c r="AC335">
        <v>-0.59850000000000003</v>
      </c>
      <c r="AD335">
        <v>15.9076</v>
      </c>
      <c r="AE335">
        <v>-9.1801999999999992</v>
      </c>
      <c r="AF335">
        <v>-13.6242</v>
      </c>
      <c r="AG335">
        <v>33.14</v>
      </c>
      <c r="AH335">
        <v>231980</v>
      </c>
      <c r="AJ335">
        <v>5.0129000000000001</v>
      </c>
      <c r="AK335">
        <v>16.099299999999999</v>
      </c>
      <c r="AL335">
        <v>0.9083</v>
      </c>
      <c r="AM335">
        <v>22.0093</v>
      </c>
      <c r="AN335">
        <v>-8.5999999999999993E-2</v>
      </c>
      <c r="AO335">
        <v>0</v>
      </c>
      <c r="AP335">
        <v>55.951300000000003</v>
      </c>
      <c r="AQ335">
        <v>43.993000000000002</v>
      </c>
      <c r="AR335">
        <v>7050</v>
      </c>
      <c r="AS335">
        <v>5306965.4589</v>
      </c>
      <c r="AU335" s="1">
        <f t="shared" si="41"/>
        <v>45954</v>
      </c>
      <c r="AV335" s="29">
        <f t="shared" si="34"/>
        <v>8.002038201403197</v>
      </c>
      <c r="AW335" s="30">
        <f t="shared" si="42"/>
        <v>0.14687349156437576</v>
      </c>
      <c r="AX335">
        <f t="shared" ca="1" si="36"/>
        <v>3.7817559032146009</v>
      </c>
      <c r="AY335">
        <f t="shared" ca="1" si="37"/>
        <v>0.40965811042543543</v>
      </c>
      <c r="AZ335">
        <f t="shared" ca="1" si="38"/>
        <v>0.27341452723399762</v>
      </c>
      <c r="BA335">
        <f t="shared" ca="1" si="39"/>
        <v>0.13400109601617544</v>
      </c>
      <c r="BB335">
        <f t="shared" ca="1" si="40"/>
        <v>8.5199656887584727E-2</v>
      </c>
    </row>
    <row r="336" spans="1:54" x14ac:dyDescent="0.25">
      <c r="A336" s="37">
        <v>45961</v>
      </c>
      <c r="B336" s="5">
        <v>7.9161999999999999</v>
      </c>
      <c r="C336">
        <v>-2.3226</v>
      </c>
      <c r="D336">
        <v>-0.51349999999999996</v>
      </c>
      <c r="E336">
        <v>49.129899999999999</v>
      </c>
      <c r="F336">
        <v>2.5665</v>
      </c>
      <c r="G336">
        <v>0</v>
      </c>
      <c r="H336">
        <v>21.359200000000001</v>
      </c>
      <c r="I336">
        <v>3.3578000000000001</v>
      </c>
      <c r="J336">
        <v>5460</v>
      </c>
      <c r="K336">
        <v>21428450.9712</v>
      </c>
      <c r="M336" s="37">
        <v>45961</v>
      </c>
      <c r="N336" s="5">
        <v>8.5771999999999995</v>
      </c>
      <c r="O336">
        <v>2.1259999999999999</v>
      </c>
      <c r="P336">
        <v>-0.29770000000000002</v>
      </c>
      <c r="Q336">
        <v>34.2879</v>
      </c>
      <c r="R336">
        <v>1.3694</v>
      </c>
      <c r="S336" t="s">
        <v>33</v>
      </c>
      <c r="T336">
        <v>34.619999999999997</v>
      </c>
      <c r="U336">
        <v>14.404400000000001</v>
      </c>
      <c r="V336">
        <v>5155</v>
      </c>
      <c r="W336">
        <v>7008951.6283999998</v>
      </c>
      <c r="Y336" s="5">
        <v>7.2697000000000003</v>
      </c>
      <c r="Z336">
        <v>-11.3489</v>
      </c>
      <c r="AA336">
        <v>-0.66979999999999995</v>
      </c>
      <c r="AB336">
        <v>8.2204999999999995</v>
      </c>
      <c r="AC336">
        <v>-0.59850000000000003</v>
      </c>
      <c r="AD336">
        <v>15.9076</v>
      </c>
      <c r="AE336">
        <v>-9.1801999999999992</v>
      </c>
      <c r="AF336">
        <v>-13.6242</v>
      </c>
      <c r="AG336">
        <v>57.5</v>
      </c>
      <c r="AH336">
        <v>402500</v>
      </c>
      <c r="AJ336">
        <v>6.7053000000000003</v>
      </c>
      <c r="AK336">
        <v>16.099299999999999</v>
      </c>
      <c r="AL336">
        <v>0.9083</v>
      </c>
      <c r="AM336">
        <v>22.0093</v>
      </c>
      <c r="AN336">
        <v>-8.5999999999999993E-2</v>
      </c>
      <c r="AO336">
        <v>0</v>
      </c>
      <c r="AP336">
        <v>55.951300000000003</v>
      </c>
      <c r="AQ336">
        <v>43.993000000000002</v>
      </c>
      <c r="AR336">
        <v>9390</v>
      </c>
      <c r="AS336">
        <v>7068426.3345999997</v>
      </c>
      <c r="AU336" s="1">
        <f t="shared" si="41"/>
        <v>45961</v>
      </c>
      <c r="AV336" s="29">
        <f t="shared" si="34"/>
        <v>9.7112344908059374</v>
      </c>
      <c r="AW336" s="30">
        <f t="shared" si="42"/>
        <v>0.67688755682801005</v>
      </c>
      <c r="AX336">
        <f t="shared" ca="1" si="36"/>
        <v>3.7817559032146009</v>
      </c>
      <c r="AY336">
        <f t="shared" ca="1" si="37"/>
        <v>0.39663521683961822</v>
      </c>
      <c r="AZ336">
        <f t="shared" ca="1" si="38"/>
        <v>0.26482210718642796</v>
      </c>
      <c r="BA336">
        <f t="shared" ca="1" si="39"/>
        <v>0.13400109601617544</v>
      </c>
      <c r="BB336">
        <f t="shared" ca="1" si="40"/>
        <v>8.5199656887584727E-2</v>
      </c>
    </row>
    <row r="337" spans="1:54" x14ac:dyDescent="0.25">
      <c r="A337" s="37">
        <v>45968</v>
      </c>
      <c r="B337" s="5">
        <v>7.8901000000000003</v>
      </c>
      <c r="C337">
        <v>-2.3226</v>
      </c>
      <c r="D337">
        <v>-0.51349999999999996</v>
      </c>
      <c r="E337">
        <v>49.129899999999999</v>
      </c>
      <c r="F337">
        <v>2.5665</v>
      </c>
      <c r="G337">
        <v>0</v>
      </c>
      <c r="H337">
        <v>21.359200000000001</v>
      </c>
      <c r="I337">
        <v>3.3578000000000001</v>
      </c>
      <c r="J337">
        <v>5430</v>
      </c>
      <c r="K337">
        <v>21310712.229600001</v>
      </c>
      <c r="M337" s="37">
        <v>45968</v>
      </c>
      <c r="N337" s="5">
        <v>8.5559999999999992</v>
      </c>
      <c r="O337">
        <v>2.1259999999999999</v>
      </c>
      <c r="P337">
        <v>-0.29770000000000002</v>
      </c>
      <c r="Q337">
        <v>34.2879</v>
      </c>
      <c r="R337">
        <v>1.3694</v>
      </c>
      <c r="S337" t="s">
        <v>33</v>
      </c>
      <c r="T337">
        <v>34.619999999999997</v>
      </c>
      <c r="U337">
        <v>14.404400000000001</v>
      </c>
      <c r="V337">
        <v>5030</v>
      </c>
      <c r="W337">
        <v>6838996.4482000005</v>
      </c>
      <c r="Y337" s="5">
        <v>7.2697000000000003</v>
      </c>
      <c r="Z337">
        <v>-11.3489</v>
      </c>
      <c r="AA337">
        <v>-0.66979999999999995</v>
      </c>
      <c r="AB337">
        <v>8.2204999999999995</v>
      </c>
      <c r="AC337">
        <v>-0.59850000000000003</v>
      </c>
      <c r="AD337">
        <v>15.9076</v>
      </c>
      <c r="AE337">
        <v>-9.1801999999999992</v>
      </c>
      <c r="AF337">
        <v>-13.6242</v>
      </c>
      <c r="AG337">
        <v>58</v>
      </c>
      <c r="AH337">
        <v>406000</v>
      </c>
      <c r="AJ337">
        <v>6.0110000000000001</v>
      </c>
      <c r="AK337">
        <v>16.099299999999999</v>
      </c>
      <c r="AL337">
        <v>0.9083</v>
      </c>
      <c r="AM337">
        <v>22.0093</v>
      </c>
      <c r="AN337">
        <v>-8.5999999999999993E-2</v>
      </c>
      <c r="AO337">
        <v>0</v>
      </c>
      <c r="AP337">
        <v>55.951300000000003</v>
      </c>
      <c r="AQ337">
        <v>43.993000000000002</v>
      </c>
      <c r="AR337">
        <v>8430</v>
      </c>
      <c r="AS337">
        <v>6345775.7188999997</v>
      </c>
      <c r="AU337" s="1">
        <f t="shared" si="41"/>
        <v>45968</v>
      </c>
      <c r="AV337" s="29">
        <f t="shared" si="34"/>
        <v>9.3765510511750492</v>
      </c>
      <c r="AW337" s="30">
        <f t="shared" si="42"/>
        <v>0.57310373076016319</v>
      </c>
      <c r="AX337">
        <f t="shared" ca="1" si="36"/>
        <v>3.7817559032146009</v>
      </c>
      <c r="AY337">
        <f t="shared" ca="1" si="37"/>
        <v>0.39663521683961822</v>
      </c>
      <c r="AZ337">
        <f t="shared" ca="1" si="38"/>
        <v>0.26482210718642796</v>
      </c>
      <c r="BA337">
        <f t="shared" ca="1" si="39"/>
        <v>0.13400109601617544</v>
      </c>
      <c r="BB337">
        <f t="shared" ca="1" si="40"/>
        <v>8.5199656887584727E-2</v>
      </c>
    </row>
    <row r="338" spans="1:54" x14ac:dyDescent="0.25">
      <c r="A338" s="37">
        <v>45975</v>
      </c>
      <c r="B338" s="5">
        <v>8.2240000000000002</v>
      </c>
      <c r="C338">
        <v>-2.3226</v>
      </c>
      <c r="D338">
        <v>-0.51349999999999996</v>
      </c>
      <c r="E338">
        <v>49.129899999999999</v>
      </c>
      <c r="F338">
        <v>2.5665</v>
      </c>
      <c r="G338">
        <v>0</v>
      </c>
      <c r="H338">
        <v>21.359200000000001</v>
      </c>
      <c r="I338">
        <v>3.3578000000000001</v>
      </c>
      <c r="J338">
        <v>5815</v>
      </c>
      <c r="K338">
        <v>22821692.746800002</v>
      </c>
      <c r="M338" s="37">
        <v>45975</v>
      </c>
      <c r="N338" s="5">
        <v>9.1448</v>
      </c>
      <c r="O338">
        <v>2.1259999999999999</v>
      </c>
      <c r="P338">
        <v>-0.29770000000000002</v>
      </c>
      <c r="Q338">
        <v>34.2879</v>
      </c>
      <c r="R338">
        <v>1.3694</v>
      </c>
      <c r="S338" t="s">
        <v>33</v>
      </c>
      <c r="T338">
        <v>34.619999999999997</v>
      </c>
      <c r="U338">
        <v>14.404400000000001</v>
      </c>
      <c r="V338">
        <v>5370</v>
      </c>
      <c r="W338">
        <v>7301274.5382000003</v>
      </c>
      <c r="Y338" s="5">
        <v>7.2697000000000003</v>
      </c>
      <c r="Z338">
        <v>-11.3489</v>
      </c>
      <c r="AA338">
        <v>-0.66979999999999995</v>
      </c>
      <c r="AB338">
        <v>8.2204999999999995</v>
      </c>
      <c r="AC338">
        <v>-0.59850000000000003</v>
      </c>
      <c r="AD338">
        <v>15.9076</v>
      </c>
      <c r="AE338">
        <v>-9.1801999999999992</v>
      </c>
      <c r="AF338">
        <v>-13.6242</v>
      </c>
      <c r="AG338">
        <v>79.900000000000006</v>
      </c>
      <c r="AH338">
        <v>559300</v>
      </c>
      <c r="AJ338">
        <v>6.5750999999999999</v>
      </c>
      <c r="AK338">
        <v>16.099299999999999</v>
      </c>
      <c r="AL338">
        <v>0.9083</v>
      </c>
      <c r="AM338">
        <v>22.0093</v>
      </c>
      <c r="AN338">
        <v>-8.5999999999999993E-2</v>
      </c>
      <c r="AO338">
        <v>0</v>
      </c>
      <c r="AP338">
        <v>55.951300000000003</v>
      </c>
      <c r="AQ338">
        <v>43.993000000000002</v>
      </c>
      <c r="AR338">
        <v>9210</v>
      </c>
      <c r="AS338">
        <v>6932929.3442000002</v>
      </c>
      <c r="AU338" s="1">
        <f t="shared" si="41"/>
        <v>45975</v>
      </c>
      <c r="AV338" s="29">
        <f t="shared" si="34"/>
        <v>9.9114234506501191</v>
      </c>
      <c r="AW338" s="30">
        <f t="shared" si="42"/>
        <v>0.73896525093825738</v>
      </c>
      <c r="AX338">
        <f t="shared" ca="1" si="36"/>
        <v>3.7817559032146009</v>
      </c>
      <c r="AY338">
        <f t="shared" ca="1" si="37"/>
        <v>0.39663521683961822</v>
      </c>
      <c r="AZ338">
        <f t="shared" ca="1" si="38"/>
        <v>0.26482210718642796</v>
      </c>
      <c r="BA338">
        <f t="shared" ca="1" si="39"/>
        <v>0.13400109601617544</v>
      </c>
      <c r="BB338">
        <f t="shared" ca="1" si="40"/>
        <v>8.5199656887584727E-2</v>
      </c>
    </row>
    <row r="339" spans="1:54" x14ac:dyDescent="0.25">
      <c r="A339" s="37">
        <v>45982</v>
      </c>
      <c r="B339" s="5">
        <v>7.8619000000000003</v>
      </c>
      <c r="C339">
        <v>-2.3226</v>
      </c>
      <c r="D339">
        <v>-0.51349999999999996</v>
      </c>
      <c r="E339">
        <v>49.129899999999999</v>
      </c>
      <c r="F339">
        <v>2.5665</v>
      </c>
      <c r="G339">
        <v>0</v>
      </c>
      <c r="H339">
        <v>21.359200000000001</v>
      </c>
      <c r="I339">
        <v>3.3578000000000001</v>
      </c>
      <c r="J339">
        <v>5397.5</v>
      </c>
      <c r="K339">
        <v>21183161.926199999</v>
      </c>
      <c r="M339" s="37">
        <v>45982</v>
      </c>
      <c r="N339" s="5">
        <v>8.6997</v>
      </c>
      <c r="O339">
        <v>2.1259999999999999</v>
      </c>
      <c r="P339">
        <v>-0.29770000000000002</v>
      </c>
      <c r="Q339">
        <v>34.2879</v>
      </c>
      <c r="R339">
        <v>1.3694</v>
      </c>
      <c r="S339" t="s">
        <v>33</v>
      </c>
      <c r="T339">
        <v>34.619999999999997</v>
      </c>
      <c r="U339">
        <v>14.404400000000001</v>
      </c>
      <c r="V339">
        <v>5155</v>
      </c>
      <c r="W339">
        <v>7008951.6283999998</v>
      </c>
      <c r="Y339" s="5">
        <v>7.2697000000000003</v>
      </c>
      <c r="Z339">
        <v>-11.3489</v>
      </c>
      <c r="AA339">
        <v>-0.66979999999999995</v>
      </c>
      <c r="AB339">
        <v>8.2204999999999995</v>
      </c>
      <c r="AC339">
        <v>-0.59850000000000003</v>
      </c>
      <c r="AD339">
        <v>15.9076</v>
      </c>
      <c r="AE339">
        <v>-9.1801999999999992</v>
      </c>
      <c r="AF339">
        <v>-13.6242</v>
      </c>
      <c r="AG339">
        <v>65.5</v>
      </c>
      <c r="AH339">
        <v>458500</v>
      </c>
      <c r="AJ339">
        <v>6.3798000000000004</v>
      </c>
      <c r="AK339">
        <v>16.099299999999999</v>
      </c>
      <c r="AL339">
        <v>0.9083</v>
      </c>
      <c r="AM339">
        <v>22.0093</v>
      </c>
      <c r="AN339">
        <v>-8.5999999999999993E-2</v>
      </c>
      <c r="AO339">
        <v>0</v>
      </c>
      <c r="AP339">
        <v>55.951300000000003</v>
      </c>
      <c r="AQ339">
        <v>43.993000000000002</v>
      </c>
      <c r="AR339">
        <v>8940</v>
      </c>
      <c r="AS339">
        <v>6729683.8585000001</v>
      </c>
      <c r="AU339" s="1">
        <f t="shared" si="41"/>
        <v>45982</v>
      </c>
      <c r="AV339" s="29">
        <f t="shared" si="34"/>
        <v>9.5559165334413692</v>
      </c>
      <c r="AW339" s="30">
        <f t="shared" si="42"/>
        <v>0.62872415833385309</v>
      </c>
      <c r="AX339">
        <f t="shared" ca="1" si="36"/>
        <v>3.5138738660307514</v>
      </c>
      <c r="AY339">
        <f t="shared" ca="1" si="37"/>
        <v>0.39663521683961822</v>
      </c>
      <c r="AZ339">
        <f t="shared" ca="1" si="38"/>
        <v>0.26482210718642796</v>
      </c>
      <c r="BA339">
        <f t="shared" ca="1" si="39"/>
        <v>0.13400109601617544</v>
      </c>
      <c r="BB339">
        <f t="shared" ca="1" si="40"/>
        <v>8.5199656887584727E-2</v>
      </c>
    </row>
    <row r="340" spans="1:54" x14ac:dyDescent="0.25">
      <c r="A340" s="37">
        <v>45989</v>
      </c>
      <c r="B340" s="5">
        <v>8.0462000000000007</v>
      </c>
      <c r="C340">
        <v>-2.3226</v>
      </c>
      <c r="D340">
        <v>-0.51349999999999996</v>
      </c>
      <c r="E340">
        <v>49.129899999999999</v>
      </c>
      <c r="F340">
        <v>2.5665</v>
      </c>
      <c r="G340">
        <v>0</v>
      </c>
      <c r="H340">
        <v>21.359200000000001</v>
      </c>
      <c r="I340">
        <v>3.3578000000000001</v>
      </c>
      <c r="J340">
        <v>5610</v>
      </c>
      <c r="K340">
        <v>22017144.679200001</v>
      </c>
      <c r="M340" s="37">
        <v>45989</v>
      </c>
      <c r="N340" s="5">
        <v>8.8994</v>
      </c>
      <c r="O340">
        <v>2.1259999999999999</v>
      </c>
      <c r="P340">
        <v>-0.29770000000000002</v>
      </c>
      <c r="Q340">
        <v>34.2879</v>
      </c>
      <c r="R340">
        <v>1.3694</v>
      </c>
      <c r="S340" t="s">
        <v>33</v>
      </c>
      <c r="T340">
        <v>34.619999999999997</v>
      </c>
      <c r="U340">
        <v>14.404400000000001</v>
      </c>
      <c r="V340">
        <v>5405</v>
      </c>
      <c r="W340">
        <v>7348861.9885999998</v>
      </c>
      <c r="Y340" s="5">
        <v>7.2697000000000003</v>
      </c>
      <c r="Z340">
        <v>-11.3489</v>
      </c>
      <c r="AA340">
        <v>-0.66979999999999995</v>
      </c>
      <c r="AB340">
        <v>8.2204999999999995</v>
      </c>
      <c r="AC340">
        <v>-0.59850000000000003</v>
      </c>
      <c r="AD340">
        <v>15.9076</v>
      </c>
      <c r="AE340">
        <v>-9.1801999999999992</v>
      </c>
      <c r="AF340">
        <v>-13.6242</v>
      </c>
      <c r="AG340">
        <v>74</v>
      </c>
      <c r="AH340">
        <v>518000</v>
      </c>
      <c r="AJ340">
        <v>6.5498000000000003</v>
      </c>
      <c r="AK340">
        <v>16.099299999999999</v>
      </c>
      <c r="AL340">
        <v>0.9083</v>
      </c>
      <c r="AM340">
        <v>22.0093</v>
      </c>
      <c r="AN340">
        <v>-8.5999999999999993E-2</v>
      </c>
      <c r="AO340">
        <v>0</v>
      </c>
      <c r="AP340">
        <v>55.951300000000003</v>
      </c>
      <c r="AQ340">
        <v>43.993000000000002</v>
      </c>
      <c r="AR340">
        <v>9175</v>
      </c>
      <c r="AS340">
        <v>6906582.7072000001</v>
      </c>
      <c r="AU340" s="1">
        <f t="shared" si="41"/>
        <v>45989</v>
      </c>
      <c r="AV340" s="29">
        <f t="shared" si="34"/>
        <v>9.7562972447365031</v>
      </c>
      <c r="AW340" s="30">
        <f t="shared" si="42"/>
        <v>0.69086131370473469</v>
      </c>
      <c r="AX340">
        <f t="shared" ca="1" si="36"/>
        <v>0.73275748152723252</v>
      </c>
      <c r="AY340">
        <f t="shared" ca="1" si="37"/>
        <v>0.39663521683961822</v>
      </c>
      <c r="AZ340">
        <f t="shared" ca="1" si="38"/>
        <v>0.26482210718642796</v>
      </c>
      <c r="BA340">
        <f t="shared" ca="1" si="39"/>
        <v>0.13400109601617544</v>
      </c>
      <c r="BB340">
        <f t="shared" ca="1" si="40"/>
        <v>8.5199656887584727E-2</v>
      </c>
    </row>
    <row r="341" spans="1:54" x14ac:dyDescent="0.25">
      <c r="A341" s="37">
        <v>45996</v>
      </c>
      <c r="B341" s="5">
        <v>7.9486999999999997</v>
      </c>
      <c r="C341">
        <v>-2.3226</v>
      </c>
      <c r="D341">
        <v>-0.51349999999999996</v>
      </c>
      <c r="E341">
        <v>49.129899999999999</v>
      </c>
      <c r="F341">
        <v>2.5665</v>
      </c>
      <c r="G341">
        <v>0</v>
      </c>
      <c r="H341">
        <v>21.359200000000001</v>
      </c>
      <c r="I341">
        <v>3.3578000000000001</v>
      </c>
      <c r="J341">
        <v>5497.5</v>
      </c>
      <c r="K341">
        <v>21575624.398200002</v>
      </c>
      <c r="M341" s="37">
        <v>45996</v>
      </c>
      <c r="N341" s="5">
        <v>9.0709999999999997</v>
      </c>
      <c r="O341">
        <v>2.1259999999999999</v>
      </c>
      <c r="P341">
        <v>-0.29770000000000002</v>
      </c>
      <c r="Q341">
        <v>34.2879</v>
      </c>
      <c r="R341">
        <v>1.3694</v>
      </c>
      <c r="S341" t="s">
        <v>33</v>
      </c>
      <c r="T341">
        <v>34.619999999999997</v>
      </c>
      <c r="U341">
        <v>14.404400000000001</v>
      </c>
      <c r="V341">
        <v>5455</v>
      </c>
      <c r="W341">
        <v>7416844.0607000003</v>
      </c>
      <c r="Y341" s="5">
        <v>7.2697000000000003</v>
      </c>
      <c r="Z341">
        <v>-11.3489</v>
      </c>
      <c r="AA341">
        <v>-0.66979999999999995</v>
      </c>
      <c r="AB341">
        <v>8.2204999999999995</v>
      </c>
      <c r="AC341">
        <v>-0.59850000000000003</v>
      </c>
      <c r="AD341">
        <v>15.9076</v>
      </c>
      <c r="AE341">
        <v>-9.1801999999999992</v>
      </c>
      <c r="AF341">
        <v>-13.6242</v>
      </c>
      <c r="AG341">
        <v>71.8</v>
      </c>
      <c r="AH341">
        <v>502600</v>
      </c>
      <c r="AJ341">
        <v>6.7884000000000002</v>
      </c>
      <c r="AK341">
        <v>16.099299999999999</v>
      </c>
      <c r="AL341">
        <v>0.9083</v>
      </c>
      <c r="AM341">
        <v>22.0093</v>
      </c>
      <c r="AN341">
        <v>-8.5999999999999993E-2</v>
      </c>
      <c r="AO341">
        <v>0</v>
      </c>
      <c r="AP341">
        <v>55.951300000000003</v>
      </c>
      <c r="AQ341">
        <v>43.993000000000002</v>
      </c>
      <c r="AR341">
        <v>9505</v>
      </c>
      <c r="AS341">
        <v>7154993.8563000001</v>
      </c>
      <c r="AU341" s="1">
        <f t="shared" si="41"/>
        <v>45996</v>
      </c>
      <c r="AV341" s="29">
        <f t="shared" si="34"/>
        <v>9.8660923621243786</v>
      </c>
      <c r="AW341" s="30">
        <f t="shared" si="42"/>
        <v>0.72490828471306801</v>
      </c>
      <c r="AX341">
        <f t="shared" ca="1" si="36"/>
        <v>0.68946393801706218</v>
      </c>
      <c r="AY341">
        <f t="shared" ca="1" si="37"/>
        <v>0.39663521683961822</v>
      </c>
      <c r="AZ341">
        <f t="shared" ca="1" si="38"/>
        <v>0.26482210718642796</v>
      </c>
      <c r="BA341">
        <f t="shared" ca="1" si="39"/>
        <v>0.13400109601617544</v>
      </c>
      <c r="BB341">
        <f t="shared" ca="1" si="40"/>
        <v>8.5199656887584727E-2</v>
      </c>
    </row>
    <row r="342" spans="1:54" x14ac:dyDescent="0.25">
      <c r="A342" s="37">
        <v>46003</v>
      </c>
      <c r="B342" s="5">
        <v>7.7644000000000002</v>
      </c>
      <c r="C342">
        <v>-2.3226</v>
      </c>
      <c r="D342">
        <v>-0.51349999999999996</v>
      </c>
      <c r="E342">
        <v>49.129899999999999</v>
      </c>
      <c r="F342">
        <v>2.5665</v>
      </c>
      <c r="G342">
        <v>0</v>
      </c>
      <c r="H342">
        <v>21.359200000000001</v>
      </c>
      <c r="I342">
        <v>3.3578000000000001</v>
      </c>
      <c r="J342">
        <v>5285</v>
      </c>
      <c r="K342">
        <v>20741641.645199999</v>
      </c>
      <c r="M342" s="37">
        <v>46003</v>
      </c>
      <c r="N342" s="5">
        <v>8.9431999999999992</v>
      </c>
      <c r="O342">
        <v>2.1259999999999999</v>
      </c>
      <c r="P342">
        <v>-0.29770000000000002</v>
      </c>
      <c r="Q342">
        <v>34.2879</v>
      </c>
      <c r="R342">
        <v>1.3694</v>
      </c>
      <c r="S342" t="s">
        <v>33</v>
      </c>
      <c r="T342">
        <v>34.619999999999997</v>
      </c>
      <c r="U342">
        <v>14.404400000000001</v>
      </c>
      <c r="V342">
        <v>5395</v>
      </c>
      <c r="W342">
        <v>7335265.5741999997</v>
      </c>
      <c r="Y342" s="5">
        <v>7.2697000000000003</v>
      </c>
      <c r="Z342">
        <v>-11.3489</v>
      </c>
      <c r="AA342">
        <v>-0.66979999999999995</v>
      </c>
      <c r="AB342">
        <v>8.2204999999999995</v>
      </c>
      <c r="AC342">
        <v>-0.59850000000000003</v>
      </c>
      <c r="AD342">
        <v>15.9076</v>
      </c>
      <c r="AE342">
        <v>-9.1801999999999992</v>
      </c>
      <c r="AF342">
        <v>-13.6242</v>
      </c>
      <c r="AG342">
        <v>64.599999999999994</v>
      </c>
      <c r="AH342">
        <v>452200</v>
      </c>
      <c r="AJ342">
        <v>6.8643999999999998</v>
      </c>
      <c r="AK342">
        <v>16.099299999999999</v>
      </c>
      <c r="AL342">
        <v>0.9083</v>
      </c>
      <c r="AM342">
        <v>22.0093</v>
      </c>
      <c r="AN342">
        <v>-8.5999999999999993E-2</v>
      </c>
      <c r="AO342">
        <v>0</v>
      </c>
      <c r="AP342">
        <v>55.951300000000003</v>
      </c>
      <c r="AQ342">
        <v>43.993000000000002</v>
      </c>
      <c r="AR342">
        <v>9610</v>
      </c>
      <c r="AS342">
        <v>7234033.7674000002</v>
      </c>
      <c r="AU342" s="1">
        <f t="shared" si="41"/>
        <v>46003</v>
      </c>
      <c r="AV342" s="29">
        <f t="shared" si="34"/>
        <v>9.8002298864786201</v>
      </c>
      <c r="AW342" s="30">
        <f t="shared" si="42"/>
        <v>0.70448462788572153</v>
      </c>
      <c r="AX342">
        <f t="shared" ca="1" si="36"/>
        <v>0.68946393801706218</v>
      </c>
      <c r="AY342">
        <f t="shared" ca="1" si="37"/>
        <v>0.39663521683961822</v>
      </c>
      <c r="AZ342">
        <f t="shared" ca="1" si="38"/>
        <v>0.26482210718642796</v>
      </c>
      <c r="BA342">
        <f t="shared" ca="1" si="39"/>
        <v>0.13400109601617544</v>
      </c>
      <c r="BB342">
        <f t="shared" ca="1" si="40"/>
        <v>8.5199656887584727E-2</v>
      </c>
    </row>
    <row r="343" spans="1:54" x14ac:dyDescent="0.25">
      <c r="A343" s="37">
        <v>46010</v>
      </c>
      <c r="B343" s="5">
        <v>7.9226999999999999</v>
      </c>
      <c r="C343">
        <v>-2.3226</v>
      </c>
      <c r="D343">
        <v>-0.51349999999999996</v>
      </c>
      <c r="E343">
        <v>49.129899999999999</v>
      </c>
      <c r="F343">
        <v>2.5665</v>
      </c>
      <c r="G343">
        <v>0</v>
      </c>
      <c r="H343">
        <v>21.359200000000001</v>
      </c>
      <c r="I343">
        <v>3.3578000000000001</v>
      </c>
      <c r="J343">
        <v>5467.5</v>
      </c>
      <c r="K343">
        <v>21457885.656599998</v>
      </c>
      <c r="M343" s="37">
        <v>46010</v>
      </c>
      <c r="N343" s="5">
        <v>9.0296000000000003</v>
      </c>
      <c r="O343">
        <v>2.1259999999999999</v>
      </c>
      <c r="P343">
        <v>-0.29770000000000002</v>
      </c>
      <c r="Q343">
        <v>34.2879</v>
      </c>
      <c r="R343">
        <v>1.3694</v>
      </c>
      <c r="S343" t="s">
        <v>33</v>
      </c>
      <c r="T343">
        <v>34.619999999999997</v>
      </c>
      <c r="U343">
        <v>14.404400000000001</v>
      </c>
      <c r="V343">
        <v>5495</v>
      </c>
      <c r="W343">
        <v>7471229.7182999998</v>
      </c>
      <c r="Y343" s="5">
        <v>7.2697000000000003</v>
      </c>
      <c r="Z343">
        <v>-11.3489</v>
      </c>
      <c r="AA343">
        <v>-0.66979999999999995</v>
      </c>
      <c r="AB343">
        <v>8.2204999999999995</v>
      </c>
      <c r="AC343">
        <v>-0.59850000000000003</v>
      </c>
      <c r="AD343">
        <v>15.9076</v>
      </c>
      <c r="AE343">
        <v>-9.1801999999999992</v>
      </c>
      <c r="AF343">
        <v>-13.6242</v>
      </c>
      <c r="AG343">
        <v>65.599999999999994</v>
      </c>
      <c r="AH343">
        <v>459200</v>
      </c>
      <c r="AJ343">
        <v>6.9259000000000004</v>
      </c>
      <c r="AK343">
        <v>16.099299999999999</v>
      </c>
      <c r="AL343">
        <v>0.9083</v>
      </c>
      <c r="AM343">
        <v>22.0093</v>
      </c>
      <c r="AN343">
        <v>-8.5999999999999993E-2</v>
      </c>
      <c r="AO343">
        <v>0</v>
      </c>
      <c r="AP343">
        <v>55.951300000000003</v>
      </c>
      <c r="AQ343">
        <v>43.993000000000002</v>
      </c>
      <c r="AR343">
        <v>9695</v>
      </c>
      <c r="AS343">
        <v>7298018.4572999999</v>
      </c>
      <c r="AU343" s="1">
        <f t="shared" si="41"/>
        <v>46010</v>
      </c>
      <c r="AV343" s="29">
        <f t="shared" si="34"/>
        <v>9.9138108160550509</v>
      </c>
      <c r="AW343" s="30">
        <f t="shared" si="42"/>
        <v>0.73970556218944772</v>
      </c>
      <c r="AX343">
        <f t="shared" ca="1" si="36"/>
        <v>0.68946393801706218</v>
      </c>
      <c r="AY343">
        <f t="shared" ca="1" si="37"/>
        <v>0.39663521683961822</v>
      </c>
      <c r="AZ343">
        <f t="shared" ca="1" si="38"/>
        <v>0.26482210718642796</v>
      </c>
      <c r="BA343">
        <f t="shared" ca="1" si="39"/>
        <v>0.13400109601617544</v>
      </c>
      <c r="BB343">
        <f t="shared" ca="1" si="40"/>
        <v>8.5199656887584727E-2</v>
      </c>
    </row>
    <row r="344" spans="1:54" x14ac:dyDescent="0.25">
      <c r="A344" s="37">
        <v>46017</v>
      </c>
      <c r="B344" s="5">
        <v>7.9161999999999999</v>
      </c>
      <c r="C344">
        <v>-2.3226</v>
      </c>
      <c r="D344">
        <v>-0.51349999999999996</v>
      </c>
      <c r="E344">
        <v>49.129899999999999</v>
      </c>
      <c r="F344">
        <v>2.5665</v>
      </c>
      <c r="G344">
        <v>0</v>
      </c>
      <c r="H344">
        <v>21.359200000000001</v>
      </c>
      <c r="I344">
        <v>3.3578000000000001</v>
      </c>
      <c r="J344">
        <v>5460</v>
      </c>
      <c r="K344">
        <v>21428450.9712</v>
      </c>
      <c r="M344" s="37">
        <v>46017</v>
      </c>
      <c r="N344" s="5">
        <v>8.8455999999999992</v>
      </c>
      <c r="O344">
        <v>2.1259999999999999</v>
      </c>
      <c r="P344">
        <v>-0.29770000000000002</v>
      </c>
      <c r="Q344">
        <v>34.2879</v>
      </c>
      <c r="R344">
        <v>1.3694</v>
      </c>
      <c r="S344" t="s">
        <v>33</v>
      </c>
      <c r="T344">
        <v>34.619999999999997</v>
      </c>
      <c r="U344">
        <v>14.404400000000001</v>
      </c>
      <c r="V344">
        <v>5375</v>
      </c>
      <c r="W344">
        <v>7308072.7454000004</v>
      </c>
      <c r="Y344" s="5">
        <v>7.2697000000000003</v>
      </c>
      <c r="Z344">
        <v>-11.3489</v>
      </c>
      <c r="AA344">
        <v>-0.66979999999999995</v>
      </c>
      <c r="AB344">
        <v>8.2204999999999995</v>
      </c>
      <c r="AC344">
        <v>-0.59850000000000003</v>
      </c>
      <c r="AD344">
        <v>15.9076</v>
      </c>
      <c r="AE344">
        <v>-9.1801999999999992</v>
      </c>
      <c r="AF344">
        <v>-13.6242</v>
      </c>
      <c r="AG344">
        <v>64.900000000000006</v>
      </c>
      <c r="AH344">
        <v>454300</v>
      </c>
      <c r="AJ344">
        <v>6.7704000000000004</v>
      </c>
      <c r="AK344">
        <v>16.099299999999999</v>
      </c>
      <c r="AL344">
        <v>0.9083</v>
      </c>
      <c r="AM344">
        <v>22.0093</v>
      </c>
      <c r="AN344">
        <v>-8.5999999999999993E-2</v>
      </c>
      <c r="AO344">
        <v>0</v>
      </c>
      <c r="AP344">
        <v>55.951300000000003</v>
      </c>
      <c r="AQ344">
        <v>43.993000000000002</v>
      </c>
      <c r="AR344">
        <v>9480</v>
      </c>
      <c r="AS344">
        <v>7136174.8298000004</v>
      </c>
      <c r="AU344" s="1">
        <f t="shared" si="41"/>
        <v>46017</v>
      </c>
      <c r="AV344" s="29">
        <f t="shared" ref="AV344:AV380" si="43">+(Y344*AH344+N344*W344+B344*K344+AJ344*AS344)/(K344+W344+AH344)</f>
        <v>9.7939536550324195</v>
      </c>
      <c r="AW344" s="30">
        <f t="shared" si="42"/>
        <v>0.7025383968039195</v>
      </c>
      <c r="AX344">
        <f t="shared" ca="1" si="36"/>
        <v>0.68946393801706218</v>
      </c>
      <c r="AY344">
        <f t="shared" ca="1" si="37"/>
        <v>0.39663521683961822</v>
      </c>
      <c r="AZ344">
        <f t="shared" ca="1" si="38"/>
        <v>0.26482210718642796</v>
      </c>
      <c r="BA344">
        <f t="shared" ca="1" si="39"/>
        <v>0.13400109601617544</v>
      </c>
      <c r="BB344">
        <f t="shared" ca="1" si="40"/>
        <v>8.5199656887584727E-2</v>
      </c>
    </row>
    <row r="345" spans="1:54" x14ac:dyDescent="0.25">
      <c r="A345" s="37">
        <v>46024</v>
      </c>
      <c r="B345" s="5">
        <v>5.9410999999999996</v>
      </c>
      <c r="C345">
        <v>-5.2664</v>
      </c>
      <c r="D345">
        <v>-6.5799999999999997E-2</v>
      </c>
      <c r="E345">
        <v>51.065600000000003</v>
      </c>
      <c r="F345">
        <v>2.0354999999999999</v>
      </c>
      <c r="G345">
        <v>0</v>
      </c>
      <c r="H345">
        <v>27.509799999999998</v>
      </c>
      <c r="I345">
        <v>9.4319000000000006</v>
      </c>
      <c r="J345">
        <v>5645</v>
      </c>
      <c r="K345">
        <v>22154506.544399999</v>
      </c>
      <c r="M345" s="37">
        <v>46024</v>
      </c>
      <c r="N345" s="5">
        <v>7.5476000000000001</v>
      </c>
      <c r="O345">
        <v>4.1440999999999999</v>
      </c>
      <c r="P345">
        <v>0.37490000000000001</v>
      </c>
      <c r="Q345">
        <v>34.845500000000001</v>
      </c>
      <c r="R345">
        <v>1.08</v>
      </c>
      <c r="S345" t="s">
        <v>33</v>
      </c>
      <c r="T345">
        <v>38.788800000000002</v>
      </c>
      <c r="U345">
        <v>18.068100000000001</v>
      </c>
      <c r="V345">
        <v>5440</v>
      </c>
      <c r="W345">
        <v>7396449.4390000002</v>
      </c>
      <c r="Y345" s="5">
        <v>7.2697000000000003</v>
      </c>
      <c r="Z345">
        <v>-7.06</v>
      </c>
      <c r="AA345">
        <v>-0.22770000000000001</v>
      </c>
      <c r="AB345">
        <v>6.5431999999999997</v>
      </c>
      <c r="AC345">
        <v>-0.59850000000000003</v>
      </c>
      <c r="AD345">
        <v>15.9076</v>
      </c>
      <c r="AE345">
        <v>-3.6631</v>
      </c>
      <c r="AF345">
        <v>-7.7218</v>
      </c>
      <c r="AG345">
        <v>61.1</v>
      </c>
      <c r="AH345">
        <v>427700</v>
      </c>
      <c r="AJ345">
        <v>7.0612000000000004</v>
      </c>
      <c r="AK345">
        <v>9.7738999999999994</v>
      </c>
      <c r="AL345">
        <v>0.48880000000000001</v>
      </c>
      <c r="AM345">
        <v>35.287399999999998</v>
      </c>
      <c r="AN345">
        <v>-0.12039999999999999</v>
      </c>
      <c r="AO345">
        <v>0</v>
      </c>
      <c r="AP345">
        <v>52.9754</v>
      </c>
      <c r="AQ345">
        <v>40.696199999999997</v>
      </c>
      <c r="AR345">
        <v>9515</v>
      </c>
      <c r="AS345">
        <v>7162521.4669000003</v>
      </c>
      <c r="AU345" s="1">
        <f t="shared" si="41"/>
        <v>46024</v>
      </c>
      <c r="AV345" s="29">
        <f t="shared" si="43"/>
        <v>8.0434836045460933</v>
      </c>
      <c r="AW345" s="30">
        <f t="shared" si="42"/>
        <v>0.15972552426679446</v>
      </c>
      <c r="AX345">
        <f t="shared" ca="1" si="36"/>
        <v>0.68946393801706218</v>
      </c>
      <c r="AY345">
        <f t="shared" ca="1" si="37"/>
        <v>0.39663521683961822</v>
      </c>
      <c r="AZ345">
        <f t="shared" ca="1" si="38"/>
        <v>0.26482210718642796</v>
      </c>
      <c r="BA345">
        <f t="shared" ca="1" si="39"/>
        <v>0.13400109601617544</v>
      </c>
      <c r="BB345">
        <f t="shared" ca="1" si="40"/>
        <v>8.5199656887584727E-2</v>
      </c>
    </row>
    <row r="346" spans="1:54" x14ac:dyDescent="0.25">
      <c r="A346" s="37">
        <v>46031</v>
      </c>
      <c r="B346" s="5">
        <v>5.6566999999999998</v>
      </c>
      <c r="C346">
        <v>-5.2664</v>
      </c>
      <c r="D346">
        <v>-6.5799999999999997E-2</v>
      </c>
      <c r="E346">
        <v>51.065600000000003</v>
      </c>
      <c r="F346">
        <v>2.0354999999999999</v>
      </c>
      <c r="G346">
        <v>0</v>
      </c>
      <c r="H346">
        <v>27.509799999999998</v>
      </c>
      <c r="I346">
        <v>9.4319000000000006</v>
      </c>
      <c r="J346">
        <v>5187.5</v>
      </c>
      <c r="K346">
        <v>20358990.734999999</v>
      </c>
      <c r="M346" s="37">
        <v>46031</v>
      </c>
      <c r="N346" s="5">
        <v>7.1497999999999999</v>
      </c>
      <c r="O346">
        <v>4.1440999999999999</v>
      </c>
      <c r="P346">
        <v>0.37490000000000001</v>
      </c>
      <c r="Q346">
        <v>34.845500000000001</v>
      </c>
      <c r="R346">
        <v>1.08</v>
      </c>
      <c r="S346" t="s">
        <v>33</v>
      </c>
      <c r="T346">
        <v>38.788800000000002</v>
      </c>
      <c r="U346">
        <v>18.068100000000001</v>
      </c>
      <c r="V346">
        <v>5065</v>
      </c>
      <c r="W346">
        <v>6886583.8986999998</v>
      </c>
      <c r="Y346" s="5">
        <v>7.2697000000000003</v>
      </c>
      <c r="Z346">
        <v>-7.06</v>
      </c>
      <c r="AA346">
        <v>-0.22770000000000001</v>
      </c>
      <c r="AB346">
        <v>6.5431999999999997</v>
      </c>
      <c r="AC346">
        <v>-0.59850000000000003</v>
      </c>
      <c r="AD346">
        <v>15.9076</v>
      </c>
      <c r="AE346">
        <v>-3.6631</v>
      </c>
      <c r="AF346">
        <v>-7.7218</v>
      </c>
      <c r="AG346">
        <v>56.8</v>
      </c>
      <c r="AH346">
        <v>397600</v>
      </c>
      <c r="AJ346">
        <v>6.8007999999999997</v>
      </c>
      <c r="AK346">
        <v>9.7738999999999994</v>
      </c>
      <c r="AL346">
        <v>0.48880000000000001</v>
      </c>
      <c r="AM346">
        <v>35.287399999999998</v>
      </c>
      <c r="AN346">
        <v>-0.12039999999999999</v>
      </c>
      <c r="AO346">
        <v>0</v>
      </c>
      <c r="AP346">
        <v>52.9754</v>
      </c>
      <c r="AQ346">
        <v>40.696199999999997</v>
      </c>
      <c r="AR346">
        <v>9170</v>
      </c>
      <c r="AS346">
        <v>6902818.9018999999</v>
      </c>
      <c r="AU346" s="1">
        <f t="shared" si="41"/>
        <v>46031</v>
      </c>
      <c r="AV346" s="29">
        <f t="shared" si="43"/>
        <v>7.7501056516302835</v>
      </c>
      <c r="AW346" s="30">
        <f t="shared" si="42"/>
        <v>6.875034344776329E-2</v>
      </c>
      <c r="AX346">
        <f t="shared" ca="1" si="36"/>
        <v>0.68946393801706218</v>
      </c>
      <c r="AY346">
        <f t="shared" ca="1" si="37"/>
        <v>0.38655953767612006</v>
      </c>
      <c r="AZ346">
        <f t="shared" ca="1" si="38"/>
        <v>0.25078326930762496</v>
      </c>
      <c r="BA346">
        <f t="shared" ca="1" si="39"/>
        <v>0.13400109601617544</v>
      </c>
      <c r="BB346">
        <f t="shared" ca="1" si="40"/>
        <v>8.5199656887584727E-2</v>
      </c>
    </row>
    <row r="347" spans="1:54" x14ac:dyDescent="0.25">
      <c r="A347" s="37">
        <v>46038</v>
      </c>
      <c r="B347" s="5">
        <v>5.6738</v>
      </c>
      <c r="C347">
        <v>-5.2664</v>
      </c>
      <c r="D347">
        <v>-6.5799999999999997E-2</v>
      </c>
      <c r="E347">
        <v>51.065600000000003</v>
      </c>
      <c r="F347">
        <v>2.0354999999999999</v>
      </c>
      <c r="G347">
        <v>0</v>
      </c>
      <c r="H347">
        <v>27.509799999999998</v>
      </c>
      <c r="I347">
        <v>9.4319000000000006</v>
      </c>
      <c r="J347">
        <v>5215</v>
      </c>
      <c r="K347">
        <v>20466917.914799999</v>
      </c>
      <c r="M347" s="37">
        <v>46038</v>
      </c>
      <c r="N347" s="5">
        <v>6.9909999999999997</v>
      </c>
      <c r="O347">
        <v>4.1440999999999999</v>
      </c>
      <c r="P347">
        <v>0.37490000000000001</v>
      </c>
      <c r="Q347">
        <v>34.845500000000001</v>
      </c>
      <c r="R347">
        <v>1.08</v>
      </c>
      <c r="S347" t="s">
        <v>33</v>
      </c>
      <c r="T347">
        <v>38.788800000000002</v>
      </c>
      <c r="U347">
        <v>18.068100000000001</v>
      </c>
      <c r="V347">
        <v>4792.5</v>
      </c>
      <c r="W347">
        <v>6516081.6059999997</v>
      </c>
      <c r="Y347" s="5">
        <v>7.2697000000000003</v>
      </c>
      <c r="Z347">
        <v>-7.06</v>
      </c>
      <c r="AA347">
        <v>-0.22770000000000001</v>
      </c>
      <c r="AB347">
        <v>6.5431999999999997</v>
      </c>
      <c r="AC347">
        <v>-0.59850000000000003</v>
      </c>
      <c r="AD347">
        <v>15.9076</v>
      </c>
      <c r="AE347">
        <v>-3.6631</v>
      </c>
      <c r="AF347">
        <v>-7.7218</v>
      </c>
      <c r="AG347">
        <v>54.6</v>
      </c>
      <c r="AH347">
        <v>382200</v>
      </c>
      <c r="AJ347">
        <v>6.4649000000000001</v>
      </c>
      <c r="AK347">
        <v>9.7738999999999994</v>
      </c>
      <c r="AL347">
        <v>0.48880000000000001</v>
      </c>
      <c r="AM347">
        <v>35.287399999999998</v>
      </c>
      <c r="AN347">
        <v>-0.12039999999999999</v>
      </c>
      <c r="AO347">
        <v>0</v>
      </c>
      <c r="AP347">
        <v>52.9754</v>
      </c>
      <c r="AQ347">
        <v>40.696199999999997</v>
      </c>
      <c r="AR347">
        <v>8725</v>
      </c>
      <c r="AS347">
        <v>6567840.2309999997</v>
      </c>
      <c r="AU347" s="1">
        <f t="shared" si="41"/>
        <v>46038</v>
      </c>
      <c r="AV347" s="29">
        <f t="shared" si="43"/>
        <v>7.5613567101768782</v>
      </c>
      <c r="AW347" s="30">
        <f t="shared" si="42"/>
        <v>1.0220147475430126E-2</v>
      </c>
      <c r="AX347">
        <f t="shared" ca="1" si="36"/>
        <v>0.68946393801706218</v>
      </c>
      <c r="AY347">
        <f t="shared" ca="1" si="37"/>
        <v>0.37847872544830474</v>
      </c>
      <c r="AZ347">
        <f t="shared" ca="1" si="38"/>
        <v>0.24256710080957566</v>
      </c>
      <c r="BA347">
        <f t="shared" ca="1" si="39"/>
        <v>0.12887092288242682</v>
      </c>
      <c r="BB347">
        <f t="shared" ca="1" si="40"/>
        <v>7.0304953194843658E-2</v>
      </c>
    </row>
    <row r="348" spans="1:54" x14ac:dyDescent="0.25">
      <c r="A348" s="37">
        <v>46045</v>
      </c>
      <c r="B348" s="5">
        <v>5.8677000000000001</v>
      </c>
      <c r="C348">
        <v>-5.2664</v>
      </c>
      <c r="D348">
        <v>-6.5799999999999997E-2</v>
      </c>
      <c r="E348">
        <v>51.065600000000003</v>
      </c>
      <c r="F348">
        <v>2.0354999999999999</v>
      </c>
      <c r="G348">
        <v>0</v>
      </c>
      <c r="H348">
        <v>27.509799999999998</v>
      </c>
      <c r="I348">
        <v>9.4319000000000006</v>
      </c>
      <c r="J348">
        <v>5515</v>
      </c>
      <c r="K348">
        <v>21691200.534000002</v>
      </c>
      <c r="M348" s="37">
        <v>46045</v>
      </c>
      <c r="N348" s="5">
        <v>7.3391000000000002</v>
      </c>
      <c r="O348">
        <v>4.1440999999999999</v>
      </c>
      <c r="P348">
        <v>0.37490000000000001</v>
      </c>
      <c r="Q348">
        <v>34.845500000000001</v>
      </c>
      <c r="R348">
        <v>1.08</v>
      </c>
      <c r="S348" t="s">
        <v>33</v>
      </c>
      <c r="T348">
        <v>38.788800000000002</v>
      </c>
      <c r="U348">
        <v>18.068100000000001</v>
      </c>
      <c r="V348">
        <v>5080</v>
      </c>
      <c r="W348">
        <v>6926683.5303999996</v>
      </c>
      <c r="Y348" s="5">
        <v>7.2697000000000003</v>
      </c>
      <c r="Z348">
        <v>-7.06</v>
      </c>
      <c r="AA348">
        <v>-0.22770000000000001</v>
      </c>
      <c r="AB348">
        <v>6.5431999999999997</v>
      </c>
      <c r="AC348">
        <v>-0.59850000000000003</v>
      </c>
      <c r="AD348">
        <v>15.9076</v>
      </c>
      <c r="AE348">
        <v>-3.6631</v>
      </c>
      <c r="AF348">
        <v>-7.7218</v>
      </c>
      <c r="AG348">
        <v>57.6</v>
      </c>
      <c r="AH348">
        <v>403200</v>
      </c>
      <c r="AJ348">
        <v>7.3198999999999996</v>
      </c>
      <c r="AK348">
        <v>9.7738999999999994</v>
      </c>
      <c r="AL348">
        <v>0.48880000000000001</v>
      </c>
      <c r="AM348">
        <v>35.287399999999998</v>
      </c>
      <c r="AN348">
        <v>-0.12039999999999999</v>
      </c>
      <c r="AO348">
        <v>0</v>
      </c>
      <c r="AP348">
        <v>52.9754</v>
      </c>
      <c r="AQ348">
        <v>40.696199999999997</v>
      </c>
      <c r="AR348">
        <v>9340</v>
      </c>
      <c r="AS348">
        <v>7420585.9431999996</v>
      </c>
      <c r="AU348" s="1">
        <f t="shared" si="41"/>
        <v>46045</v>
      </c>
      <c r="AV348" s="29">
        <f t="shared" si="43"/>
        <v>8.1100406185604061</v>
      </c>
      <c r="AW348" s="30">
        <f t="shared" si="42"/>
        <v>0.18036455431164758</v>
      </c>
      <c r="AX348">
        <f t="shared" ca="1" si="36"/>
        <v>0.68946393801706218</v>
      </c>
      <c r="AY348">
        <f t="shared" ca="1" si="37"/>
        <v>0.36222681524798578</v>
      </c>
      <c r="AZ348">
        <f t="shared" ca="1" si="38"/>
        <v>0.23770806665217192</v>
      </c>
      <c r="BA348">
        <f t="shared" ca="1" si="39"/>
        <v>0.12658482371414698</v>
      </c>
      <c r="BB348">
        <f t="shared" ca="1" si="40"/>
        <v>6.6769234233409969E-2</v>
      </c>
    </row>
    <row r="349" spans="1:54" x14ac:dyDescent="0.25">
      <c r="A349" s="37">
        <v>46052</v>
      </c>
      <c r="B349" s="5">
        <v>6.1512000000000002</v>
      </c>
      <c r="C349">
        <v>-5.2664</v>
      </c>
      <c r="D349">
        <v>-6.5799999999999997E-2</v>
      </c>
      <c r="E349">
        <v>51.065600000000003</v>
      </c>
      <c r="F349">
        <v>2.0354999999999999</v>
      </c>
      <c r="G349">
        <v>0</v>
      </c>
      <c r="H349">
        <v>27.509799999999998</v>
      </c>
      <c r="I349">
        <v>9.4319000000000006</v>
      </c>
      <c r="J349">
        <v>5970</v>
      </c>
      <c r="K349">
        <v>23480773.7421</v>
      </c>
      <c r="M349" s="37">
        <v>46052</v>
      </c>
      <c r="N349" s="5">
        <v>7.4389000000000003</v>
      </c>
      <c r="O349">
        <v>4.1440999999999999</v>
      </c>
      <c r="P349">
        <v>0.37490000000000001</v>
      </c>
      <c r="Q349">
        <v>34.845500000000001</v>
      </c>
      <c r="R349">
        <v>1.08</v>
      </c>
      <c r="S349" t="s">
        <v>33</v>
      </c>
      <c r="T349">
        <v>38.788800000000002</v>
      </c>
      <c r="U349">
        <v>18.068100000000001</v>
      </c>
      <c r="V349">
        <v>5215</v>
      </c>
      <c r="W349">
        <v>7110758.7817000002</v>
      </c>
      <c r="Y349" s="5">
        <v>7.2697000000000003</v>
      </c>
      <c r="Z349">
        <v>-7.06</v>
      </c>
      <c r="AA349">
        <v>-0.22770000000000001</v>
      </c>
      <c r="AB349">
        <v>6.5431999999999997</v>
      </c>
      <c r="AC349">
        <v>-0.59850000000000003</v>
      </c>
      <c r="AD349">
        <v>15.9076</v>
      </c>
      <c r="AE349">
        <v>-3.6631</v>
      </c>
      <c r="AF349">
        <v>-7.7218</v>
      </c>
      <c r="AG349">
        <v>60.8</v>
      </c>
      <c r="AH349">
        <v>425600</v>
      </c>
      <c r="AJ349">
        <v>7.5708000000000002</v>
      </c>
      <c r="AK349">
        <v>9.7738999999999994</v>
      </c>
      <c r="AL349">
        <v>0.48880000000000001</v>
      </c>
      <c r="AM349">
        <v>35.287399999999998</v>
      </c>
      <c r="AN349">
        <v>-0.12039999999999999</v>
      </c>
      <c r="AO349">
        <v>0</v>
      </c>
      <c r="AP349">
        <v>52.9754</v>
      </c>
      <c r="AQ349">
        <v>40.696199999999997</v>
      </c>
      <c r="AR349">
        <v>9655</v>
      </c>
      <c r="AS349">
        <v>7670851.9573999997</v>
      </c>
      <c r="AU349" s="1">
        <f t="shared" si="41"/>
        <v>46052</v>
      </c>
      <c r="AV349" s="29">
        <f t="shared" si="43"/>
        <v>8.3340917818346441</v>
      </c>
      <c r="AW349" s="30">
        <f t="shared" si="42"/>
        <v>0.24984181014837833</v>
      </c>
      <c r="AX349">
        <f t="shared" ca="1" si="36"/>
        <v>0.68946393801706218</v>
      </c>
      <c r="AY349">
        <f t="shared" ca="1" si="37"/>
        <v>0.35650562106268457</v>
      </c>
      <c r="AZ349">
        <f t="shared" ca="1" si="38"/>
        <v>0.22936183674179661</v>
      </c>
      <c r="BA349">
        <f t="shared" ca="1" si="39"/>
        <v>0.12658482371414698</v>
      </c>
      <c r="BB349">
        <f t="shared" ca="1" si="40"/>
        <v>6.6769234233409969E-2</v>
      </c>
    </row>
    <row r="350" spans="1:54" x14ac:dyDescent="0.25">
      <c r="A350" s="37">
        <v>46059</v>
      </c>
      <c r="B350" s="5">
        <v>5.9767999999999999</v>
      </c>
      <c r="C350">
        <v>-5.2664</v>
      </c>
      <c r="D350">
        <v>-6.5799999999999997E-2</v>
      </c>
      <c r="E350">
        <v>51.065600000000003</v>
      </c>
      <c r="F350">
        <v>2.0354999999999999</v>
      </c>
      <c r="G350">
        <v>0</v>
      </c>
      <c r="H350">
        <v>27.509799999999998</v>
      </c>
      <c r="I350">
        <v>9.4319000000000006</v>
      </c>
      <c r="J350">
        <v>5690</v>
      </c>
      <c r="K350">
        <v>22379497.921700001</v>
      </c>
      <c r="M350" s="37">
        <v>46059</v>
      </c>
      <c r="N350" s="5">
        <v>7.2328000000000001</v>
      </c>
      <c r="O350">
        <v>4.1440999999999999</v>
      </c>
      <c r="P350">
        <v>0.37490000000000001</v>
      </c>
      <c r="Q350">
        <v>34.845500000000001</v>
      </c>
      <c r="R350">
        <v>1.08</v>
      </c>
      <c r="S350" t="s">
        <v>33</v>
      </c>
      <c r="T350">
        <v>38.788800000000002</v>
      </c>
      <c r="U350">
        <v>18.068100000000001</v>
      </c>
      <c r="V350">
        <v>4985</v>
      </c>
      <c r="W350">
        <v>6797149.0943</v>
      </c>
      <c r="Y350" s="5">
        <v>7.2697000000000003</v>
      </c>
      <c r="Z350">
        <v>-7.06</v>
      </c>
      <c r="AA350">
        <v>-0.22770000000000001</v>
      </c>
      <c r="AB350">
        <v>6.5431999999999997</v>
      </c>
      <c r="AC350">
        <v>-0.59850000000000003</v>
      </c>
      <c r="AD350">
        <v>15.9076</v>
      </c>
      <c r="AE350">
        <v>-3.6631</v>
      </c>
      <c r="AF350">
        <v>-7.7218</v>
      </c>
      <c r="AG350">
        <v>51.9</v>
      </c>
      <c r="AH350">
        <v>363300</v>
      </c>
      <c r="AJ350">
        <v>6.9414999999999996</v>
      </c>
      <c r="AK350">
        <v>9.7738999999999994</v>
      </c>
      <c r="AL350">
        <v>0.48880000000000001</v>
      </c>
      <c r="AM350">
        <v>35.287399999999998</v>
      </c>
      <c r="AN350">
        <v>-0.12039999999999999</v>
      </c>
      <c r="AO350">
        <v>0</v>
      </c>
      <c r="AP350">
        <v>52.9754</v>
      </c>
      <c r="AQ350">
        <v>40.696199999999997</v>
      </c>
      <c r="AR350">
        <v>8865</v>
      </c>
      <c r="AS350">
        <v>7043200.6837999998</v>
      </c>
      <c r="AU350" s="1">
        <f t="shared" si="41"/>
        <v>46059</v>
      </c>
      <c r="AV350" s="29">
        <f t="shared" si="43"/>
        <v>7.9367665276203443</v>
      </c>
      <c r="AW350" s="30">
        <f t="shared" si="42"/>
        <v>0.12663303973171919</v>
      </c>
      <c r="AX350">
        <f t="shared" ca="1" si="36"/>
        <v>0.68946393801706218</v>
      </c>
      <c r="AY350">
        <f t="shared" ca="1" si="37"/>
        <v>0.32365047496485355</v>
      </c>
      <c r="AZ350">
        <f t="shared" ca="1" si="38"/>
        <v>0.22936183674179661</v>
      </c>
      <c r="BA350">
        <f t="shared" ca="1" si="39"/>
        <v>0.12658482371414698</v>
      </c>
      <c r="BB350">
        <f t="shared" ca="1" si="40"/>
        <v>6.6769234233409969E-2</v>
      </c>
    </row>
    <row r="351" spans="1:54" x14ac:dyDescent="0.25">
      <c r="A351" s="37">
        <v>46066</v>
      </c>
      <c r="B351" s="5">
        <v>5.8365999999999998</v>
      </c>
      <c r="C351">
        <v>-5.2664</v>
      </c>
      <c r="D351">
        <v>-6.5799999999999997E-2</v>
      </c>
      <c r="E351">
        <v>51.065600000000003</v>
      </c>
      <c r="F351">
        <v>2.0354999999999999</v>
      </c>
      <c r="G351">
        <v>0</v>
      </c>
      <c r="H351">
        <v>27.509799999999998</v>
      </c>
      <c r="I351">
        <v>9.4319000000000006</v>
      </c>
      <c r="J351">
        <v>5465</v>
      </c>
      <c r="K351">
        <v>21494544.137400001</v>
      </c>
      <c r="M351" s="37">
        <v>46066</v>
      </c>
      <c r="N351" s="5">
        <v>7.2191000000000001</v>
      </c>
      <c r="O351">
        <v>4.1440999999999999</v>
      </c>
      <c r="P351">
        <v>0.37490000000000001</v>
      </c>
      <c r="Q351">
        <v>34.845500000000001</v>
      </c>
      <c r="R351">
        <v>1.08</v>
      </c>
      <c r="S351" t="s">
        <v>33</v>
      </c>
      <c r="T351">
        <v>38.788800000000002</v>
      </c>
      <c r="U351">
        <v>18.068100000000001</v>
      </c>
      <c r="V351">
        <v>4840</v>
      </c>
      <c r="W351">
        <v>6599438.6392000001</v>
      </c>
      <c r="Y351" s="5">
        <v>7.2697000000000003</v>
      </c>
      <c r="Z351">
        <v>-7.06</v>
      </c>
      <c r="AA351">
        <v>-0.22770000000000001</v>
      </c>
      <c r="AB351">
        <v>6.5431999999999997</v>
      </c>
      <c r="AC351">
        <v>-0.59850000000000003</v>
      </c>
      <c r="AD351">
        <v>15.9076</v>
      </c>
      <c r="AE351">
        <v>-3.6631</v>
      </c>
      <c r="AF351">
        <v>-7.7218</v>
      </c>
      <c r="AG351">
        <v>47.67</v>
      </c>
      <c r="AH351">
        <v>333690</v>
      </c>
      <c r="AJ351">
        <v>6.7423999999999999</v>
      </c>
      <c r="AK351">
        <v>9.7738999999999994</v>
      </c>
      <c r="AL351">
        <v>0.48880000000000001</v>
      </c>
      <c r="AM351">
        <v>35.287399999999998</v>
      </c>
      <c r="AN351">
        <v>-0.12039999999999999</v>
      </c>
      <c r="AO351">
        <v>0</v>
      </c>
      <c r="AP351">
        <v>52.9754</v>
      </c>
      <c r="AQ351">
        <v>40.696199999999997</v>
      </c>
      <c r="AR351">
        <v>8615</v>
      </c>
      <c r="AS351">
        <v>6844576.8629999999</v>
      </c>
      <c r="AU351" s="1">
        <f t="shared" si="41"/>
        <v>46066</v>
      </c>
      <c r="AV351" s="29">
        <f t="shared" si="43"/>
        <v>7.7977457658495348</v>
      </c>
      <c r="AW351" s="30">
        <f t="shared" si="42"/>
        <v>8.3523328132742075E-2</v>
      </c>
      <c r="AX351">
        <f t="shared" ca="1" si="36"/>
        <v>0.68946393801706218</v>
      </c>
      <c r="AY351">
        <f t="shared" ca="1" si="37"/>
        <v>0.32365047496485355</v>
      </c>
      <c r="AZ351">
        <f t="shared" ca="1" si="38"/>
        <v>0.20324236063607529</v>
      </c>
      <c r="BA351">
        <f t="shared" ca="1" si="39"/>
        <v>0.12658482371414698</v>
      </c>
      <c r="BB351">
        <f t="shared" ca="1" si="40"/>
        <v>6.6769234233409969E-2</v>
      </c>
    </row>
    <row r="352" spans="1:54" x14ac:dyDescent="0.25">
      <c r="A352" s="37">
        <v>46073</v>
      </c>
      <c r="B352" s="5">
        <v>5.8973000000000004</v>
      </c>
      <c r="C352">
        <v>-5.2664</v>
      </c>
      <c r="D352">
        <v>-6.5799999999999997E-2</v>
      </c>
      <c r="E352">
        <v>51.065600000000003</v>
      </c>
      <c r="F352">
        <v>2.0354999999999999</v>
      </c>
      <c r="G352">
        <v>0</v>
      </c>
      <c r="H352">
        <v>27.509799999999998</v>
      </c>
      <c r="I352">
        <v>9.4319000000000006</v>
      </c>
      <c r="J352">
        <v>5562.5</v>
      </c>
      <c r="K352">
        <v>21878024.110599998</v>
      </c>
      <c r="M352" s="37">
        <v>46073</v>
      </c>
      <c r="N352" s="5">
        <v>7.2935999999999996</v>
      </c>
      <c r="O352">
        <v>4.1440999999999999</v>
      </c>
      <c r="P352">
        <v>0.37490000000000001</v>
      </c>
      <c r="Q352">
        <v>34.845500000000001</v>
      </c>
      <c r="R352">
        <v>1.08</v>
      </c>
      <c r="S352" t="s">
        <v>33</v>
      </c>
      <c r="T352">
        <v>38.788800000000002</v>
      </c>
      <c r="U352">
        <v>18.068100000000001</v>
      </c>
      <c r="V352">
        <v>4802.5</v>
      </c>
      <c r="W352">
        <v>6548306.625</v>
      </c>
      <c r="Y352" s="5">
        <v>7.2697000000000003</v>
      </c>
      <c r="Z352">
        <v>-7.06</v>
      </c>
      <c r="AA352">
        <v>-0.22770000000000001</v>
      </c>
      <c r="AB352">
        <v>6.5431999999999997</v>
      </c>
      <c r="AC352">
        <v>-0.59850000000000003</v>
      </c>
      <c r="AD352">
        <v>15.9076</v>
      </c>
      <c r="AE352">
        <v>-3.6631</v>
      </c>
      <c r="AF352">
        <v>-7.7218</v>
      </c>
      <c r="AG352">
        <v>45.01</v>
      </c>
      <c r="AH352">
        <v>315070</v>
      </c>
      <c r="AJ352">
        <v>6.8697999999999997</v>
      </c>
      <c r="AK352">
        <v>9.7738999999999994</v>
      </c>
      <c r="AL352">
        <v>0.48880000000000001</v>
      </c>
      <c r="AM352">
        <v>35.287399999999998</v>
      </c>
      <c r="AN352">
        <v>-0.12039999999999999</v>
      </c>
      <c r="AO352">
        <v>0</v>
      </c>
      <c r="AP352">
        <v>52.9754</v>
      </c>
      <c r="AQ352">
        <v>40.696199999999997</v>
      </c>
      <c r="AR352">
        <v>8775</v>
      </c>
      <c r="AS352">
        <v>6971696.1083000004</v>
      </c>
      <c r="AU352" s="1">
        <f t="shared" si="41"/>
        <v>46073</v>
      </c>
      <c r="AV352" s="29">
        <f t="shared" si="43"/>
        <v>7.8968532250487273</v>
      </c>
      <c r="AW352" s="30">
        <f t="shared" si="42"/>
        <v>0.11425610451062038</v>
      </c>
      <c r="AX352">
        <f t="shared" ca="1" si="36"/>
        <v>0.68946393801706218</v>
      </c>
      <c r="AY352">
        <f t="shared" ca="1" si="37"/>
        <v>0.32365047496485355</v>
      </c>
      <c r="AZ352">
        <f t="shared" ca="1" si="38"/>
        <v>0.18320080555254462</v>
      </c>
      <c r="BA352">
        <f t="shared" ca="1" si="39"/>
        <v>0.12245235523205621</v>
      </c>
      <c r="BB352">
        <f t="shared" ca="1" si="40"/>
        <v>6.6769234233409969E-2</v>
      </c>
    </row>
    <row r="353" spans="1:54" x14ac:dyDescent="0.25">
      <c r="A353" s="37">
        <v>46080</v>
      </c>
      <c r="B353" s="5">
        <v>5.5951000000000004</v>
      </c>
      <c r="C353">
        <v>-5.2664</v>
      </c>
      <c r="D353">
        <v>-6.5799999999999997E-2</v>
      </c>
      <c r="E353">
        <v>51.065600000000003</v>
      </c>
      <c r="F353">
        <v>2.0354999999999999</v>
      </c>
      <c r="G353">
        <v>0</v>
      </c>
      <c r="H353">
        <v>27.509799999999998</v>
      </c>
      <c r="I353">
        <v>9.4319000000000006</v>
      </c>
      <c r="J353">
        <v>5077.5</v>
      </c>
      <c r="K353">
        <v>19970457.064599998</v>
      </c>
      <c r="M353" s="37">
        <v>46080</v>
      </c>
      <c r="N353" s="5">
        <v>6.7923</v>
      </c>
      <c r="O353">
        <v>4.1440999999999999</v>
      </c>
      <c r="P353">
        <v>0.37490000000000001</v>
      </c>
      <c r="Q353">
        <v>34.845500000000001</v>
      </c>
      <c r="R353">
        <v>1.08</v>
      </c>
      <c r="S353" t="s">
        <v>33</v>
      </c>
      <c r="T353">
        <v>38.788800000000002</v>
      </c>
      <c r="U353">
        <v>18.068100000000001</v>
      </c>
      <c r="V353">
        <v>4495</v>
      </c>
      <c r="W353">
        <v>6129024.1080999998</v>
      </c>
      <c r="Y353" s="5">
        <v>7.2697000000000003</v>
      </c>
      <c r="Z353">
        <v>-7.06</v>
      </c>
      <c r="AA353">
        <v>-0.22770000000000001</v>
      </c>
      <c r="AB353">
        <v>6.5431999999999997</v>
      </c>
      <c r="AC353">
        <v>-0.59850000000000003</v>
      </c>
      <c r="AD353">
        <v>15.9076</v>
      </c>
      <c r="AE353">
        <v>-3.6631</v>
      </c>
      <c r="AF353">
        <v>-7.7218</v>
      </c>
      <c r="AG353">
        <v>41.95</v>
      </c>
      <c r="AH353">
        <v>293650</v>
      </c>
      <c r="AJ353">
        <v>6.6946000000000003</v>
      </c>
      <c r="AK353">
        <v>9.7738999999999994</v>
      </c>
      <c r="AL353">
        <v>0.48880000000000001</v>
      </c>
      <c r="AM353">
        <v>35.287399999999998</v>
      </c>
      <c r="AN353">
        <v>-0.12039999999999999</v>
      </c>
      <c r="AO353">
        <v>0</v>
      </c>
      <c r="AP353">
        <v>52.9754</v>
      </c>
      <c r="AQ353">
        <v>40.696199999999997</v>
      </c>
      <c r="AR353">
        <v>8555</v>
      </c>
      <c r="AS353">
        <v>6796907.1460999995</v>
      </c>
      <c r="AU353" s="1">
        <f t="shared" si="41"/>
        <v>46080</v>
      </c>
      <c r="AV353" s="29">
        <f t="shared" si="43"/>
        <v>7.6157768262366252</v>
      </c>
      <c r="AW353" s="30">
        <f t="shared" si="42"/>
        <v>2.7095580170772769E-2</v>
      </c>
      <c r="AX353">
        <f t="shared" ca="1" si="36"/>
        <v>0.68946393801706218</v>
      </c>
      <c r="AY353">
        <f t="shared" ca="1" si="37"/>
        <v>0.32365047496485355</v>
      </c>
      <c r="AZ353">
        <f t="shared" ca="1" si="38"/>
        <v>0.18176485933924896</v>
      </c>
      <c r="BA353">
        <f t="shared" ca="1" si="39"/>
        <v>0.11321172909551201</v>
      </c>
      <c r="BB353">
        <f t="shared" ca="1" si="40"/>
        <v>6.6769234233409969E-2</v>
      </c>
    </row>
    <row r="354" spans="1:54" x14ac:dyDescent="0.25">
      <c r="A354" s="37">
        <v>46087</v>
      </c>
      <c r="B354" s="5">
        <v>5.8646000000000003</v>
      </c>
      <c r="C354">
        <v>-5.2664</v>
      </c>
      <c r="D354">
        <v>-6.5799999999999997E-2</v>
      </c>
      <c r="E354">
        <v>51.065600000000003</v>
      </c>
      <c r="F354">
        <v>2.0354999999999999</v>
      </c>
      <c r="G354">
        <v>0</v>
      </c>
      <c r="H354">
        <v>27.509799999999998</v>
      </c>
      <c r="I354">
        <v>9.4319000000000006</v>
      </c>
      <c r="J354">
        <v>5510</v>
      </c>
      <c r="K354">
        <v>21671534.894299999</v>
      </c>
      <c r="M354" s="37">
        <v>46087</v>
      </c>
      <c r="N354" s="5">
        <v>6.9593999999999996</v>
      </c>
      <c r="O354">
        <v>4.1440999999999999</v>
      </c>
      <c r="P354">
        <v>0.37490000000000001</v>
      </c>
      <c r="Q354">
        <v>34.845500000000001</v>
      </c>
      <c r="R354">
        <v>1.08</v>
      </c>
      <c r="S354" t="s">
        <v>33</v>
      </c>
      <c r="T354">
        <v>38.788800000000002</v>
      </c>
      <c r="U354">
        <v>18.068100000000001</v>
      </c>
      <c r="V354">
        <v>4695</v>
      </c>
      <c r="W354">
        <v>6401728.1841000002</v>
      </c>
      <c r="Y354" s="5">
        <v>7.2697000000000003</v>
      </c>
      <c r="Z354">
        <v>-7.06</v>
      </c>
      <c r="AA354">
        <v>-0.22770000000000001</v>
      </c>
      <c r="AB354">
        <v>6.5431999999999997</v>
      </c>
      <c r="AC354">
        <v>-0.59850000000000003</v>
      </c>
      <c r="AD354">
        <v>15.9076</v>
      </c>
      <c r="AE354">
        <v>-3.6631</v>
      </c>
      <c r="AF354">
        <v>-7.7218</v>
      </c>
      <c r="AG354">
        <v>39.68</v>
      </c>
      <c r="AH354">
        <v>277760</v>
      </c>
      <c r="AJ354">
        <v>6.7542999999999997</v>
      </c>
      <c r="AK354">
        <v>9.7738999999999994</v>
      </c>
      <c r="AL354">
        <v>0.48880000000000001</v>
      </c>
      <c r="AM354">
        <v>35.287399999999998</v>
      </c>
      <c r="AN354">
        <v>-0.12039999999999999</v>
      </c>
      <c r="AO354">
        <v>0</v>
      </c>
      <c r="AP354">
        <v>52.9754</v>
      </c>
      <c r="AQ354">
        <v>40.696199999999997</v>
      </c>
      <c r="AR354">
        <v>8630</v>
      </c>
      <c r="AS354">
        <v>6856494.2922999999</v>
      </c>
      <c r="AU354" s="1">
        <f t="shared" si="41"/>
        <v>46087</v>
      </c>
      <c r="AV354" s="29">
        <f t="shared" si="43"/>
        <v>7.7590541028346456</v>
      </c>
      <c r="AW354" s="30">
        <f t="shared" si="42"/>
        <v>7.1525217831731519E-2</v>
      </c>
      <c r="AX354">
        <f t="shared" ca="1" si="36"/>
        <v>0.68946393801706218</v>
      </c>
      <c r="AY354">
        <f t="shared" ca="1" si="37"/>
        <v>0.32365047496485355</v>
      </c>
      <c r="AZ354">
        <f t="shared" ca="1" si="38"/>
        <v>0.18176485933924896</v>
      </c>
      <c r="BA354">
        <f t="shared" ca="1" si="39"/>
        <v>0.10926127807045753</v>
      </c>
      <c r="BB354">
        <f t="shared" ca="1" si="40"/>
        <v>4.6234484368279989E-2</v>
      </c>
    </row>
    <row r="355" spans="1:54" x14ac:dyDescent="0.25">
      <c r="A355" s="37">
        <v>46094</v>
      </c>
      <c r="B355" s="5">
        <v>5.9347000000000003</v>
      </c>
      <c r="C355">
        <v>-5.2664</v>
      </c>
      <c r="D355">
        <v>-6.5799999999999997E-2</v>
      </c>
      <c r="E355">
        <v>51.065600000000003</v>
      </c>
      <c r="F355">
        <v>2.0354999999999999</v>
      </c>
      <c r="G355">
        <v>0</v>
      </c>
      <c r="H355">
        <v>27.509799999999998</v>
      </c>
      <c r="I355">
        <v>9.4319000000000006</v>
      </c>
      <c r="J355">
        <v>5622.5</v>
      </c>
      <c r="K355">
        <v>22114011.786400001</v>
      </c>
      <c r="M355" s="37">
        <v>46094</v>
      </c>
      <c r="N355" s="5">
        <v>7.1161000000000003</v>
      </c>
      <c r="O355">
        <v>4.1440999999999999</v>
      </c>
      <c r="P355">
        <v>0.37490000000000001</v>
      </c>
      <c r="Q355">
        <v>34.845500000000001</v>
      </c>
      <c r="R355">
        <v>1.08</v>
      </c>
      <c r="S355" t="s">
        <v>33</v>
      </c>
      <c r="T355">
        <v>38.788800000000002</v>
      </c>
      <c r="U355">
        <v>18.068100000000001</v>
      </c>
      <c r="V355">
        <v>4752.5</v>
      </c>
      <c r="W355">
        <v>6480130.6059999997</v>
      </c>
      <c r="Y355" s="5">
        <v>7.2697000000000003</v>
      </c>
      <c r="Z355">
        <v>-7.06</v>
      </c>
      <c r="AA355">
        <v>-0.22770000000000001</v>
      </c>
      <c r="AB355">
        <v>6.5431999999999997</v>
      </c>
      <c r="AC355">
        <v>-0.59850000000000003</v>
      </c>
      <c r="AD355">
        <v>15.9076</v>
      </c>
      <c r="AE355">
        <v>-3.6631</v>
      </c>
      <c r="AF355">
        <v>-7.7218</v>
      </c>
      <c r="AG355">
        <v>42.02</v>
      </c>
      <c r="AH355">
        <v>294140</v>
      </c>
      <c r="AJ355">
        <v>7.1087999999999996</v>
      </c>
      <c r="AK355">
        <v>9.7738999999999994</v>
      </c>
      <c r="AL355">
        <v>0.48880000000000001</v>
      </c>
      <c r="AM355">
        <v>35.287399999999998</v>
      </c>
      <c r="AN355">
        <v>-0.12039999999999999</v>
      </c>
      <c r="AO355">
        <v>0</v>
      </c>
      <c r="AP355">
        <v>52.9754</v>
      </c>
      <c r="AQ355">
        <v>40.696199999999997</v>
      </c>
      <c r="AR355">
        <v>9075</v>
      </c>
      <c r="AS355">
        <v>7210044.6931999996</v>
      </c>
      <c r="AU355" s="1">
        <f t="shared" si="41"/>
        <v>46094</v>
      </c>
      <c r="AV355" s="29">
        <f t="shared" si="43"/>
        <v>7.9875416368759309</v>
      </c>
      <c r="AW355" s="30">
        <f t="shared" si="42"/>
        <v>0.14237817224669941</v>
      </c>
      <c r="AX355">
        <f t="shared" ca="1" si="36"/>
        <v>0.68946393801706218</v>
      </c>
      <c r="AY355">
        <f t="shared" ca="1" si="37"/>
        <v>0.32365047496485355</v>
      </c>
      <c r="AZ355">
        <f t="shared" ca="1" si="38"/>
        <v>0.18176485933924896</v>
      </c>
      <c r="BA355">
        <f t="shared" ca="1" si="39"/>
        <v>0.10528848054361274</v>
      </c>
      <c r="BB355">
        <f t="shared" ca="1" si="40"/>
        <v>4.6234484368279989E-2</v>
      </c>
    </row>
    <row r="356" spans="1:54" x14ac:dyDescent="0.25">
      <c r="A356" s="37">
        <v>46101</v>
      </c>
      <c r="B356" s="5">
        <v>6.2664999999999997</v>
      </c>
      <c r="C356">
        <v>-5.2664</v>
      </c>
      <c r="D356">
        <v>-6.5799999999999997E-2</v>
      </c>
      <c r="E356">
        <v>51.065600000000003</v>
      </c>
      <c r="F356">
        <v>2.0354999999999999</v>
      </c>
      <c r="G356">
        <v>0</v>
      </c>
      <c r="H356">
        <v>27.509799999999998</v>
      </c>
      <c r="I356">
        <v>9.4319000000000006</v>
      </c>
      <c r="J356">
        <v>6155</v>
      </c>
      <c r="K356">
        <v>24208402.409200002</v>
      </c>
      <c r="M356" s="37">
        <v>46101</v>
      </c>
      <c r="N356" s="5">
        <v>7.3998999999999997</v>
      </c>
      <c r="O356">
        <v>4.1440999999999999</v>
      </c>
      <c r="P356">
        <v>0.37490000000000001</v>
      </c>
      <c r="Q356">
        <v>34.845500000000001</v>
      </c>
      <c r="R356">
        <v>1.08</v>
      </c>
      <c r="S356" t="s">
        <v>33</v>
      </c>
      <c r="T356">
        <v>38.788800000000002</v>
      </c>
      <c r="U356">
        <v>18.068100000000001</v>
      </c>
      <c r="V356">
        <v>4950</v>
      </c>
      <c r="W356">
        <v>6749425.8810000001</v>
      </c>
      <c r="Y356" s="5">
        <v>7.2697000000000003</v>
      </c>
      <c r="Z356">
        <v>-7.06</v>
      </c>
      <c r="AA356">
        <v>-0.22770000000000001</v>
      </c>
      <c r="AB356">
        <v>6.5431999999999997</v>
      </c>
      <c r="AC356">
        <v>-0.59850000000000003</v>
      </c>
      <c r="AD356">
        <v>15.9076</v>
      </c>
      <c r="AE356">
        <v>-3.6631</v>
      </c>
      <c r="AF356">
        <v>-7.7218</v>
      </c>
      <c r="AG356">
        <v>44.79</v>
      </c>
      <c r="AH356">
        <v>313530</v>
      </c>
      <c r="AJ356">
        <v>7.5030999999999999</v>
      </c>
      <c r="AK356">
        <v>9.7738999999999994</v>
      </c>
      <c r="AL356">
        <v>0.48880000000000001</v>
      </c>
      <c r="AM356">
        <v>35.287399999999998</v>
      </c>
      <c r="AN356">
        <v>-0.12039999999999999</v>
      </c>
      <c r="AO356">
        <v>0</v>
      </c>
      <c r="AP356">
        <v>52.9754</v>
      </c>
      <c r="AQ356">
        <v>40.696199999999997</v>
      </c>
      <c r="AR356">
        <v>9570</v>
      </c>
      <c r="AS356">
        <v>7603319.8583000004</v>
      </c>
      <c r="AU356" s="1">
        <f t="shared" si="41"/>
        <v>46101</v>
      </c>
      <c r="AV356" s="29">
        <f t="shared" si="43"/>
        <v>8.3454887415510886</v>
      </c>
      <c r="AW356" s="30">
        <f t="shared" si="42"/>
        <v>0.25337595598546614</v>
      </c>
      <c r="AX356">
        <f t="shared" ca="1" si="36"/>
        <v>0.68946393801706218</v>
      </c>
      <c r="AY356">
        <f t="shared" ca="1" si="37"/>
        <v>0.32365047496485355</v>
      </c>
      <c r="AZ356">
        <f t="shared" ca="1" si="38"/>
        <v>0.17573532282992718</v>
      </c>
      <c r="BA356">
        <f t="shared" ca="1" si="39"/>
        <v>0.10528848054361274</v>
      </c>
      <c r="BB356">
        <f t="shared" ca="1" si="40"/>
        <v>4.6234484368279989E-2</v>
      </c>
    </row>
    <row r="357" spans="1:54" x14ac:dyDescent="0.25">
      <c r="A357" s="37">
        <v>46108</v>
      </c>
      <c r="B357" s="5">
        <v>6.5749000000000004</v>
      </c>
      <c r="C357">
        <v>-5.2664</v>
      </c>
      <c r="D357">
        <v>-6.5799999999999997E-2</v>
      </c>
      <c r="E357">
        <v>51.065600000000003</v>
      </c>
      <c r="F357">
        <v>2.0354999999999999</v>
      </c>
      <c r="G357">
        <v>0</v>
      </c>
      <c r="H357">
        <v>27.509799999999998</v>
      </c>
      <c r="I357">
        <v>9.4319000000000006</v>
      </c>
      <c r="J357">
        <v>6650</v>
      </c>
      <c r="K357">
        <v>26155300.734499998</v>
      </c>
      <c r="M357" s="37">
        <v>46108</v>
      </c>
      <c r="N357" s="5">
        <v>7.4424000000000001</v>
      </c>
      <c r="O357">
        <v>4.1440999999999999</v>
      </c>
      <c r="P357">
        <v>0.37490000000000001</v>
      </c>
      <c r="Q357">
        <v>34.845500000000001</v>
      </c>
      <c r="R357">
        <v>1.08</v>
      </c>
      <c r="S357" t="s">
        <v>33</v>
      </c>
      <c r="T357">
        <v>38.788800000000002</v>
      </c>
      <c r="U357">
        <v>18.068100000000001</v>
      </c>
      <c r="V357">
        <v>4955</v>
      </c>
      <c r="W357">
        <v>6756243.4829000002</v>
      </c>
      <c r="Y357" s="5">
        <v>7.2697000000000003</v>
      </c>
      <c r="Z357">
        <v>-7.06</v>
      </c>
      <c r="AA357">
        <v>-0.22770000000000001</v>
      </c>
      <c r="AB357">
        <v>6.5431999999999997</v>
      </c>
      <c r="AC357">
        <v>-0.59850000000000003</v>
      </c>
      <c r="AD357">
        <v>15.9076</v>
      </c>
      <c r="AE357">
        <v>-3.6631</v>
      </c>
      <c r="AF357">
        <v>-7.7218</v>
      </c>
      <c r="AG357">
        <v>46.78</v>
      </c>
      <c r="AH357">
        <v>327460</v>
      </c>
      <c r="AJ357">
        <v>7.9492000000000003</v>
      </c>
      <c r="AK357">
        <v>9.7738999999999994</v>
      </c>
      <c r="AL357">
        <v>0.48880000000000001</v>
      </c>
      <c r="AM357">
        <v>35.287399999999998</v>
      </c>
      <c r="AN357">
        <v>-0.12039999999999999</v>
      </c>
      <c r="AO357">
        <v>0</v>
      </c>
      <c r="AP357">
        <v>52.9754</v>
      </c>
      <c r="AQ357">
        <v>40.696199999999997</v>
      </c>
      <c r="AR357">
        <v>10130</v>
      </c>
      <c r="AS357">
        <v>8048237.2167999996</v>
      </c>
      <c r="AU357" s="1">
        <f t="shared" si="41"/>
        <v>46108</v>
      </c>
      <c r="AV357" s="29">
        <f t="shared" si="43"/>
        <v>8.6828334162641454</v>
      </c>
      <c r="AW357" s="30">
        <f t="shared" si="42"/>
        <v>0.35798501905696645</v>
      </c>
      <c r="AX357">
        <f t="shared" ca="1" si="36"/>
        <v>0.68946393801706218</v>
      </c>
      <c r="AY357">
        <f t="shared" ca="1" si="37"/>
        <v>0.30828785172908824</v>
      </c>
      <c r="AZ357">
        <f t="shared" ca="1" si="38"/>
        <v>0.17573532282992718</v>
      </c>
      <c r="BA357">
        <f t="shared" ca="1" si="39"/>
        <v>0.10528848054361274</v>
      </c>
      <c r="BB357">
        <f t="shared" ca="1" si="40"/>
        <v>4.6234484368279989E-2</v>
      </c>
    </row>
    <row r="358" spans="1:54" x14ac:dyDescent="0.25">
      <c r="A358" s="37">
        <v>46115</v>
      </c>
      <c r="B358" s="5">
        <v>5.0880999999999998</v>
      </c>
      <c r="C358">
        <v>-2.2206000000000001</v>
      </c>
      <c r="D358">
        <v>2.9100000000000001E-2</v>
      </c>
      <c r="E358">
        <v>48.039499999999997</v>
      </c>
      <c r="F358">
        <v>1.5909</v>
      </c>
      <c r="G358">
        <v>0</v>
      </c>
      <c r="H358">
        <v>30.331099999999999</v>
      </c>
      <c r="I358">
        <v>12.9139</v>
      </c>
      <c r="J358">
        <v>6545</v>
      </c>
      <c r="K358">
        <v>25742322.301899999</v>
      </c>
      <c r="M358" s="37">
        <v>46115</v>
      </c>
      <c r="N358" s="5">
        <v>7.4664000000000001</v>
      </c>
      <c r="O358">
        <v>5.798</v>
      </c>
      <c r="P358">
        <v>10.565899999999999</v>
      </c>
      <c r="Q358">
        <v>33.526299999999999</v>
      </c>
      <c r="R358">
        <v>1.4569000000000001</v>
      </c>
      <c r="S358" t="s">
        <v>33</v>
      </c>
      <c r="T358">
        <v>39.267499999999998</v>
      </c>
      <c r="U358">
        <v>18.3125</v>
      </c>
      <c r="V358">
        <v>5170</v>
      </c>
      <c r="W358">
        <v>7049400.3646</v>
      </c>
      <c r="Y358" s="5">
        <v>7.2697000000000003</v>
      </c>
      <c r="Z358">
        <v>-5.9964000000000004</v>
      </c>
      <c r="AA358">
        <v>-0.1095</v>
      </c>
      <c r="AB358">
        <v>7.2754000000000003</v>
      </c>
      <c r="AC358">
        <v>-0.59850000000000003</v>
      </c>
      <c r="AD358">
        <v>15.9076</v>
      </c>
      <c r="AE358">
        <v>-1.9505999999999999</v>
      </c>
      <c r="AF358">
        <v>-6.0448000000000004</v>
      </c>
      <c r="AG358">
        <v>54.3</v>
      </c>
      <c r="AH358">
        <v>380100</v>
      </c>
      <c r="AJ358">
        <v>7.6917999999999997</v>
      </c>
      <c r="AK358">
        <v>11.513400000000001</v>
      </c>
      <c r="AL358">
        <v>0.26960000000000001</v>
      </c>
      <c r="AM358">
        <v>30.483499999999999</v>
      </c>
      <c r="AN358">
        <v>7.0900000000000005E-2</v>
      </c>
      <c r="AO358">
        <v>0</v>
      </c>
      <c r="AP358">
        <v>54.832599999999999</v>
      </c>
      <c r="AQ358">
        <v>42.717399999999998</v>
      </c>
      <c r="AR358">
        <v>10200</v>
      </c>
      <c r="AS358">
        <v>8103851.8865999999</v>
      </c>
      <c r="AU358" s="1">
        <f t="shared" si="41"/>
        <v>46115</v>
      </c>
      <c r="AV358" s="29">
        <f t="shared" si="43"/>
        <v>7.4976155636170949</v>
      </c>
      <c r="AW358" s="30">
        <f t="shared" si="42"/>
        <v>-9.5456947640947271E-3</v>
      </c>
      <c r="AX358">
        <f t="shared" ca="1" si="36"/>
        <v>0.68946393801706218</v>
      </c>
      <c r="AY358">
        <f t="shared" ca="1" si="37"/>
        <v>0.30828785172908824</v>
      </c>
      <c r="AZ358">
        <f t="shared" ca="1" si="38"/>
        <v>0.17573532282992718</v>
      </c>
      <c r="BA358">
        <f t="shared" ca="1" si="39"/>
        <v>0.10528848054361274</v>
      </c>
      <c r="BB358">
        <f t="shared" ca="1" si="40"/>
        <v>4.6234484368279989E-2</v>
      </c>
    </row>
    <row r="359" spans="1:54" x14ac:dyDescent="0.25">
      <c r="A359" s="37">
        <v>46122</v>
      </c>
      <c r="B359" s="5">
        <v>4.9755000000000003</v>
      </c>
      <c r="C359">
        <v>-2.2206000000000001</v>
      </c>
      <c r="D359">
        <v>2.9100000000000001E-2</v>
      </c>
      <c r="E359">
        <v>48.039499999999997</v>
      </c>
      <c r="F359">
        <v>1.5909</v>
      </c>
      <c r="G359">
        <v>0</v>
      </c>
      <c r="H359">
        <v>30.331099999999999</v>
      </c>
      <c r="I359">
        <v>12.9139</v>
      </c>
      <c r="J359">
        <v>6327.5</v>
      </c>
      <c r="K359">
        <v>24886866.9771</v>
      </c>
      <c r="M359" s="37">
        <v>46122</v>
      </c>
      <c r="N359" s="5">
        <v>7.5076999999999998</v>
      </c>
      <c r="O359">
        <v>5.798</v>
      </c>
      <c r="P359">
        <v>10.565899999999999</v>
      </c>
      <c r="Q359">
        <v>33.526299999999999</v>
      </c>
      <c r="R359">
        <v>1.4569000000000001</v>
      </c>
      <c r="S359" t="s">
        <v>33</v>
      </c>
      <c r="T359">
        <v>39.267499999999998</v>
      </c>
      <c r="U359">
        <v>18.3125</v>
      </c>
      <c r="V359">
        <v>5145</v>
      </c>
      <c r="W359">
        <v>7015312.3551000003</v>
      </c>
      <c r="Y359" s="5">
        <v>7.2697000000000003</v>
      </c>
      <c r="Z359">
        <v>-5.9964000000000004</v>
      </c>
      <c r="AA359">
        <v>-0.1095</v>
      </c>
      <c r="AB359">
        <v>7.2754000000000003</v>
      </c>
      <c r="AC359">
        <v>-0.59850000000000003</v>
      </c>
      <c r="AD359">
        <v>15.9076</v>
      </c>
      <c r="AE359">
        <v>-1.9505999999999999</v>
      </c>
      <c r="AF359">
        <v>-6.0448000000000004</v>
      </c>
      <c r="AG359">
        <v>48.59</v>
      </c>
      <c r="AH359">
        <v>340130</v>
      </c>
      <c r="AJ359">
        <v>7.2697000000000003</v>
      </c>
      <c r="AK359">
        <v>11.513400000000001</v>
      </c>
      <c r="AL359">
        <v>0.26960000000000001</v>
      </c>
      <c r="AM359">
        <v>30.483499999999999</v>
      </c>
      <c r="AN359">
        <v>7.0900000000000005E-2</v>
      </c>
      <c r="AO359">
        <v>0</v>
      </c>
      <c r="AP359">
        <v>54.832599999999999</v>
      </c>
      <c r="AQ359">
        <v>42.717399999999998</v>
      </c>
      <c r="AR359">
        <v>9635</v>
      </c>
      <c r="AS359">
        <v>7654962.0516999997</v>
      </c>
      <c r="AU359" s="1">
        <f t="shared" si="41"/>
        <v>46122</v>
      </c>
      <c r="AV359" s="29">
        <f t="shared" si="43"/>
        <v>7.276631009394892</v>
      </c>
      <c r="AW359" s="30">
        <f t="shared" si="42"/>
        <v>-7.8072008956310626E-2</v>
      </c>
      <c r="AX359">
        <f t="shared" ca="1" si="36"/>
        <v>0.68946393801706218</v>
      </c>
      <c r="AY359">
        <f t="shared" ca="1" si="37"/>
        <v>0.30828785172908824</v>
      </c>
      <c r="AZ359">
        <f t="shared" ca="1" si="38"/>
        <v>0.17020876786065134</v>
      </c>
      <c r="BA359">
        <f t="shared" ca="1" si="39"/>
        <v>9.8876658387668459E-2</v>
      </c>
      <c r="BB359">
        <f t="shared" ca="1" si="40"/>
        <v>2.8783752516978046E-2</v>
      </c>
    </row>
    <row r="360" spans="1:54" x14ac:dyDescent="0.25">
      <c r="A360" s="37">
        <v>46129</v>
      </c>
      <c r="B360" s="5">
        <v>4.7644000000000002</v>
      </c>
      <c r="C360">
        <v>-2.2206000000000001</v>
      </c>
      <c r="D360">
        <v>2.9100000000000001E-2</v>
      </c>
      <c r="E360">
        <v>48.039499999999997</v>
      </c>
      <c r="F360">
        <v>1.5909</v>
      </c>
      <c r="G360">
        <v>0</v>
      </c>
      <c r="H360">
        <v>30.331099999999999</v>
      </c>
      <c r="I360">
        <v>12.9139</v>
      </c>
      <c r="J360">
        <v>5920</v>
      </c>
      <c r="K360">
        <v>23284117.345600002</v>
      </c>
      <c r="M360" s="37">
        <v>46129</v>
      </c>
      <c r="N360" s="5">
        <v>7.0513000000000003</v>
      </c>
      <c r="O360">
        <v>5.798</v>
      </c>
      <c r="P360">
        <v>10.565899999999999</v>
      </c>
      <c r="Q360">
        <v>33.526299999999999</v>
      </c>
      <c r="R360">
        <v>1.4569000000000001</v>
      </c>
      <c r="S360" t="s">
        <v>33</v>
      </c>
      <c r="T360">
        <v>39.267499999999998</v>
      </c>
      <c r="U360">
        <v>18.3125</v>
      </c>
      <c r="V360">
        <v>4697.5</v>
      </c>
      <c r="W360">
        <v>6405136.9850000003</v>
      </c>
      <c r="Y360" s="5">
        <v>7.2697000000000003</v>
      </c>
      <c r="Z360">
        <v>-5.9964000000000004</v>
      </c>
      <c r="AA360">
        <v>-0.1095</v>
      </c>
      <c r="AB360">
        <v>7.2754000000000003</v>
      </c>
      <c r="AC360">
        <v>-0.59850000000000003</v>
      </c>
      <c r="AD360">
        <v>15.9076</v>
      </c>
      <c r="AE360">
        <v>-1.9505999999999999</v>
      </c>
      <c r="AF360">
        <v>-6.0448000000000004</v>
      </c>
      <c r="AG360">
        <v>48.62</v>
      </c>
      <c r="AH360">
        <v>340340</v>
      </c>
      <c r="AJ360">
        <v>6.7092999999999998</v>
      </c>
      <c r="AK360">
        <v>11.513400000000001</v>
      </c>
      <c r="AL360">
        <v>0.26960000000000001</v>
      </c>
      <c r="AM360">
        <v>30.483499999999999</v>
      </c>
      <c r="AN360">
        <v>7.0900000000000005E-2</v>
      </c>
      <c r="AO360">
        <v>0</v>
      </c>
      <c r="AP360">
        <v>54.832599999999999</v>
      </c>
      <c r="AQ360">
        <v>42.717399999999998</v>
      </c>
      <c r="AR360">
        <v>8885</v>
      </c>
      <c r="AS360">
        <v>7059090.5894999998</v>
      </c>
      <c r="AU360" s="1">
        <f t="shared" si="41"/>
        <v>46129</v>
      </c>
      <c r="AV360" s="29">
        <f t="shared" si="43"/>
        <v>6.8577389033854743</v>
      </c>
      <c r="AW360" s="30">
        <f t="shared" si="42"/>
        <v>-0.20796856290359228</v>
      </c>
      <c r="AX360">
        <f t="shared" ca="1" si="36"/>
        <v>0.68946393801706218</v>
      </c>
      <c r="AY360">
        <f t="shared" ca="1" si="37"/>
        <v>0.30828785172908824</v>
      </c>
      <c r="AZ360">
        <f t="shared" ca="1" si="38"/>
        <v>0.16499469365603411</v>
      </c>
      <c r="BA360">
        <f t="shared" ca="1" si="39"/>
        <v>9.1070560686201035E-2</v>
      </c>
      <c r="BB360">
        <f t="shared" ca="1" si="40"/>
        <v>1.50374315197237E-2</v>
      </c>
    </row>
    <row r="361" spans="1:54" x14ac:dyDescent="0.25">
      <c r="A361" s="37">
        <v>46136</v>
      </c>
      <c r="B361" s="5">
        <v>5.0259999999999998</v>
      </c>
      <c r="C361">
        <v>-2.2206000000000001</v>
      </c>
      <c r="D361">
        <v>2.9100000000000001E-2</v>
      </c>
      <c r="E361">
        <v>48.039499999999997</v>
      </c>
      <c r="F361">
        <v>1.5909</v>
      </c>
      <c r="G361">
        <v>0</v>
      </c>
      <c r="H361">
        <v>30.331099999999999</v>
      </c>
      <c r="I361">
        <v>12.9139</v>
      </c>
      <c r="J361">
        <v>6425</v>
      </c>
      <c r="K361">
        <v>25270346.950300001</v>
      </c>
      <c r="M361" s="37">
        <v>46136</v>
      </c>
      <c r="N361" s="5">
        <v>7.0244</v>
      </c>
      <c r="O361">
        <v>5.798</v>
      </c>
      <c r="P361">
        <v>10.565899999999999</v>
      </c>
      <c r="Q361">
        <v>33.526299999999999</v>
      </c>
      <c r="R361">
        <v>1.4569000000000001</v>
      </c>
      <c r="S361" t="s">
        <v>33</v>
      </c>
      <c r="T361">
        <v>39.267499999999998</v>
      </c>
      <c r="U361">
        <v>18.3125</v>
      </c>
      <c r="V361">
        <v>4837.5</v>
      </c>
      <c r="W361">
        <v>6596029.8382999999</v>
      </c>
      <c r="Y361" s="5">
        <v>7.2697000000000003</v>
      </c>
      <c r="Z361">
        <v>-5.9964000000000004</v>
      </c>
      <c r="AA361">
        <v>-0.1095</v>
      </c>
      <c r="AB361">
        <v>7.2754000000000003</v>
      </c>
      <c r="AC361">
        <v>-0.59850000000000003</v>
      </c>
      <c r="AD361">
        <v>15.9076</v>
      </c>
      <c r="AE361">
        <v>-1.9505999999999999</v>
      </c>
      <c r="AF361">
        <v>-6.0448000000000004</v>
      </c>
      <c r="AG361">
        <v>47.83</v>
      </c>
      <c r="AH361">
        <v>334810</v>
      </c>
      <c r="AJ361">
        <v>6.8326000000000002</v>
      </c>
      <c r="AK361">
        <v>11.513400000000001</v>
      </c>
      <c r="AL361">
        <v>0.26960000000000001</v>
      </c>
      <c r="AM361">
        <v>30.483499999999999</v>
      </c>
      <c r="AN361">
        <v>7.0900000000000005E-2</v>
      </c>
      <c r="AO361">
        <v>0</v>
      </c>
      <c r="AP361">
        <v>54.832599999999999</v>
      </c>
      <c r="AQ361">
        <v>42.717399999999998</v>
      </c>
      <c r="AR361">
        <v>9050</v>
      </c>
      <c r="AS361">
        <v>7190182.3112000003</v>
      </c>
      <c r="AU361" s="1">
        <f t="shared" si="41"/>
        <v>46136</v>
      </c>
      <c r="AV361" s="29">
        <f t="shared" si="43"/>
        <v>6.9843240611395334</v>
      </c>
      <c r="AW361" s="30">
        <f t="shared" si="42"/>
        <v>-0.16871507605761288</v>
      </c>
      <c r="AX361">
        <f t="shared" ca="1" si="36"/>
        <v>0.68946393801706218</v>
      </c>
      <c r="AY361">
        <f t="shared" ca="1" si="37"/>
        <v>0.30828785172908824</v>
      </c>
      <c r="AZ361">
        <f t="shared" ca="1" si="38"/>
        <v>0.16499469365603411</v>
      </c>
      <c r="BA361">
        <f t="shared" ca="1" si="39"/>
        <v>8.4103162722110644E-2</v>
      </c>
      <c r="BB361">
        <f t="shared" ca="1" si="40"/>
        <v>1.0567896450403383E-2</v>
      </c>
    </row>
    <row r="362" spans="1:54" x14ac:dyDescent="0.25">
      <c r="A362" s="37">
        <v>46143</v>
      </c>
      <c r="B362" s="5">
        <v>5.2020999999999997</v>
      </c>
      <c r="C362">
        <v>-2.2206000000000001</v>
      </c>
      <c r="D362">
        <v>2.9100000000000001E-2</v>
      </c>
      <c r="E362">
        <v>48.039499999999997</v>
      </c>
      <c r="F362">
        <v>1.5909</v>
      </c>
      <c r="G362">
        <v>0</v>
      </c>
      <c r="H362">
        <v>30.331099999999999</v>
      </c>
      <c r="I362">
        <v>12.9139</v>
      </c>
      <c r="J362">
        <v>6765</v>
      </c>
      <c r="K362">
        <v>26607610.4465</v>
      </c>
      <c r="M362" s="37">
        <v>46143</v>
      </c>
      <c r="N362" s="5">
        <v>7.2577999999999996</v>
      </c>
      <c r="O362">
        <v>5.798</v>
      </c>
      <c r="P362">
        <v>10.565899999999999</v>
      </c>
      <c r="Q362">
        <v>33.526299999999999</v>
      </c>
      <c r="R362">
        <v>1.4569000000000001</v>
      </c>
      <c r="S362" t="s">
        <v>33</v>
      </c>
      <c r="T362">
        <v>39.267499999999998</v>
      </c>
      <c r="U362">
        <v>18.3125</v>
      </c>
      <c r="V362">
        <v>4972.5</v>
      </c>
      <c r="W362">
        <v>6780105.0895999996</v>
      </c>
      <c r="Y362" s="5">
        <v>7.2697000000000003</v>
      </c>
      <c r="Z362">
        <v>-5.9964000000000004</v>
      </c>
      <c r="AA362">
        <v>-0.1095</v>
      </c>
      <c r="AB362">
        <v>7.2754000000000003</v>
      </c>
      <c r="AC362">
        <v>-0.59850000000000003</v>
      </c>
      <c r="AD362">
        <v>15.9076</v>
      </c>
      <c r="AE362">
        <v>-1.9505999999999999</v>
      </c>
      <c r="AF362">
        <v>-6.0448000000000004</v>
      </c>
      <c r="AG362">
        <v>45.35</v>
      </c>
      <c r="AH362">
        <v>317450</v>
      </c>
      <c r="AJ362">
        <v>6.9184999999999999</v>
      </c>
      <c r="AK362">
        <v>11.513400000000001</v>
      </c>
      <c r="AL362">
        <v>0.26960000000000001</v>
      </c>
      <c r="AM362">
        <v>30.483499999999999</v>
      </c>
      <c r="AN362">
        <v>7.0900000000000005E-2</v>
      </c>
      <c r="AO362">
        <v>0</v>
      </c>
      <c r="AP362">
        <v>54.832599999999999</v>
      </c>
      <c r="AQ362">
        <v>42.717399999999998</v>
      </c>
      <c r="AR362">
        <v>9165</v>
      </c>
      <c r="AS362">
        <v>7281549.2686999999</v>
      </c>
      <c r="AU362" s="1">
        <f t="shared" si="41"/>
        <v>46143</v>
      </c>
      <c r="AV362" s="29">
        <f t="shared" si="43"/>
        <v>7.1297457846974126</v>
      </c>
      <c r="AW362" s="30">
        <f t="shared" si="42"/>
        <v>-0.12362045506034335</v>
      </c>
      <c r="AX362">
        <f t="shared" ca="1" si="36"/>
        <v>0.68946393801706218</v>
      </c>
      <c r="AY362">
        <f t="shared" ca="1" si="37"/>
        <v>0.30828785172908824</v>
      </c>
      <c r="AZ362">
        <f t="shared" ca="1" si="38"/>
        <v>0.16499469365603411</v>
      </c>
      <c r="BA362">
        <f t="shared" ca="1" si="39"/>
        <v>8.0523800557489436E-2</v>
      </c>
      <c r="BB362">
        <f t="shared" ca="1" si="40"/>
        <v>7.8687656774267273E-3</v>
      </c>
    </row>
    <row r="363" spans="1:54" x14ac:dyDescent="0.25">
      <c r="A363" s="37">
        <v>46150</v>
      </c>
      <c r="B363" s="5">
        <v>4.9522000000000004</v>
      </c>
      <c r="C363">
        <v>-2.2206000000000001</v>
      </c>
      <c r="D363">
        <v>2.9100000000000001E-2</v>
      </c>
      <c r="E363">
        <v>48.039499999999997</v>
      </c>
      <c r="F363">
        <v>1.5909</v>
      </c>
      <c r="G363">
        <v>0</v>
      </c>
      <c r="H363">
        <v>30.331099999999999</v>
      </c>
      <c r="I363">
        <v>12.9139</v>
      </c>
      <c r="J363">
        <v>6282.5</v>
      </c>
      <c r="K363">
        <v>24709876.220199998</v>
      </c>
      <c r="M363" s="37">
        <v>46150</v>
      </c>
      <c r="N363" s="5">
        <v>6.8818999999999999</v>
      </c>
      <c r="O363">
        <v>5.798</v>
      </c>
      <c r="P363">
        <v>10.565899999999999</v>
      </c>
      <c r="Q363">
        <v>33.526299999999999</v>
      </c>
      <c r="R363">
        <v>1.4569000000000001</v>
      </c>
      <c r="S363" t="s">
        <v>33</v>
      </c>
      <c r="T363">
        <v>39.267499999999998</v>
      </c>
      <c r="U363">
        <v>18.3125</v>
      </c>
      <c r="V363">
        <v>4702.5</v>
      </c>
      <c r="W363">
        <v>6411954.5869000005</v>
      </c>
      <c r="Y363" s="5">
        <v>7.2697000000000003</v>
      </c>
      <c r="Z363">
        <v>-5.9964000000000004</v>
      </c>
      <c r="AA363">
        <v>-0.1095</v>
      </c>
      <c r="AB363">
        <v>7.2754000000000003</v>
      </c>
      <c r="AC363">
        <v>-0.59850000000000003</v>
      </c>
      <c r="AD363">
        <v>15.9076</v>
      </c>
      <c r="AE363">
        <v>-1.9505999999999999</v>
      </c>
      <c r="AF363">
        <v>-6.0448000000000004</v>
      </c>
      <c r="AG363">
        <v>43.09</v>
      </c>
      <c r="AH363">
        <v>301630</v>
      </c>
      <c r="AJ363">
        <v>6.6421000000000001</v>
      </c>
      <c r="AK363">
        <v>11.513400000000001</v>
      </c>
      <c r="AL363">
        <v>0.26960000000000001</v>
      </c>
      <c r="AM363">
        <v>30.483499999999999</v>
      </c>
      <c r="AN363">
        <v>7.0900000000000005E-2</v>
      </c>
      <c r="AO363">
        <v>0</v>
      </c>
      <c r="AP363">
        <v>54.832599999999999</v>
      </c>
      <c r="AQ363">
        <v>42.717399999999998</v>
      </c>
      <c r="AR363">
        <v>8795</v>
      </c>
      <c r="AS363">
        <v>6987586.0140000004</v>
      </c>
      <c r="AU363" s="1">
        <f t="shared" si="41"/>
        <v>46150</v>
      </c>
      <c r="AV363" s="29">
        <f t="shared" si="43"/>
        <v>6.8451939550608021</v>
      </c>
      <c r="AW363" s="30">
        <f t="shared" si="42"/>
        <v>-0.21185869483361489</v>
      </c>
      <c r="AX363">
        <f t="shared" ca="1" si="36"/>
        <v>0.68946393801706218</v>
      </c>
      <c r="AY363">
        <f t="shared" ca="1" si="37"/>
        <v>0.30828785172908824</v>
      </c>
      <c r="AZ363">
        <f t="shared" ca="1" si="38"/>
        <v>0.16499469365603411</v>
      </c>
      <c r="BA363">
        <f t="shared" ca="1" si="39"/>
        <v>8.0523800557489436E-2</v>
      </c>
      <c r="BB363">
        <f t="shared" ca="1" si="40"/>
        <v>6.5060718153663252E-3</v>
      </c>
    </row>
    <row r="364" spans="1:54" x14ac:dyDescent="0.25">
      <c r="A364" s="37">
        <v>46157</v>
      </c>
      <c r="B364" s="5">
        <v>5.0648</v>
      </c>
      <c r="C364">
        <v>-2.2206000000000001</v>
      </c>
      <c r="D364">
        <v>2.9100000000000001E-2</v>
      </c>
      <c r="E364">
        <v>48.039499999999997</v>
      </c>
      <c r="F364">
        <v>1.5909</v>
      </c>
      <c r="G364">
        <v>0</v>
      </c>
      <c r="H364">
        <v>30.331099999999999</v>
      </c>
      <c r="I364">
        <v>12.9139</v>
      </c>
      <c r="J364">
        <v>6500</v>
      </c>
      <c r="K364">
        <v>25565331.545000002</v>
      </c>
      <c r="M364" s="37">
        <v>46157</v>
      </c>
      <c r="N364" s="5">
        <v>6.8993000000000002</v>
      </c>
      <c r="O364">
        <v>5.798</v>
      </c>
      <c r="P364">
        <v>10.565899999999999</v>
      </c>
      <c r="Q364">
        <v>33.526299999999999</v>
      </c>
      <c r="R364">
        <v>1.4569000000000001</v>
      </c>
      <c r="S364" t="s">
        <v>33</v>
      </c>
      <c r="T364">
        <v>39.267499999999998</v>
      </c>
      <c r="U364">
        <v>18.3125</v>
      </c>
      <c r="V364">
        <v>4720</v>
      </c>
      <c r="W364">
        <v>6435816.1935999999</v>
      </c>
      <c r="Y364" s="5">
        <v>7.2697000000000003</v>
      </c>
      <c r="Z364">
        <v>-5.9964000000000004</v>
      </c>
      <c r="AA364">
        <v>-0.1095</v>
      </c>
      <c r="AB364">
        <v>7.2754000000000003</v>
      </c>
      <c r="AC364">
        <v>-0.59850000000000003</v>
      </c>
      <c r="AD364">
        <v>15.9076</v>
      </c>
      <c r="AE364">
        <v>-1.9505999999999999</v>
      </c>
      <c r="AF364">
        <v>-6.0448000000000004</v>
      </c>
      <c r="AG364">
        <v>42.52</v>
      </c>
      <c r="AH364">
        <v>297640</v>
      </c>
      <c r="AJ364">
        <v>6.6083999999999996</v>
      </c>
      <c r="AK364">
        <v>11.513400000000001</v>
      </c>
      <c r="AL364">
        <v>0.26960000000000001</v>
      </c>
      <c r="AM364">
        <v>30.483499999999999</v>
      </c>
      <c r="AN364">
        <v>7.0900000000000005E-2</v>
      </c>
      <c r="AO364">
        <v>0</v>
      </c>
      <c r="AP364">
        <v>54.832599999999999</v>
      </c>
      <c r="AQ364">
        <v>42.717399999999998</v>
      </c>
      <c r="AR364">
        <v>8750</v>
      </c>
      <c r="AS364">
        <v>6951833.7263000002</v>
      </c>
      <c r="AU364" s="1">
        <f t="shared" si="41"/>
        <v>46157</v>
      </c>
      <c r="AV364" s="29">
        <f t="shared" si="43"/>
        <v>6.8730186152839075</v>
      </c>
      <c r="AW364" s="30">
        <f t="shared" si="42"/>
        <v>-0.20323039311609786</v>
      </c>
      <c r="AX364">
        <f t="shared" ca="1" si="36"/>
        <v>0.68946393801706218</v>
      </c>
      <c r="AY364">
        <f t="shared" ca="1" si="37"/>
        <v>0.30828785172908824</v>
      </c>
      <c r="AZ364">
        <f t="shared" ca="1" si="38"/>
        <v>0.16499469365603411</v>
      </c>
      <c r="BA364">
        <f t="shared" ca="1" si="39"/>
        <v>7.0831499235739462E-2</v>
      </c>
      <c r="BB364">
        <f t="shared" ca="1" si="40"/>
        <v>-7.9817856134826552E-3</v>
      </c>
    </row>
    <row r="365" spans="1:54" x14ac:dyDescent="0.25">
      <c r="A365" s="37">
        <v>46164</v>
      </c>
      <c r="B365" s="5">
        <v>5.3769</v>
      </c>
      <c r="C365">
        <v>-2.2206000000000001</v>
      </c>
      <c r="D365">
        <v>2.9100000000000001E-2</v>
      </c>
      <c r="E365">
        <v>48.039499999999997</v>
      </c>
      <c r="F365">
        <v>1.5909</v>
      </c>
      <c r="G365">
        <v>0</v>
      </c>
      <c r="H365">
        <v>30.331099999999999</v>
      </c>
      <c r="I365">
        <v>12.9139</v>
      </c>
      <c r="J365">
        <v>7102.5</v>
      </c>
      <c r="K365">
        <v>27935041.1228</v>
      </c>
      <c r="M365" s="37">
        <v>46164</v>
      </c>
      <c r="N365" s="5">
        <v>6.9667000000000003</v>
      </c>
      <c r="O365">
        <v>5.798</v>
      </c>
      <c r="P365">
        <v>10.565899999999999</v>
      </c>
      <c r="Q365">
        <v>33.526299999999999</v>
      </c>
      <c r="R365">
        <v>1.4569000000000001</v>
      </c>
      <c r="S365" t="s">
        <v>33</v>
      </c>
      <c r="T365">
        <v>39.267499999999998</v>
      </c>
      <c r="U365">
        <v>18.3125</v>
      </c>
      <c r="V365">
        <v>4782.5</v>
      </c>
      <c r="W365">
        <v>6521036.2172999997</v>
      </c>
      <c r="Y365" s="5">
        <v>7.2697000000000003</v>
      </c>
      <c r="Z365">
        <v>-5.9964000000000004</v>
      </c>
      <c r="AA365">
        <v>-0.1095</v>
      </c>
      <c r="AB365">
        <v>7.2754000000000003</v>
      </c>
      <c r="AC365">
        <v>-0.59850000000000003</v>
      </c>
      <c r="AD365">
        <v>15.9076</v>
      </c>
      <c r="AE365">
        <v>-1.9505999999999999</v>
      </c>
      <c r="AF365">
        <v>-6.0448000000000004</v>
      </c>
      <c r="AG365">
        <v>43.7</v>
      </c>
      <c r="AH365">
        <v>305900</v>
      </c>
      <c r="AJ365">
        <v>6.5598999999999998</v>
      </c>
      <c r="AK365">
        <v>11.513400000000001</v>
      </c>
      <c r="AL365">
        <v>0.26960000000000001</v>
      </c>
      <c r="AM365">
        <v>30.483499999999999</v>
      </c>
      <c r="AN365">
        <v>7.0900000000000005E-2</v>
      </c>
      <c r="AO365">
        <v>0</v>
      </c>
      <c r="AP365">
        <v>54.832599999999999</v>
      </c>
      <c r="AQ365">
        <v>42.717399999999998</v>
      </c>
      <c r="AR365">
        <v>8685</v>
      </c>
      <c r="AS365">
        <v>6900191.5329</v>
      </c>
      <c r="AU365" s="1">
        <f t="shared" si="41"/>
        <v>46164</v>
      </c>
      <c r="AV365" s="29">
        <f t="shared" si="43"/>
        <v>6.9939172595473122</v>
      </c>
      <c r="AW365" s="30">
        <f t="shared" si="42"/>
        <v>-0.16574026847201706</v>
      </c>
      <c r="AX365">
        <f t="shared" ca="1" si="36"/>
        <v>0.68946393801706218</v>
      </c>
      <c r="AY365">
        <f t="shared" ca="1" si="37"/>
        <v>0.3034346781177521</v>
      </c>
      <c r="AZ365">
        <f t="shared" ca="1" si="38"/>
        <v>0.16020173360288339</v>
      </c>
      <c r="BA365">
        <f t="shared" ca="1" si="39"/>
        <v>6.8200035332665138E-2</v>
      </c>
      <c r="BB365">
        <f t="shared" ca="1" si="40"/>
        <v>-7.1219377537088999E-2</v>
      </c>
    </row>
    <row r="366" spans="1:54" x14ac:dyDescent="0.25">
      <c r="A366" s="37">
        <v>46171</v>
      </c>
      <c r="B366" s="5">
        <v>5.7563000000000004</v>
      </c>
      <c r="C366">
        <v>-2.2206000000000001</v>
      </c>
      <c r="D366">
        <v>2.9100000000000001E-2</v>
      </c>
      <c r="E366">
        <v>48.039499999999997</v>
      </c>
      <c r="F366">
        <v>1.5909</v>
      </c>
      <c r="G366">
        <v>0</v>
      </c>
      <c r="H366">
        <v>30.331099999999999</v>
      </c>
      <c r="I366">
        <v>12.9139</v>
      </c>
      <c r="J366">
        <v>7835</v>
      </c>
      <c r="K366">
        <v>30816057.331599999</v>
      </c>
      <c r="M366" s="37">
        <v>46171</v>
      </c>
      <c r="N366" s="5">
        <v>7.2384000000000004</v>
      </c>
      <c r="O366">
        <v>5.798</v>
      </c>
      <c r="P366">
        <v>10.565899999999999</v>
      </c>
      <c r="Q366">
        <v>33.526299999999999</v>
      </c>
      <c r="R366">
        <v>1.4569000000000001</v>
      </c>
      <c r="S366" t="s">
        <v>33</v>
      </c>
      <c r="T366">
        <v>39.267499999999998</v>
      </c>
      <c r="U366">
        <v>18.3125</v>
      </c>
      <c r="V366">
        <v>5080</v>
      </c>
      <c r="W366">
        <v>6926683.5303999996</v>
      </c>
      <c r="Y366" s="5">
        <v>7.2697000000000003</v>
      </c>
      <c r="Z366">
        <v>-5.9964000000000004</v>
      </c>
      <c r="AA366">
        <v>-0.1095</v>
      </c>
      <c r="AB366">
        <v>7.2754000000000003</v>
      </c>
      <c r="AC366">
        <v>-0.59850000000000003</v>
      </c>
      <c r="AD366">
        <v>15.9076</v>
      </c>
      <c r="AE366">
        <v>-1.9505999999999999</v>
      </c>
      <c r="AF366">
        <v>-6.0448000000000004</v>
      </c>
      <c r="AG366">
        <v>49.36</v>
      </c>
      <c r="AH366">
        <v>345520</v>
      </c>
      <c r="AJ366">
        <v>6.8960999999999997</v>
      </c>
      <c r="AK366">
        <v>11.513400000000001</v>
      </c>
      <c r="AL366">
        <v>0.26960000000000001</v>
      </c>
      <c r="AM366">
        <v>30.483499999999999</v>
      </c>
      <c r="AN366">
        <v>7.0900000000000005E-2</v>
      </c>
      <c r="AO366">
        <v>0</v>
      </c>
      <c r="AP366">
        <v>54.832599999999999</v>
      </c>
      <c r="AQ366">
        <v>42.717399999999998</v>
      </c>
      <c r="AR366">
        <v>9135</v>
      </c>
      <c r="AS366">
        <v>7257714.4101999998</v>
      </c>
      <c r="AU366" s="1">
        <f t="shared" si="41"/>
        <v>46171</v>
      </c>
      <c r="AV366" s="29">
        <f t="shared" si="43"/>
        <v>7.3536129409351423</v>
      </c>
      <c r="AW366" s="30">
        <f t="shared" si="42"/>
        <v>-5.4200258976235219E-2</v>
      </c>
      <c r="AX366">
        <f t="shared" ca="1" si="36"/>
        <v>0.68946393801706218</v>
      </c>
      <c r="AY366">
        <f t="shared" ca="1" si="37"/>
        <v>0.28024625805785508</v>
      </c>
      <c r="AZ366">
        <f t="shared" ca="1" si="38"/>
        <v>0.15329950791558511</v>
      </c>
      <c r="BA366">
        <f t="shared" ca="1" si="39"/>
        <v>6.0906159148734394E-2</v>
      </c>
      <c r="BB366">
        <f t="shared" ca="1" si="40"/>
        <v>-0.11906561044994005</v>
      </c>
    </row>
    <row r="367" spans="1:54" x14ac:dyDescent="0.25">
      <c r="A367" s="37">
        <v>46178</v>
      </c>
      <c r="B367" s="5">
        <v>5.8974000000000002</v>
      </c>
      <c r="C367">
        <v>-2.2206000000000001</v>
      </c>
      <c r="D367">
        <v>2.9100000000000001E-2</v>
      </c>
      <c r="E367">
        <v>48.039499999999997</v>
      </c>
      <c r="F367">
        <v>1.5909</v>
      </c>
      <c r="G367">
        <v>0</v>
      </c>
      <c r="H367">
        <v>30.331099999999999</v>
      </c>
      <c r="I367">
        <v>12.9139</v>
      </c>
      <c r="J367">
        <v>8107.5</v>
      </c>
      <c r="K367">
        <v>31887834.692499999</v>
      </c>
      <c r="M367" s="37">
        <v>46178</v>
      </c>
      <c r="N367" s="5">
        <v>6.9181999999999997</v>
      </c>
      <c r="O367">
        <v>5.798</v>
      </c>
      <c r="P367">
        <v>10.565899999999999</v>
      </c>
      <c r="Q367">
        <v>33.526299999999999</v>
      </c>
      <c r="R367">
        <v>1.4569000000000001</v>
      </c>
      <c r="S367" t="s">
        <v>33</v>
      </c>
      <c r="T367">
        <v>39.267499999999998</v>
      </c>
      <c r="U367">
        <v>18.3125</v>
      </c>
      <c r="V367">
        <v>4940</v>
      </c>
      <c r="W367">
        <v>6735790.6771999998</v>
      </c>
      <c r="Y367" s="5">
        <v>7.2697000000000003</v>
      </c>
      <c r="Z367">
        <v>-5.9964000000000004</v>
      </c>
      <c r="AA367">
        <v>-0.1095</v>
      </c>
      <c r="AB367">
        <v>7.2754000000000003</v>
      </c>
      <c r="AC367">
        <v>-0.59850000000000003</v>
      </c>
      <c r="AD367">
        <v>15.9076</v>
      </c>
      <c r="AE367">
        <v>-1.9505999999999999</v>
      </c>
      <c r="AF367">
        <v>-6.0448000000000004</v>
      </c>
      <c r="AG367">
        <v>44.51</v>
      </c>
      <c r="AH367">
        <v>311570</v>
      </c>
      <c r="AJ367">
        <v>6.7466999999999997</v>
      </c>
      <c r="AK367">
        <v>11.513400000000001</v>
      </c>
      <c r="AL367">
        <v>0.26960000000000001</v>
      </c>
      <c r="AM367">
        <v>30.483499999999999</v>
      </c>
      <c r="AN367">
        <v>7.0900000000000005E-2</v>
      </c>
      <c r="AO367">
        <v>0</v>
      </c>
      <c r="AP367">
        <v>54.832599999999999</v>
      </c>
      <c r="AQ367">
        <v>42.717399999999998</v>
      </c>
      <c r="AR367">
        <v>8935</v>
      </c>
      <c r="AS367">
        <v>7098815.3536</v>
      </c>
      <c r="AU367" s="1">
        <f t="shared" si="41"/>
        <v>46178</v>
      </c>
      <c r="AV367" s="29">
        <f t="shared" si="43"/>
        <v>7.3150643948054794</v>
      </c>
      <c r="AW367" s="30">
        <f t="shared" si="42"/>
        <v>-6.6153989376226213E-2</v>
      </c>
      <c r="AX367">
        <f t="shared" ca="1" si="36"/>
        <v>0.68946393801706218</v>
      </c>
      <c r="AY367">
        <f t="shared" ca="1" si="37"/>
        <v>0.28024625805785508</v>
      </c>
      <c r="AZ367">
        <f t="shared" ca="1" si="38"/>
        <v>0.14462583190553757</v>
      </c>
      <c r="BA367">
        <f t="shared" ca="1" si="39"/>
        <v>3.9756872767312282E-2</v>
      </c>
      <c r="BB367">
        <f t="shared" ca="1" si="40"/>
        <v>-0.11906561044994005</v>
      </c>
    </row>
    <row r="368" spans="1:54" x14ac:dyDescent="0.25">
      <c r="A368" s="37">
        <v>46185</v>
      </c>
      <c r="B368" s="5">
        <v>6.0178000000000003</v>
      </c>
      <c r="C368">
        <v>-2.2206000000000001</v>
      </c>
      <c r="D368">
        <v>2.9100000000000001E-2</v>
      </c>
      <c r="E368">
        <v>48.039499999999997</v>
      </c>
      <c r="F368">
        <v>1.5909</v>
      </c>
      <c r="G368">
        <v>0</v>
      </c>
      <c r="H368">
        <v>30.331099999999999</v>
      </c>
      <c r="I368">
        <v>12.9139</v>
      </c>
      <c r="J368">
        <v>8340</v>
      </c>
      <c r="K368">
        <v>32802286.9362</v>
      </c>
      <c r="M368" s="37">
        <v>46185</v>
      </c>
      <c r="N368" s="5">
        <v>7.3745000000000003</v>
      </c>
      <c r="O368">
        <v>5.798</v>
      </c>
      <c r="P368">
        <v>10.565899999999999</v>
      </c>
      <c r="Q368">
        <v>33.526299999999999</v>
      </c>
      <c r="R368">
        <v>1.4569000000000001</v>
      </c>
      <c r="S368" t="s">
        <v>33</v>
      </c>
      <c r="T368">
        <v>39.267499999999998</v>
      </c>
      <c r="U368">
        <v>18.3125</v>
      </c>
      <c r="V368">
        <v>5290</v>
      </c>
      <c r="W368">
        <v>7213022.8102000002</v>
      </c>
      <c r="Y368" s="5">
        <v>7.2697000000000003</v>
      </c>
      <c r="Z368">
        <v>-5.9964000000000004</v>
      </c>
      <c r="AA368">
        <v>-0.1095</v>
      </c>
      <c r="AB368">
        <v>7.2754000000000003</v>
      </c>
      <c r="AC368">
        <v>-0.59850000000000003</v>
      </c>
      <c r="AD368">
        <v>15.9076</v>
      </c>
      <c r="AE368">
        <v>-1.9505999999999999</v>
      </c>
      <c r="AF368">
        <v>-6.0448000000000004</v>
      </c>
      <c r="AG368">
        <v>44.98</v>
      </c>
      <c r="AH368">
        <v>314860</v>
      </c>
      <c r="AJ368">
        <v>7.4602000000000004</v>
      </c>
      <c r="AK368">
        <v>11.513400000000001</v>
      </c>
      <c r="AL368">
        <v>0.26960000000000001</v>
      </c>
      <c r="AM368">
        <v>30.483499999999999</v>
      </c>
      <c r="AN368">
        <v>7.0900000000000005E-2</v>
      </c>
      <c r="AO368">
        <v>0</v>
      </c>
      <c r="AP368">
        <v>54.832599999999999</v>
      </c>
      <c r="AQ368">
        <v>42.717399999999998</v>
      </c>
      <c r="AR368">
        <v>9890</v>
      </c>
      <c r="AS368">
        <v>7857558.3488999996</v>
      </c>
      <c r="AU368" s="1">
        <f t="shared" si="41"/>
        <v>46185</v>
      </c>
      <c r="AV368" s="29">
        <f t="shared" si="43"/>
        <v>7.723695078242347</v>
      </c>
      <c r="AW368" s="30">
        <f t="shared" si="42"/>
        <v>6.0560543683936742E-2</v>
      </c>
      <c r="AX368">
        <f t="shared" ca="1" si="36"/>
        <v>0.68946393801706218</v>
      </c>
      <c r="AY368">
        <f t="shared" ca="1" si="37"/>
        <v>0.28024625805785508</v>
      </c>
      <c r="AZ368">
        <f t="shared" ca="1" si="38"/>
        <v>0.14462583190553757</v>
      </c>
      <c r="BA368">
        <f t="shared" ca="1" si="39"/>
        <v>2.3746094434370247E-2</v>
      </c>
      <c r="BB368">
        <f t="shared" ca="1" si="40"/>
        <v>-0.11906561044994005</v>
      </c>
    </row>
    <row r="369" spans="1:54" x14ac:dyDescent="0.25">
      <c r="A369" s="37">
        <v>46192</v>
      </c>
      <c r="B369" s="5">
        <v>5.6566000000000001</v>
      </c>
      <c r="C369">
        <v>-2.2206000000000001</v>
      </c>
      <c r="D369">
        <v>2.9100000000000001E-2</v>
      </c>
      <c r="E369">
        <v>48.039499999999997</v>
      </c>
      <c r="F369">
        <v>1.5909</v>
      </c>
      <c r="G369">
        <v>0</v>
      </c>
      <c r="H369">
        <v>30.331099999999999</v>
      </c>
      <c r="I369">
        <v>12.9139</v>
      </c>
      <c r="J369">
        <v>7642.5</v>
      </c>
      <c r="K369">
        <v>30058930.204999998</v>
      </c>
      <c r="M369" s="37">
        <v>46192</v>
      </c>
      <c r="N369" s="5">
        <v>7.0923999999999996</v>
      </c>
      <c r="O369">
        <v>5.798</v>
      </c>
      <c r="P369">
        <v>10.565899999999999</v>
      </c>
      <c r="Q369">
        <v>33.526299999999999</v>
      </c>
      <c r="R369">
        <v>1.4569000000000001</v>
      </c>
      <c r="S369" t="s">
        <v>33</v>
      </c>
      <c r="T369">
        <v>39.267499999999998</v>
      </c>
      <c r="U369">
        <v>18.3125</v>
      </c>
      <c r="V369">
        <v>5190</v>
      </c>
      <c r="W369">
        <v>7076670.7721999995</v>
      </c>
      <c r="Y369" s="5">
        <v>7.2697000000000003</v>
      </c>
      <c r="Z369">
        <v>-5.9964000000000004</v>
      </c>
      <c r="AA369">
        <v>-0.1095</v>
      </c>
      <c r="AB369">
        <v>7.2754000000000003</v>
      </c>
      <c r="AC369">
        <v>-0.59850000000000003</v>
      </c>
      <c r="AD369">
        <v>15.9076</v>
      </c>
      <c r="AE369">
        <v>-1.9505999999999999</v>
      </c>
      <c r="AF369">
        <v>-6.0448000000000004</v>
      </c>
      <c r="AG369">
        <v>45.46</v>
      </c>
      <c r="AH369">
        <v>318220</v>
      </c>
      <c r="AJ369">
        <v>7.3406000000000002</v>
      </c>
      <c r="AK369">
        <v>11.513400000000001</v>
      </c>
      <c r="AL369">
        <v>0.26960000000000001</v>
      </c>
      <c r="AM369">
        <v>30.483499999999999</v>
      </c>
      <c r="AN369">
        <v>7.0900000000000005E-2</v>
      </c>
      <c r="AO369">
        <v>0</v>
      </c>
      <c r="AP369">
        <v>54.832599999999999</v>
      </c>
      <c r="AQ369">
        <v>42.717399999999998</v>
      </c>
      <c r="AR369">
        <v>9730</v>
      </c>
      <c r="AS369">
        <v>7730439.1036</v>
      </c>
      <c r="AU369" s="1">
        <f t="shared" si="41"/>
        <v>46192</v>
      </c>
      <c r="AV369" s="29">
        <f t="shared" si="43"/>
        <v>7.4566851208653153</v>
      </c>
      <c r="AW369" s="30">
        <f t="shared" si="42"/>
        <v>-2.2238040570375282E-2</v>
      </c>
      <c r="AX369">
        <f t="shared" ca="1" si="36"/>
        <v>0.68946393801706218</v>
      </c>
      <c r="AY369">
        <f t="shared" ca="1" si="37"/>
        <v>0.28024625805785508</v>
      </c>
      <c r="AZ369">
        <f t="shared" ca="1" si="38"/>
        <v>0.1345056059892093</v>
      </c>
      <c r="BA369">
        <f t="shared" ca="1" si="39"/>
        <v>2.3746094434370247E-2</v>
      </c>
      <c r="BB369">
        <f t="shared" ca="1" si="40"/>
        <v>-0.11906561044994005</v>
      </c>
    </row>
    <row r="370" spans="1:54" x14ac:dyDescent="0.25">
      <c r="A370" s="37">
        <v>46199</v>
      </c>
      <c r="B370" s="5">
        <v>5.3263999999999996</v>
      </c>
      <c r="C370">
        <v>-2.2206000000000001</v>
      </c>
      <c r="D370">
        <v>2.9100000000000001E-2</v>
      </c>
      <c r="E370">
        <v>48.039499999999997</v>
      </c>
      <c r="F370">
        <v>1.5909</v>
      </c>
      <c r="G370">
        <v>0</v>
      </c>
      <c r="H370">
        <v>30.331099999999999</v>
      </c>
      <c r="I370">
        <v>12.9139</v>
      </c>
      <c r="J370">
        <v>7005</v>
      </c>
      <c r="K370">
        <v>27551561.149700001</v>
      </c>
      <c r="M370" s="37">
        <v>46199</v>
      </c>
      <c r="N370" s="5">
        <v>6.8071999999999999</v>
      </c>
      <c r="O370">
        <v>5.798</v>
      </c>
      <c r="P370">
        <v>10.565899999999999</v>
      </c>
      <c r="Q370">
        <v>33.526299999999999</v>
      </c>
      <c r="R370">
        <v>1.4569000000000001</v>
      </c>
      <c r="S370" t="s">
        <v>33</v>
      </c>
      <c r="T370">
        <v>39.267499999999998</v>
      </c>
      <c r="U370">
        <v>18.3125</v>
      </c>
      <c r="V370">
        <v>4972.5</v>
      </c>
      <c r="W370">
        <v>6780105.0895999996</v>
      </c>
      <c r="Y370" s="5">
        <v>7.2697000000000003</v>
      </c>
      <c r="Z370">
        <v>-5.9964000000000004</v>
      </c>
      <c r="AA370">
        <v>-0.1095</v>
      </c>
      <c r="AB370">
        <v>7.2754000000000003</v>
      </c>
      <c r="AC370">
        <v>-0.59850000000000003</v>
      </c>
      <c r="AD370">
        <v>15.9076</v>
      </c>
      <c r="AE370">
        <v>-1.9505999999999999</v>
      </c>
      <c r="AF370">
        <v>-6.0448000000000004</v>
      </c>
      <c r="AG370">
        <v>41.38</v>
      </c>
      <c r="AH370">
        <v>289660</v>
      </c>
      <c r="AJ370">
        <v>6.9596</v>
      </c>
      <c r="AK370">
        <v>11.513400000000001</v>
      </c>
      <c r="AL370">
        <v>0.26960000000000001</v>
      </c>
      <c r="AM370">
        <v>30.483499999999999</v>
      </c>
      <c r="AN370">
        <v>7.0900000000000005E-2</v>
      </c>
      <c r="AO370">
        <v>0</v>
      </c>
      <c r="AP370">
        <v>54.832599999999999</v>
      </c>
      <c r="AQ370">
        <v>42.717399999999998</v>
      </c>
      <c r="AR370">
        <v>9220</v>
      </c>
      <c r="AS370">
        <v>7325246.5093</v>
      </c>
      <c r="AU370" s="1">
        <f t="shared" si="41"/>
        <v>46199</v>
      </c>
      <c r="AV370" s="29">
        <f t="shared" si="43"/>
        <v>7.1051782326749224</v>
      </c>
      <c r="AW370" s="30">
        <f t="shared" si="42"/>
        <v>-0.13123874220603213</v>
      </c>
      <c r="AX370">
        <f t="shared" ca="1" si="36"/>
        <v>0.68946393801706218</v>
      </c>
      <c r="AY370">
        <f t="shared" ca="1" si="37"/>
        <v>0.28024625805785508</v>
      </c>
      <c r="AZ370">
        <f t="shared" ca="1" si="38"/>
        <v>0.12044457212116978</v>
      </c>
      <c r="BA370">
        <f t="shared" ca="1" si="39"/>
        <v>1.2828264787729544E-2</v>
      </c>
      <c r="BB370">
        <f t="shared" ca="1" si="40"/>
        <v>-0.11906561044994005</v>
      </c>
    </row>
    <row r="371" spans="1:54" x14ac:dyDescent="0.25">
      <c r="A371" s="37">
        <v>46206</v>
      </c>
      <c r="B371" s="5">
        <v>4.1520999999999999</v>
      </c>
      <c r="C371">
        <v>2.2759</v>
      </c>
      <c r="D371">
        <v>0.29299999999999998</v>
      </c>
      <c r="E371">
        <v>45.8688</v>
      </c>
      <c r="F371">
        <v>1.1856</v>
      </c>
      <c r="G371">
        <v>0</v>
      </c>
      <c r="H371">
        <v>34.065399999999997</v>
      </c>
      <c r="I371">
        <v>18.471</v>
      </c>
      <c r="J371">
        <v>7157.5</v>
      </c>
      <c r="K371">
        <v>28151363.159000002</v>
      </c>
      <c r="M371" s="37">
        <v>46206</v>
      </c>
      <c r="N371" s="5">
        <v>6.0644</v>
      </c>
      <c r="O371">
        <v>7.6619999999999999</v>
      </c>
      <c r="P371">
        <v>0.99780000000000002</v>
      </c>
      <c r="Q371">
        <v>39.402999999999999</v>
      </c>
      <c r="R371">
        <v>1.3472999999999999</v>
      </c>
      <c r="S371" t="s">
        <v>33</v>
      </c>
      <c r="T371">
        <v>41.3322</v>
      </c>
      <c r="U371">
        <v>20.769500000000001</v>
      </c>
      <c r="V371">
        <v>5135</v>
      </c>
      <c r="W371">
        <v>7001677.1513</v>
      </c>
      <c r="Y371" s="5">
        <v>12.8696</v>
      </c>
      <c r="Z371">
        <v>-0.46150000000000002</v>
      </c>
      <c r="AA371">
        <v>-5.1999999999999998E-3</v>
      </c>
      <c r="AB371">
        <v>8.5280000000000005</v>
      </c>
      <c r="AC371">
        <v>-0.3422</v>
      </c>
      <c r="AD371">
        <v>15.9076</v>
      </c>
      <c r="AE371">
        <v>3.2685</v>
      </c>
      <c r="AF371">
        <v>-0.79369999999999996</v>
      </c>
      <c r="AG371">
        <v>42.28</v>
      </c>
      <c r="AH371">
        <v>295960</v>
      </c>
      <c r="AJ371">
        <v>6.0831</v>
      </c>
      <c r="AK371">
        <v>11.7906</v>
      </c>
      <c r="AL371">
        <v>0.44269999999999998</v>
      </c>
      <c r="AM371">
        <v>30.104199999999999</v>
      </c>
      <c r="AN371">
        <v>-0.4446</v>
      </c>
      <c r="AO371">
        <v>0</v>
      </c>
      <c r="AP371">
        <v>55.659100000000002</v>
      </c>
      <c r="AQ371">
        <v>43.820099999999996</v>
      </c>
      <c r="AR371">
        <v>9195</v>
      </c>
      <c r="AS371">
        <v>7305384.1272</v>
      </c>
      <c r="AU371" s="1">
        <f t="shared" si="41"/>
        <v>46206</v>
      </c>
      <c r="AV371" s="29">
        <f t="shared" si="43"/>
        <v>5.8562022362215682</v>
      </c>
      <c r="AW371" s="30">
        <f t="shared" si="42"/>
        <v>-0.51854056903615031</v>
      </c>
      <c r="AX371">
        <f t="shared" ca="1" si="36"/>
        <v>0.68946393801706218</v>
      </c>
      <c r="AY371">
        <f t="shared" ca="1" si="37"/>
        <v>0.28024625805785508</v>
      </c>
      <c r="AZ371">
        <f t="shared" ca="1" si="38"/>
        <v>0.12044457212116978</v>
      </c>
      <c r="BA371">
        <f t="shared" ca="1" si="39"/>
        <v>9.1884597920790703E-3</v>
      </c>
      <c r="BB371">
        <f t="shared" ca="1" si="40"/>
        <v>-0.13047691349146326</v>
      </c>
    </row>
    <row r="372" spans="1:54" x14ac:dyDescent="0.25">
      <c r="A372" s="37">
        <v>46213</v>
      </c>
      <c r="B372" s="5">
        <v>4.2647000000000004</v>
      </c>
      <c r="C372">
        <v>2.2759</v>
      </c>
      <c r="D372">
        <v>0.29299999999999998</v>
      </c>
      <c r="E372">
        <v>45.8688</v>
      </c>
      <c r="F372">
        <v>1.1856</v>
      </c>
      <c r="G372">
        <v>0</v>
      </c>
      <c r="H372">
        <v>34.065399999999997</v>
      </c>
      <c r="I372">
        <v>18.471</v>
      </c>
      <c r="J372">
        <v>7440</v>
      </c>
      <c r="K372">
        <v>29262471.799199998</v>
      </c>
      <c r="M372" s="37">
        <v>46213</v>
      </c>
      <c r="N372" s="5">
        <v>6.1092000000000004</v>
      </c>
      <c r="O372">
        <v>7.6619999999999999</v>
      </c>
      <c r="P372">
        <v>0.99780000000000002</v>
      </c>
      <c r="Q372">
        <v>39.402999999999999</v>
      </c>
      <c r="R372">
        <v>1.3472999999999999</v>
      </c>
      <c r="S372" t="s">
        <v>33</v>
      </c>
      <c r="T372">
        <v>41.3322</v>
      </c>
      <c r="U372">
        <v>20.769500000000001</v>
      </c>
      <c r="V372">
        <v>5180</v>
      </c>
      <c r="W372">
        <v>7063035.5684000002</v>
      </c>
      <c r="Y372" s="5">
        <v>13.928000000000001</v>
      </c>
      <c r="Z372">
        <v>-0.46150000000000002</v>
      </c>
      <c r="AA372">
        <v>-5.1999999999999998E-3</v>
      </c>
      <c r="AB372">
        <v>8.5280000000000005</v>
      </c>
      <c r="AC372">
        <v>-0.3422</v>
      </c>
      <c r="AD372">
        <v>15.9076</v>
      </c>
      <c r="AE372">
        <v>3.2685</v>
      </c>
      <c r="AF372">
        <v>-0.79369999999999996</v>
      </c>
      <c r="AG372">
        <v>45.91</v>
      </c>
      <c r="AH372">
        <v>321370</v>
      </c>
      <c r="AJ372">
        <v>6.3670999999999998</v>
      </c>
      <c r="AK372">
        <v>11.7906</v>
      </c>
      <c r="AL372">
        <v>0.44269999999999998</v>
      </c>
      <c r="AM372">
        <v>30.104199999999999</v>
      </c>
      <c r="AN372">
        <v>-0.4446</v>
      </c>
      <c r="AO372">
        <v>0</v>
      </c>
      <c r="AP372">
        <v>55.659100000000002</v>
      </c>
      <c r="AQ372">
        <v>43.820099999999996</v>
      </c>
      <c r="AR372">
        <v>9595</v>
      </c>
      <c r="AS372">
        <v>7623182.2403999995</v>
      </c>
      <c r="AU372" s="1">
        <f t="shared" si="41"/>
        <v>46213</v>
      </c>
      <c r="AV372" s="29">
        <f t="shared" si="43"/>
        <v>6.0294022642900806</v>
      </c>
      <c r="AW372" s="30">
        <f t="shared" si="42"/>
        <v>-0.46483202101885629</v>
      </c>
      <c r="AX372">
        <f t="shared" ca="1" si="36"/>
        <v>0.68946393801706218</v>
      </c>
      <c r="AY372">
        <f t="shared" ca="1" si="37"/>
        <v>0.28024625805785508</v>
      </c>
      <c r="AZ372">
        <f t="shared" ca="1" si="38"/>
        <v>0.11216735368040365</v>
      </c>
      <c r="BA372">
        <f t="shared" ca="1" si="39"/>
        <v>2.1836238654957454E-3</v>
      </c>
      <c r="BB372">
        <f t="shared" ca="1" si="40"/>
        <v>-0.16229011584541855</v>
      </c>
    </row>
    <row r="373" spans="1:54" x14ac:dyDescent="0.25">
      <c r="A373" s="37">
        <v>46220</v>
      </c>
      <c r="B373" s="5">
        <v>4.4042000000000003</v>
      </c>
      <c r="C373">
        <v>2.2759</v>
      </c>
      <c r="D373">
        <v>0.29299999999999998</v>
      </c>
      <c r="E373">
        <v>45.8688</v>
      </c>
      <c r="F373">
        <v>1.1856</v>
      </c>
      <c r="G373">
        <v>0</v>
      </c>
      <c r="H373">
        <v>34.065399999999997</v>
      </c>
      <c r="I373">
        <v>18.471</v>
      </c>
      <c r="J373">
        <v>7790</v>
      </c>
      <c r="K373">
        <v>30639066.574700002</v>
      </c>
      <c r="M373" s="37">
        <v>46220</v>
      </c>
      <c r="N373" s="5">
        <v>6.1355000000000004</v>
      </c>
      <c r="O373">
        <v>7.6619999999999999</v>
      </c>
      <c r="P373">
        <v>0.99780000000000002</v>
      </c>
      <c r="Q373">
        <v>39.402999999999999</v>
      </c>
      <c r="R373">
        <v>1.3472999999999999</v>
      </c>
      <c r="S373" t="s">
        <v>33</v>
      </c>
      <c r="T373">
        <v>41.3322</v>
      </c>
      <c r="U373">
        <v>20.769500000000001</v>
      </c>
      <c r="V373">
        <v>5170</v>
      </c>
      <c r="W373">
        <v>7049400.3646</v>
      </c>
      <c r="Y373" s="5">
        <v>13.324400000000001</v>
      </c>
      <c r="Z373">
        <v>-0.46150000000000002</v>
      </c>
      <c r="AA373">
        <v>-5.1999999999999998E-3</v>
      </c>
      <c r="AB373">
        <v>8.5280000000000005</v>
      </c>
      <c r="AC373">
        <v>-0.3422</v>
      </c>
      <c r="AD373">
        <v>15.9076</v>
      </c>
      <c r="AE373">
        <v>3.2685</v>
      </c>
      <c r="AF373">
        <v>-0.79369999999999996</v>
      </c>
      <c r="AG373">
        <v>43.84</v>
      </c>
      <c r="AH373">
        <v>306880</v>
      </c>
      <c r="AJ373">
        <v>6.2073999999999998</v>
      </c>
      <c r="AK373">
        <v>11.7906</v>
      </c>
      <c r="AL373">
        <v>0.44269999999999998</v>
      </c>
      <c r="AM373">
        <v>30.104199999999999</v>
      </c>
      <c r="AN373">
        <v>-0.4446</v>
      </c>
      <c r="AO373">
        <v>0</v>
      </c>
      <c r="AP373">
        <v>55.659100000000002</v>
      </c>
      <c r="AQ373">
        <v>43.820099999999996</v>
      </c>
      <c r="AR373">
        <v>9370</v>
      </c>
      <c r="AS373">
        <v>7444420.8016999997</v>
      </c>
      <c r="AU373" s="1">
        <f t="shared" si="41"/>
        <v>46220</v>
      </c>
      <c r="AV373" s="29">
        <f t="shared" si="43"/>
        <v>6.0136748551552817</v>
      </c>
      <c r="AW373" s="30">
        <f>+(AV373-$AW$1)/$AX$1</f>
        <v>-0.46970901970138446</v>
      </c>
      <c r="AX373">
        <f ca="1">+_xlfn.PERCENTILE.INC(OFFSET(AW373,-52,0,52,1),0.9)</f>
        <v>0.68946393801706218</v>
      </c>
      <c r="AY373">
        <f ca="1">+_xlfn.PERCENTILE.INC(OFFSET(AW373,-52,0,52,1),0.75)</f>
        <v>0.28024625805785508</v>
      </c>
      <c r="AZ373">
        <f ca="1">+_xlfn.PERCENTILE.INC(OFFSET(AW373,-52,0,52,1),0.5)</f>
        <v>0.11216735368040365</v>
      </c>
      <c r="BA373">
        <f ca="1">+_xlfn.PERCENTILE.INC(OFFSET(AW373,-52,0,52,1),0.25)</f>
        <v>-1.2718781215664866E-2</v>
      </c>
      <c r="BB373">
        <f ca="1">+_xlfn.PERCENTILE.INC(OFFSET(AW373,-52,0,52,1),0.1)</f>
        <v>-0.16841759529905329</v>
      </c>
    </row>
    <row r="374" spans="1:54" x14ac:dyDescent="0.25">
      <c r="A374" s="37">
        <v>46227</v>
      </c>
      <c r="B374" s="5">
        <v>4.5677000000000003</v>
      </c>
      <c r="C374">
        <v>2.2759</v>
      </c>
      <c r="D374">
        <v>0.29299999999999998</v>
      </c>
      <c r="E374">
        <v>45.8688</v>
      </c>
      <c r="F374">
        <v>1.1856</v>
      </c>
      <c r="G374">
        <v>0</v>
      </c>
      <c r="H374">
        <v>34.065399999999997</v>
      </c>
      <c r="I374">
        <v>18.471</v>
      </c>
      <c r="J374">
        <v>8200</v>
      </c>
      <c r="K374">
        <v>32251649.026000001</v>
      </c>
      <c r="M374" s="37">
        <v>46227</v>
      </c>
      <c r="N374" s="5">
        <v>6.3922999999999996</v>
      </c>
      <c r="O374">
        <v>7.6619999999999999</v>
      </c>
      <c r="P374">
        <v>0.99780000000000002</v>
      </c>
      <c r="Q374">
        <v>39.402999999999999</v>
      </c>
      <c r="R374">
        <v>1.3472999999999999</v>
      </c>
      <c r="S374" t="s">
        <v>33</v>
      </c>
      <c r="T374">
        <v>41.3322</v>
      </c>
      <c r="U374">
        <v>20.769500000000001</v>
      </c>
      <c r="V374">
        <v>5515</v>
      </c>
      <c r="W374">
        <v>7519814.8957000002</v>
      </c>
      <c r="Y374" s="5">
        <v>12.907500000000001</v>
      </c>
      <c r="Z374">
        <v>-0.46150000000000002</v>
      </c>
      <c r="AA374">
        <v>-5.1999999999999998E-3</v>
      </c>
      <c r="AB374">
        <v>8.5280000000000005</v>
      </c>
      <c r="AC374">
        <v>-0.3422</v>
      </c>
      <c r="AD374">
        <v>15.9076</v>
      </c>
      <c r="AE374">
        <v>3.2685</v>
      </c>
      <c r="AF374">
        <v>-0.79369999999999996</v>
      </c>
      <c r="AG374">
        <v>42.41</v>
      </c>
      <c r="AH374">
        <v>296870</v>
      </c>
      <c r="AJ374">
        <v>6.4878</v>
      </c>
      <c r="AK374">
        <v>11.7906</v>
      </c>
      <c r="AL374">
        <v>0.44269999999999998</v>
      </c>
      <c r="AM374">
        <v>30.104199999999999</v>
      </c>
      <c r="AN374">
        <v>-0.4446</v>
      </c>
      <c r="AO374">
        <v>0</v>
      </c>
      <c r="AP374">
        <v>55.659100000000002</v>
      </c>
      <c r="AQ374">
        <v>43.820099999999996</v>
      </c>
      <c r="AR374">
        <v>9765</v>
      </c>
      <c r="AS374">
        <v>7758246.4385000002</v>
      </c>
      <c r="AU374" s="1">
        <f t="shared" si="41"/>
        <v>46227</v>
      </c>
      <c r="AV374" s="29">
        <f t="shared" si="43"/>
        <v>6.2281244653248065</v>
      </c>
      <c r="AW374" s="30">
        <f t="shared" ref="AW374:AW379" si="44">+(AV374-$AW$1)/$AX$1</f>
        <v>-0.40320916220411063</v>
      </c>
      <c r="AX374">
        <f t="shared" ref="AX374:AX379" ca="1" si="45">+_xlfn.PERCENTILE.INC(OFFSET(AW374,-52,0,52,1),0.9)</f>
        <v>0.68946393801706218</v>
      </c>
      <c r="AY374">
        <f t="shared" ref="AY374:AY379" ca="1" si="46">+_xlfn.PERCENTILE.INC(OFFSET(AW374,-52,0,52,1),0.75)</f>
        <v>0.28024625805785508</v>
      </c>
      <c r="AZ374">
        <f t="shared" ref="AZ374:AZ379" ca="1" si="47">+_xlfn.PERCENTILE.INC(OFFSET(AW374,-52,0,52,1),0.5)</f>
        <v>0.10170360172946634</v>
      </c>
      <c r="BA374">
        <f t="shared" ref="BA374:BA379" ca="1" si="48">+_xlfn.PERCENTILE.INC(OFFSET(AW374,-52,0,52,1),0.25)</f>
        <v>-3.0228595171840268E-2</v>
      </c>
      <c r="BB374">
        <f t="shared" ref="BB374:BB379" ca="1" si="49">+_xlfn.PERCENTILE.INC(OFFSET(AW374,-52,0,52,1),0.1)</f>
        <v>-0.19977886141024934</v>
      </c>
    </row>
    <row r="375" spans="1:54" x14ac:dyDescent="0.25">
      <c r="A375" s="37">
        <v>46234</v>
      </c>
      <c r="B375" s="5">
        <v>4.6036000000000001</v>
      </c>
      <c r="C375">
        <v>2.2759</v>
      </c>
      <c r="D375">
        <v>0.29299999999999998</v>
      </c>
      <c r="E375">
        <v>45.8688</v>
      </c>
      <c r="F375">
        <v>1.1856</v>
      </c>
      <c r="G375">
        <v>0</v>
      </c>
      <c r="H375">
        <v>34.065399999999997</v>
      </c>
      <c r="I375">
        <v>18.471</v>
      </c>
      <c r="J375">
        <v>8290</v>
      </c>
      <c r="K375">
        <v>32605630.539700001</v>
      </c>
      <c r="M375" s="37">
        <v>46234</v>
      </c>
      <c r="N375" s="5">
        <v>6.4531999999999998</v>
      </c>
      <c r="O375">
        <v>7.6619999999999999</v>
      </c>
      <c r="P375">
        <v>0.99780000000000002</v>
      </c>
      <c r="Q375">
        <v>39.402999999999999</v>
      </c>
      <c r="R375">
        <v>1.3472999999999999</v>
      </c>
      <c r="S375" t="s">
        <v>33</v>
      </c>
      <c r="T375">
        <v>41.3322</v>
      </c>
      <c r="U375">
        <v>20.769500000000001</v>
      </c>
      <c r="V375">
        <v>5555</v>
      </c>
      <c r="W375">
        <v>7574355.7109000003</v>
      </c>
      <c r="Y375" s="5">
        <v>13.379799999999999</v>
      </c>
      <c r="Z375">
        <v>-0.46150000000000002</v>
      </c>
      <c r="AA375">
        <v>-5.1999999999999998E-3</v>
      </c>
      <c r="AB375">
        <v>8.5280000000000005</v>
      </c>
      <c r="AC375">
        <v>-0.3422</v>
      </c>
      <c r="AD375">
        <v>15.9076</v>
      </c>
      <c r="AE375">
        <v>3.2685</v>
      </c>
      <c r="AF375">
        <v>-0.79369999999999996</v>
      </c>
      <c r="AG375">
        <v>44.03</v>
      </c>
      <c r="AH375">
        <v>308210</v>
      </c>
      <c r="AJ375">
        <v>6.6901000000000002</v>
      </c>
      <c r="AK375">
        <v>11.7906</v>
      </c>
      <c r="AL375">
        <v>0.44269999999999998</v>
      </c>
      <c r="AM375">
        <v>30.104199999999999</v>
      </c>
      <c r="AN375">
        <v>-0.4446</v>
      </c>
      <c r="AO375">
        <v>0</v>
      </c>
      <c r="AP375">
        <v>55.659100000000002</v>
      </c>
      <c r="AQ375">
        <v>43.820099999999996</v>
      </c>
      <c r="AR375">
        <v>10050</v>
      </c>
      <c r="AS375">
        <v>7984677.5942000002</v>
      </c>
      <c r="AU375" s="1">
        <f t="shared" si="41"/>
        <v>46234</v>
      </c>
      <c r="AV375" s="29">
        <f t="shared" si="43"/>
        <v>6.3357772514575474</v>
      </c>
      <c r="AW375" s="30">
        <f t="shared" si="44"/>
        <v>-0.36982651846158954</v>
      </c>
      <c r="AX375">
        <f t="shared" ca="1" si="45"/>
        <v>0.68946393801706218</v>
      </c>
      <c r="AY375">
        <f t="shared" ca="1" si="46"/>
        <v>0.28003118174000124</v>
      </c>
      <c r="AZ375">
        <f t="shared" ca="1" si="47"/>
        <v>8.8425964370743931E-2</v>
      </c>
      <c r="BA375">
        <f t="shared" ca="1" si="48"/>
        <v>-5.7188691576232964E-2</v>
      </c>
      <c r="BB375">
        <f t="shared" ca="1" si="49"/>
        <v>-0.20749474592484285</v>
      </c>
    </row>
    <row r="376" spans="1:54" x14ac:dyDescent="0.25">
      <c r="A376" s="37">
        <v>46241</v>
      </c>
      <c r="B376" s="5">
        <v>4.3986999999999998</v>
      </c>
      <c r="C376">
        <v>2.2759</v>
      </c>
      <c r="D376">
        <v>0.29299999999999998</v>
      </c>
      <c r="E376">
        <v>45.8688</v>
      </c>
      <c r="F376">
        <v>1.1856</v>
      </c>
      <c r="G376">
        <v>0</v>
      </c>
      <c r="H376">
        <v>34.065399999999997</v>
      </c>
      <c r="I376">
        <v>18.471</v>
      </c>
      <c r="J376">
        <v>7775</v>
      </c>
      <c r="K376">
        <v>30584097.883299999</v>
      </c>
      <c r="M376" s="37">
        <v>46241</v>
      </c>
      <c r="N376" s="5">
        <v>6.0872000000000002</v>
      </c>
      <c r="O376">
        <v>7.6619999999999999</v>
      </c>
      <c r="P376">
        <v>0.99780000000000002</v>
      </c>
      <c r="Q376">
        <v>39.402999999999999</v>
      </c>
      <c r="R376">
        <v>1.3472999999999999</v>
      </c>
      <c r="S376" t="s">
        <v>33</v>
      </c>
      <c r="T376">
        <v>41.3322</v>
      </c>
      <c r="U376">
        <v>20.769500000000001</v>
      </c>
      <c r="V376">
        <v>5205</v>
      </c>
      <c r="W376">
        <v>7097123.5778999999</v>
      </c>
      <c r="Y376" s="5">
        <v>12.5867</v>
      </c>
      <c r="Z376">
        <v>-0.46150000000000002</v>
      </c>
      <c r="AA376">
        <v>-5.1999999999999998E-3</v>
      </c>
      <c r="AB376">
        <v>8.5280000000000005</v>
      </c>
      <c r="AC376">
        <v>-0.3422</v>
      </c>
      <c r="AD376">
        <v>15.9076</v>
      </c>
      <c r="AE376">
        <v>3.2685</v>
      </c>
      <c r="AF376">
        <v>-0.79369999999999996</v>
      </c>
      <c r="AG376">
        <v>41.31</v>
      </c>
      <c r="AH376">
        <v>289170</v>
      </c>
      <c r="AJ376">
        <v>6.0406000000000004</v>
      </c>
      <c r="AK376">
        <v>11.7906</v>
      </c>
      <c r="AL376">
        <v>0.44269999999999998</v>
      </c>
      <c r="AM376">
        <v>30.104199999999999</v>
      </c>
      <c r="AN376">
        <v>-0.4446</v>
      </c>
      <c r="AO376">
        <v>0</v>
      </c>
      <c r="AP376">
        <v>55.659100000000002</v>
      </c>
      <c r="AQ376">
        <v>43.820099999999996</v>
      </c>
      <c r="AR376">
        <v>9135</v>
      </c>
      <c r="AS376">
        <v>7257714.4101999998</v>
      </c>
      <c r="AU376" s="1">
        <f t="shared" si="41"/>
        <v>46241</v>
      </c>
      <c r="AV376" s="29">
        <f t="shared" si="43"/>
        <v>5.9312669435618517</v>
      </c>
      <c r="AW376" s="30">
        <f t="shared" si="44"/>
        <v>-0.49526334163873348</v>
      </c>
      <c r="AX376">
        <f t="shared" ca="1" si="45"/>
        <v>0.68946393801706218</v>
      </c>
      <c r="AY376">
        <f t="shared" ca="1" si="46"/>
        <v>0.25834975274462335</v>
      </c>
      <c r="AZ376">
        <f t="shared" ca="1" si="47"/>
        <v>7.7524272982236797E-2</v>
      </c>
      <c r="BA376">
        <f t="shared" ca="1" si="48"/>
        <v>-6.913349427124732E-2</v>
      </c>
      <c r="BB376">
        <f t="shared" ca="1" si="49"/>
        <v>-0.21146968164061261</v>
      </c>
    </row>
    <row r="377" spans="1:54" x14ac:dyDescent="0.25">
      <c r="A377" s="37">
        <v>46248</v>
      </c>
      <c r="B377" s="5">
        <v>4.4325999999999999</v>
      </c>
      <c r="C377">
        <v>2.2759</v>
      </c>
      <c r="D377">
        <v>0.29299999999999998</v>
      </c>
      <c r="E377">
        <v>45.8688</v>
      </c>
      <c r="F377">
        <v>1.1856</v>
      </c>
      <c r="G377">
        <v>0</v>
      </c>
      <c r="H377">
        <v>34.065399999999997</v>
      </c>
      <c r="I377">
        <v>18.471</v>
      </c>
      <c r="J377">
        <v>7860</v>
      </c>
      <c r="K377">
        <v>30918457.7958</v>
      </c>
      <c r="M377" s="37">
        <v>46248</v>
      </c>
      <c r="N377" s="5">
        <v>5.9324000000000003</v>
      </c>
      <c r="O377">
        <v>7.6619999999999999</v>
      </c>
      <c r="P377">
        <v>0.99780000000000002</v>
      </c>
      <c r="Q377">
        <v>39.402999999999999</v>
      </c>
      <c r="R377">
        <v>1.3472999999999999</v>
      </c>
      <c r="S377" t="s">
        <v>33</v>
      </c>
      <c r="T377">
        <v>41.3322</v>
      </c>
      <c r="U377">
        <v>20.769500000000001</v>
      </c>
      <c r="V377">
        <v>4990</v>
      </c>
      <c r="W377">
        <v>6803966.6962000001</v>
      </c>
      <c r="Y377" s="5">
        <v>12.2193</v>
      </c>
      <c r="Z377">
        <v>-0.46150000000000002</v>
      </c>
      <c r="AA377">
        <v>-5.1999999999999998E-3</v>
      </c>
      <c r="AB377">
        <v>8.5280000000000005</v>
      </c>
      <c r="AC377">
        <v>-0.3422</v>
      </c>
      <c r="AD377">
        <v>15.9076</v>
      </c>
      <c r="AE377">
        <v>3.2685</v>
      </c>
      <c r="AF377">
        <v>-0.79369999999999996</v>
      </c>
      <c r="AG377">
        <v>40.049999999999997</v>
      </c>
      <c r="AH377">
        <v>280350</v>
      </c>
      <c r="AJ377">
        <v>5.8524000000000003</v>
      </c>
      <c r="AK377">
        <v>11.7906</v>
      </c>
      <c r="AL377">
        <v>0.44269999999999998</v>
      </c>
      <c r="AM377">
        <v>30.104199999999999</v>
      </c>
      <c r="AN377">
        <v>-0.4446</v>
      </c>
      <c r="AO377">
        <v>0</v>
      </c>
      <c r="AP377">
        <v>55.659100000000002</v>
      </c>
      <c r="AQ377">
        <v>43.820099999999996</v>
      </c>
      <c r="AR377">
        <v>8870</v>
      </c>
      <c r="AS377">
        <v>7047173.1601999998</v>
      </c>
      <c r="AU377" s="1">
        <f t="shared" si="41"/>
        <v>46248</v>
      </c>
      <c r="AV377" s="29">
        <f t="shared" si="43"/>
        <v>5.8438250359511263</v>
      </c>
      <c r="AW377" s="30">
        <f t="shared" si="44"/>
        <v>-0.52237868305066837</v>
      </c>
      <c r="AX377">
        <f t="shared" ca="1" si="45"/>
        <v>0.68946393801706218</v>
      </c>
      <c r="AY377">
        <f t="shared" ca="1" si="46"/>
        <v>0.25072534660765028</v>
      </c>
      <c r="AZ377">
        <f t="shared" ca="1" si="47"/>
        <v>7.0137780639747405E-2</v>
      </c>
      <c r="BA377">
        <f t="shared" ca="1" si="48"/>
        <v>-8.9459120482318799E-2</v>
      </c>
      <c r="BB377">
        <f t="shared" ca="1" si="49"/>
        <v>-0.35402973609879201</v>
      </c>
    </row>
    <row r="378" spans="1:54" x14ac:dyDescent="0.25">
      <c r="A378" s="37">
        <v>46255</v>
      </c>
      <c r="B378" s="5">
        <v>4.5481999999999996</v>
      </c>
      <c r="C378">
        <v>2.2759</v>
      </c>
      <c r="D378">
        <v>0.29299999999999998</v>
      </c>
      <c r="E378">
        <v>45.8688</v>
      </c>
      <c r="F378">
        <v>1.1856</v>
      </c>
      <c r="G378">
        <v>0</v>
      </c>
      <c r="H378">
        <v>34.065399999999997</v>
      </c>
      <c r="I378">
        <v>18.471</v>
      </c>
      <c r="J378">
        <v>8150</v>
      </c>
      <c r="K378">
        <v>32059215.144499999</v>
      </c>
      <c r="M378" s="37">
        <v>46255</v>
      </c>
      <c r="N378" s="5">
        <v>5.9555999999999996</v>
      </c>
      <c r="O378">
        <v>7.6619999999999999</v>
      </c>
      <c r="P378">
        <v>0.99780000000000002</v>
      </c>
      <c r="Q378">
        <v>39.402999999999999</v>
      </c>
      <c r="R378">
        <v>1.3472999999999999</v>
      </c>
      <c r="S378" t="s">
        <v>33</v>
      </c>
      <c r="T378">
        <v>41.3322</v>
      </c>
      <c r="U378">
        <v>20.769500000000001</v>
      </c>
      <c r="V378">
        <v>5055</v>
      </c>
      <c r="W378">
        <v>6892595.5208999999</v>
      </c>
      <c r="Y378" s="5">
        <v>12.4497</v>
      </c>
      <c r="Z378">
        <v>-0.46150000000000002</v>
      </c>
      <c r="AA378">
        <v>-5.1999999999999998E-3</v>
      </c>
      <c r="AB378">
        <v>8.5280000000000005</v>
      </c>
      <c r="AC378">
        <v>-0.3422</v>
      </c>
      <c r="AD378">
        <v>15.9076</v>
      </c>
      <c r="AE378">
        <v>3.2685</v>
      </c>
      <c r="AF378">
        <v>-0.79369999999999996</v>
      </c>
      <c r="AG378">
        <v>40.840000000000003</v>
      </c>
      <c r="AH378">
        <v>285880</v>
      </c>
      <c r="AJ378">
        <v>5.8986000000000001</v>
      </c>
      <c r="AK378">
        <v>11.7906</v>
      </c>
      <c r="AL378">
        <v>0.44269999999999998</v>
      </c>
      <c r="AM378">
        <v>30.104199999999999</v>
      </c>
      <c r="AN378">
        <v>-0.4446</v>
      </c>
      <c r="AO378">
        <v>0</v>
      </c>
      <c r="AP378">
        <v>55.659100000000002</v>
      </c>
      <c r="AQ378">
        <v>43.820099999999996</v>
      </c>
      <c r="AR378">
        <v>8935</v>
      </c>
      <c r="AS378">
        <v>7098815.3536</v>
      </c>
      <c r="AU378" s="1">
        <f t="shared" si="41"/>
        <v>46255</v>
      </c>
      <c r="AV378" s="29">
        <f t="shared" si="43"/>
        <v>5.9201612721329049</v>
      </c>
      <c r="AW378" s="30">
        <f t="shared" si="44"/>
        <v>-0.4987071602908294</v>
      </c>
      <c r="AX378">
        <f t="shared" ca="1" si="45"/>
        <v>0.68946393801706218</v>
      </c>
      <c r="AY378">
        <f t="shared" ca="1" si="46"/>
        <v>0.24635555298546136</v>
      </c>
      <c r="AZ378">
        <f t="shared" ca="1" si="47"/>
        <v>6.7649727217566999E-2</v>
      </c>
      <c r="BA378">
        <f t="shared" ca="1" si="48"/>
        <v>-0.12552502684676553</v>
      </c>
      <c r="BB378">
        <f t="shared" ca="1" si="49"/>
        <v>-0.39987089782985852</v>
      </c>
    </row>
    <row r="379" spans="1:54" x14ac:dyDescent="0.25">
      <c r="A379" s="37">
        <v>46262</v>
      </c>
      <c r="B379" s="5">
        <v>4.5163000000000002</v>
      </c>
      <c r="C379">
        <v>2.2759</v>
      </c>
      <c r="D379">
        <v>0.29299999999999998</v>
      </c>
      <c r="E379">
        <v>45.8688</v>
      </c>
      <c r="F379">
        <v>1.1856</v>
      </c>
      <c r="G379">
        <v>0</v>
      </c>
      <c r="H379">
        <v>34.065399999999997</v>
      </c>
      <c r="I379">
        <v>18.471</v>
      </c>
      <c r="J379">
        <v>8070</v>
      </c>
      <c r="K379">
        <v>31744523.462099999</v>
      </c>
      <c r="M379" s="37">
        <v>46262</v>
      </c>
      <c r="N379" s="5">
        <v>6.0010000000000003</v>
      </c>
      <c r="O379">
        <v>7.6619999999999999</v>
      </c>
      <c r="P379">
        <v>0.99780000000000002</v>
      </c>
      <c r="Q379">
        <v>39.402999999999999</v>
      </c>
      <c r="R379">
        <v>1.3472999999999999</v>
      </c>
      <c r="S379" t="s">
        <v>33</v>
      </c>
      <c r="T379">
        <v>41.3322</v>
      </c>
      <c r="U379">
        <v>20.769500000000001</v>
      </c>
      <c r="V379">
        <v>5175</v>
      </c>
      <c r="W379">
        <v>7056217.9665000001</v>
      </c>
      <c r="Y379" s="5">
        <v>12.4817</v>
      </c>
      <c r="Z379">
        <v>-0.46150000000000002</v>
      </c>
      <c r="AA379">
        <v>-5.1999999999999998E-3</v>
      </c>
      <c r="AB379">
        <v>8.5280000000000005</v>
      </c>
      <c r="AC379">
        <v>-0.3422</v>
      </c>
      <c r="AD379">
        <v>15.9076</v>
      </c>
      <c r="AE379">
        <v>3.2685</v>
      </c>
      <c r="AF379">
        <v>-0.79369999999999996</v>
      </c>
      <c r="AG379">
        <v>40.950000000000003</v>
      </c>
      <c r="AH379">
        <v>286650</v>
      </c>
      <c r="AJ379">
        <v>5.9518000000000004</v>
      </c>
      <c r="AK379">
        <v>11.7906</v>
      </c>
      <c r="AL379">
        <v>0.44269999999999998</v>
      </c>
      <c r="AM379">
        <v>30.104199999999999</v>
      </c>
      <c r="AN379">
        <v>-0.4446</v>
      </c>
      <c r="AO379">
        <v>0</v>
      </c>
      <c r="AP379">
        <v>55.659100000000002</v>
      </c>
      <c r="AQ379">
        <v>43.820099999999996</v>
      </c>
      <c r="AR379">
        <v>9010</v>
      </c>
      <c r="AS379">
        <v>7158402.4998000003</v>
      </c>
      <c r="AU379" s="1">
        <f t="shared" si="41"/>
        <v>46262</v>
      </c>
      <c r="AV379" s="29">
        <f t="shared" si="43"/>
        <v>5.9327421492364403</v>
      </c>
      <c r="AW379" s="30">
        <f t="shared" si="44"/>
        <v>-0.49480588700842776</v>
      </c>
      <c r="AX379">
        <f t="shared" ca="1" si="45"/>
        <v>0.68946393801706218</v>
      </c>
      <c r="AY379">
        <f t="shared" ca="1" si="46"/>
        <v>0.23790491602838343</v>
      </c>
      <c r="AZ379">
        <f t="shared" ca="1" si="47"/>
        <v>6.3554827335653721E-2</v>
      </c>
      <c r="BA379">
        <f t="shared" ca="1" si="48"/>
        <v>-0.13986412377252835</v>
      </c>
      <c r="BB379">
        <f t="shared" ca="1" si="49"/>
        <v>-0.45866973513738168</v>
      </c>
    </row>
    <row r="380" spans="1:54" x14ac:dyDescent="0.25">
      <c r="A380" s="37">
        <v>46269</v>
      </c>
      <c r="B380" s="5">
        <v>4.6299000000000001</v>
      </c>
      <c r="C380">
        <v>2.2759</v>
      </c>
      <c r="D380">
        <v>0.29299999999999998</v>
      </c>
      <c r="E380">
        <v>45.8688</v>
      </c>
      <c r="F380">
        <v>1.1856</v>
      </c>
      <c r="G380">
        <v>0</v>
      </c>
      <c r="H380">
        <v>34.065399999999997</v>
      </c>
      <c r="I380">
        <v>18.471</v>
      </c>
      <c r="J380">
        <v>8355</v>
      </c>
      <c r="K380">
        <v>32865612.580699999</v>
      </c>
      <c r="M380" s="37">
        <v>46269</v>
      </c>
      <c r="N380" s="5">
        <v>6.1997</v>
      </c>
      <c r="O380">
        <v>7.6619999999999999</v>
      </c>
      <c r="P380">
        <v>0.99780000000000002</v>
      </c>
      <c r="Q380">
        <v>39.402999999999999</v>
      </c>
      <c r="R380">
        <v>1.3472999999999999</v>
      </c>
      <c r="S380" t="s">
        <v>33</v>
      </c>
      <c r="T380">
        <v>41.3322</v>
      </c>
      <c r="U380">
        <v>20.769500000000001</v>
      </c>
      <c r="V380">
        <v>5365</v>
      </c>
      <c r="W380">
        <v>7315286.8387000002</v>
      </c>
      <c r="Y380" s="5">
        <v>12.542999999999999</v>
      </c>
      <c r="Z380">
        <v>-0.46150000000000002</v>
      </c>
      <c r="AA380">
        <v>-5.1999999999999998E-3</v>
      </c>
      <c r="AB380">
        <v>8.5280000000000005</v>
      </c>
      <c r="AC380">
        <v>-0.3422</v>
      </c>
      <c r="AD380">
        <v>15.9076</v>
      </c>
      <c r="AE380">
        <v>3.2685</v>
      </c>
      <c r="AF380">
        <v>-0.79369999999999996</v>
      </c>
      <c r="AG380">
        <v>41.16</v>
      </c>
      <c r="AH380">
        <v>288120</v>
      </c>
      <c r="AJ380">
        <v>6.0583</v>
      </c>
      <c r="AK380">
        <v>11.7906</v>
      </c>
      <c r="AL380">
        <v>0.44269999999999998</v>
      </c>
      <c r="AM380">
        <v>30.104199999999999</v>
      </c>
      <c r="AN380">
        <v>-0.4446</v>
      </c>
      <c r="AO380">
        <v>0</v>
      </c>
      <c r="AP380">
        <v>55.659100000000002</v>
      </c>
      <c r="AQ380">
        <v>43.820099999999996</v>
      </c>
      <c r="AR380">
        <v>9160</v>
      </c>
      <c r="AS380">
        <v>7277576.7922999999</v>
      </c>
      <c r="AU380" s="1">
        <f t="shared" si="41"/>
        <v>46269</v>
      </c>
      <c r="AV380" s="29">
        <f t="shared" si="43"/>
        <v>6.05946770295375</v>
      </c>
      <c r="AW380" s="30">
        <f t="shared" ref="AW380:AW381" si="50">+(AV380-$AW$1)/$AX$1</f>
        <v>-0.45550886400706903</v>
      </c>
      <c r="AX380">
        <f t="shared" ref="AX380:AX381" ca="1" si="51">+_xlfn.PERCENTILE.INC(OFFSET(AW380,-52,0,52,1),0.9)</f>
        <v>0.68946393801706218</v>
      </c>
      <c r="AY380">
        <f t="shared" ref="AY380:AY381" ca="1" si="52">+_xlfn.PERCENTILE.INC(OFFSET(AW380,-52,0,52,1),0.75)</f>
        <v>0.19657178254985794</v>
      </c>
      <c r="AZ380">
        <f t="shared" ref="AZ380:AZ381" ca="1" si="53">+_xlfn.PERCENTILE.INC(OFFSET(AW380,-52,0,52,1),0.5)</f>
        <v>5.2268923658381095E-2</v>
      </c>
      <c r="BA380">
        <f t="shared" ref="BA380:BA381" ca="1" si="54">+_xlfn.PERCENTILE.INC(OFFSET(AW380,-52,0,52,1),0.25)</f>
        <v>-0.166483970368416</v>
      </c>
      <c r="BB380">
        <f t="shared" ref="BB380:BB381" ca="1" si="55">+_xlfn.PERCENTILE.INC(OFFSET(AW380,-52,0,52,1),0.1)</f>
        <v>-0.46922131983313164</v>
      </c>
    </row>
    <row r="381" spans="1:54" x14ac:dyDescent="0.25">
      <c r="A381" s="37">
        <v>46276</v>
      </c>
      <c r="B381" s="5">
        <v>4.8212999999999999</v>
      </c>
      <c r="C381">
        <v>2.2759</v>
      </c>
      <c r="D381">
        <v>0.29299999999999998</v>
      </c>
      <c r="E381">
        <v>45.8688</v>
      </c>
      <c r="F381">
        <v>1.1856</v>
      </c>
      <c r="G381">
        <v>0</v>
      </c>
      <c r="H381">
        <v>34.065399999999997</v>
      </c>
      <c r="I381">
        <v>18.471</v>
      </c>
      <c r="J381">
        <v>8835</v>
      </c>
      <c r="K381">
        <v>34753762.675099999</v>
      </c>
      <c r="M381" s="37">
        <v>46276</v>
      </c>
      <c r="N381" s="5">
        <v>6.3323</v>
      </c>
      <c r="O381">
        <v>7.6619999999999999</v>
      </c>
      <c r="P381">
        <v>0.99780000000000002</v>
      </c>
      <c r="Q381">
        <v>39.402999999999999</v>
      </c>
      <c r="R381">
        <v>1.3472999999999999</v>
      </c>
      <c r="S381" t="s">
        <v>33</v>
      </c>
      <c r="T381">
        <v>41.3322</v>
      </c>
      <c r="U381">
        <v>20.769500000000001</v>
      </c>
      <c r="V381">
        <v>5525</v>
      </c>
      <c r="W381">
        <v>7533450.0994999995</v>
      </c>
      <c r="Y381" s="5">
        <v>12.4613</v>
      </c>
      <c r="Z381">
        <v>-0.46150000000000002</v>
      </c>
      <c r="AA381">
        <v>-5.1999999999999998E-3</v>
      </c>
      <c r="AB381">
        <v>8.5280000000000005</v>
      </c>
      <c r="AC381">
        <v>-0.3422</v>
      </c>
      <c r="AD381">
        <v>15.9076</v>
      </c>
      <c r="AE381">
        <v>3.2685</v>
      </c>
      <c r="AF381">
        <v>-0.79369999999999996</v>
      </c>
      <c r="AG381">
        <v>40.880000000000003</v>
      </c>
      <c r="AH381">
        <v>286160</v>
      </c>
      <c r="AJ381">
        <v>6.3102999999999998</v>
      </c>
      <c r="AK381">
        <v>11.7906</v>
      </c>
      <c r="AL381">
        <v>0.44269999999999998</v>
      </c>
      <c r="AM381">
        <v>30.104199999999999</v>
      </c>
      <c r="AN381">
        <v>-0.4446</v>
      </c>
      <c r="AO381">
        <v>0</v>
      </c>
      <c r="AP381">
        <v>55.659100000000002</v>
      </c>
      <c r="AQ381">
        <v>43.820099999999996</v>
      </c>
      <c r="AR381">
        <v>9515</v>
      </c>
      <c r="AS381">
        <v>7559622.6177000003</v>
      </c>
      <c r="AU381" s="1">
        <f t="shared" si="41"/>
        <v>46276</v>
      </c>
      <c r="AV381" s="29">
        <f t="shared" ref="AV381" si="56">+(Y381*AH381+N381*W381+B381*K381+AJ381*AS381)/(K381+W381+AH381)</f>
        <v>6.2605280458778498</v>
      </c>
      <c r="AW381" s="30">
        <f t="shared" si="50"/>
        <v>-0.39316095793143602</v>
      </c>
      <c r="AX381">
        <f t="shared" ca="1" si="51"/>
        <v>0.68946393801706218</v>
      </c>
      <c r="AY381">
        <f t="shared" ca="1" si="52"/>
        <v>0.16488528177800774</v>
      </c>
      <c r="AZ381">
        <f t="shared" ca="1" si="53"/>
        <v>3.553644190179911E-2</v>
      </c>
      <c r="BA381">
        <f t="shared" ca="1" si="54"/>
        <v>-0.17734390532223412</v>
      </c>
      <c r="BB381">
        <f t="shared" ca="1" si="55"/>
        <v>-0.46922131983313164</v>
      </c>
    </row>
    <row r="382" spans="1:54" x14ac:dyDescent="0.25">
      <c r="A382" s="37">
        <v>46283</v>
      </c>
      <c r="B382" s="5">
        <v>4.7914000000000003</v>
      </c>
      <c r="C382">
        <v>2.2759</v>
      </c>
      <c r="D382">
        <v>0.29299999999999998</v>
      </c>
      <c r="E382">
        <v>45.8688</v>
      </c>
      <c r="F382">
        <v>1.1856</v>
      </c>
      <c r="G382">
        <v>0</v>
      </c>
      <c r="H382">
        <v>34.065399999999997</v>
      </c>
      <c r="I382">
        <v>18.471</v>
      </c>
      <c r="J382">
        <v>8760</v>
      </c>
      <c r="K382">
        <v>34458739.222800002</v>
      </c>
      <c r="M382" s="37">
        <v>46283</v>
      </c>
      <c r="N382" s="5">
        <v>6.0392999999999999</v>
      </c>
      <c r="O382">
        <v>7.6619999999999999</v>
      </c>
      <c r="P382">
        <v>0.99780000000000002</v>
      </c>
      <c r="Q382">
        <v>39.402999999999999</v>
      </c>
      <c r="R382">
        <v>1.3472999999999999</v>
      </c>
      <c r="S382" t="s">
        <v>33</v>
      </c>
      <c r="T382">
        <v>41.3322</v>
      </c>
      <c r="U382">
        <v>20.769500000000001</v>
      </c>
      <c r="V382">
        <v>5215</v>
      </c>
      <c r="W382">
        <v>7110758.7817000002</v>
      </c>
      <c r="Y382" s="5">
        <v>12.341799999999999</v>
      </c>
      <c r="Z382">
        <v>-0.46150000000000002</v>
      </c>
      <c r="AA382">
        <v>-5.1999999999999998E-3</v>
      </c>
      <c r="AB382">
        <v>8.5280000000000005</v>
      </c>
      <c r="AC382">
        <v>-0.3422</v>
      </c>
      <c r="AD382">
        <v>15.9076</v>
      </c>
      <c r="AE382">
        <v>3.2685</v>
      </c>
      <c r="AF382">
        <v>-0.79369999999999996</v>
      </c>
      <c r="AG382">
        <v>40.47</v>
      </c>
      <c r="AH382">
        <v>283290</v>
      </c>
      <c r="AJ382">
        <v>5.9837999999999996</v>
      </c>
      <c r="AK382">
        <v>11.7906</v>
      </c>
      <c r="AL382">
        <v>0.44269999999999998</v>
      </c>
      <c r="AM382">
        <v>30.104199999999999</v>
      </c>
      <c r="AN382">
        <v>-0.4446</v>
      </c>
      <c r="AO382">
        <v>0</v>
      </c>
      <c r="AP382">
        <v>55.659100000000002</v>
      </c>
      <c r="AQ382">
        <v>43.820099999999996</v>
      </c>
      <c r="AR382">
        <v>9055</v>
      </c>
      <c r="AS382">
        <v>7194154.7876000004</v>
      </c>
      <c r="AU382" s="1">
        <f t="shared" ref="AU382" si="57">+A382</f>
        <v>46283</v>
      </c>
      <c r="AV382" s="29">
        <f t="shared" ref="AV382" si="58">+(Y382*AH382+N382*W382+B382*K382+AJ382*AS382)/(K382+W382+AH382)</f>
        <v>6.0830905825225248</v>
      </c>
      <c r="AW382" s="30">
        <f t="shared" ref="AW382" si="59">+(AV382-$AW$1)/$AX$1</f>
        <v>-0.44818351553123387</v>
      </c>
      <c r="AX382">
        <f t="shared" ref="AX382" ca="1" si="60">+_xlfn.PERCENTILE.INC(OFFSET(AW382,-52,0,52,1),0.9)</f>
        <v>0.68946393801706218</v>
      </c>
      <c r="AY382">
        <f t="shared" ref="AY382" ca="1" si="61">+_xlfn.PERCENTILE.INC(OFFSET(AW382,-52,0,52,1),0.75)</f>
        <v>0.16488528177800774</v>
      </c>
      <c r="AZ382">
        <f t="shared" ref="AZ382" ca="1" si="62">+_xlfn.PERCENTILE.INC(OFFSET(AW382,-52,0,52,1),0.5)</f>
        <v>2.0396608697967725E-2</v>
      </c>
      <c r="BA382">
        <f t="shared" ref="BA382" ca="1" si="63">+_xlfn.PERCENTILE.INC(OFFSET(AW382,-52,0,52,1),0.25)</f>
        <v>-0.20441493556297147</v>
      </c>
      <c r="BB382">
        <f t="shared" ref="BB382" ca="1" si="64">+_xlfn.PERCENTILE.INC(OFFSET(AW382,-52,0,52,1),0.1)</f>
        <v>-0.46922131983313164</v>
      </c>
    </row>
    <row r="383" spans="1:54" x14ac:dyDescent="0.25">
      <c r="A383" s="37">
        <v>46290</v>
      </c>
      <c r="B383" s="5">
        <v>4.6638000000000002</v>
      </c>
      <c r="C383">
        <v>2.2759</v>
      </c>
      <c r="D383">
        <v>0.29299999999999998</v>
      </c>
      <c r="E383">
        <v>45.8688</v>
      </c>
      <c r="F383">
        <v>1.1856</v>
      </c>
      <c r="G383">
        <v>0</v>
      </c>
      <c r="H383">
        <v>34.065399999999997</v>
      </c>
      <c r="I383">
        <v>18.471</v>
      </c>
      <c r="J383">
        <v>8440</v>
      </c>
      <c r="K383">
        <v>33199972.4932</v>
      </c>
      <c r="M383" s="37">
        <v>46290</v>
      </c>
      <c r="N383" s="5">
        <v>5.8581000000000003</v>
      </c>
      <c r="O383">
        <v>7.6619999999999999</v>
      </c>
      <c r="P383">
        <v>0.99780000000000002</v>
      </c>
      <c r="Q383">
        <v>39.402999999999999</v>
      </c>
      <c r="R383">
        <v>1.3472999999999999</v>
      </c>
      <c r="S383" t="s">
        <v>33</v>
      </c>
      <c r="T383">
        <v>41.3322</v>
      </c>
      <c r="U383">
        <v>20.769500000000001</v>
      </c>
      <c r="V383">
        <v>5060</v>
      </c>
      <c r="W383">
        <v>6899413.1228</v>
      </c>
      <c r="Y383" s="5">
        <v>12.0589</v>
      </c>
      <c r="Z383">
        <v>-0.46150000000000002</v>
      </c>
      <c r="AA383">
        <v>-5.1999999999999998E-3</v>
      </c>
      <c r="AB383">
        <v>8.5280000000000005</v>
      </c>
      <c r="AC383">
        <v>-0.3422</v>
      </c>
      <c r="AD383">
        <v>15.9076</v>
      </c>
      <c r="AE383">
        <v>3.2685</v>
      </c>
      <c r="AF383">
        <v>-0.79369999999999996</v>
      </c>
      <c r="AG383">
        <v>39.5</v>
      </c>
      <c r="AH383">
        <v>276500</v>
      </c>
      <c r="AJ383">
        <v>5.6890999999999998</v>
      </c>
      <c r="AK383">
        <v>11.7906</v>
      </c>
      <c r="AL383">
        <v>0.44269999999999998</v>
      </c>
      <c r="AM383">
        <v>30.104199999999999</v>
      </c>
      <c r="AN383">
        <v>-0.4446</v>
      </c>
      <c r="AO383">
        <v>0</v>
      </c>
      <c r="AP383">
        <v>55.659100000000002</v>
      </c>
      <c r="AQ383">
        <v>43.820099999999996</v>
      </c>
      <c r="AR383">
        <v>8640</v>
      </c>
      <c r="AS383">
        <v>6864439.2450999999</v>
      </c>
      <c r="AU383" s="1">
        <f t="shared" ref="AU383:AU384" si="65">+A383</f>
        <v>46290</v>
      </c>
      <c r="AV383" s="29">
        <f t="shared" ref="AV383:AV384" si="66">+(Y383*AH383+N383*W383+B383*K383+AJ383*AS383)/(K383+W383+AH383)</f>
        <v>5.8857470805194509</v>
      </c>
      <c r="AW383" s="30">
        <f t="shared" ref="AW383:AW384" si="67">+(AV383-$AW$1)/$AX$1</f>
        <v>-0.50937884599065164</v>
      </c>
      <c r="AX383">
        <f t="shared" ref="AX383:AX384" ca="1" si="68">+_xlfn.PERCENTILE.INC(OFFSET(AW383,-52,0,52,1),0.9)</f>
        <v>0.68946393801706218</v>
      </c>
      <c r="AY383">
        <f t="shared" ref="AY383:AY384" ca="1" si="69">+_xlfn.PERCENTILE.INC(OFFSET(AW383,-52,0,52,1),0.75)</f>
        <v>0.16488528177800774</v>
      </c>
      <c r="AZ383">
        <f t="shared" ref="AZ383:AZ384" ca="1" si="70">+_xlfn.PERCENTILE.INC(OFFSET(AW383,-52,0,52,1),0.5)</f>
        <v>2.0396608697967725E-2</v>
      </c>
      <c r="BA383">
        <f t="shared" ref="BA383:BA384" ca="1" si="71">+_xlfn.PERCENTILE.INC(OFFSET(AW383,-52,0,52,1),0.25)</f>
        <v>-0.20894109588609794</v>
      </c>
      <c r="BB383">
        <f t="shared" ref="BB383:BB384" ca="1" si="72">+_xlfn.PERCENTILE.INC(OFFSET(AW383,-52,0,52,1),0.1)</f>
        <v>-0.46922131983313164</v>
      </c>
    </row>
    <row r="384" spans="1:54" x14ac:dyDescent="0.25">
      <c r="A384" s="37">
        <v>46297</v>
      </c>
      <c r="B384" s="5">
        <v>4.4904000000000002</v>
      </c>
      <c r="C384">
        <v>2.2759</v>
      </c>
      <c r="D384">
        <v>0.17199999999999999</v>
      </c>
      <c r="E384">
        <v>45.8688</v>
      </c>
      <c r="F384">
        <v>1.1856</v>
      </c>
      <c r="G384">
        <v>0</v>
      </c>
      <c r="H384">
        <v>34.065399999999997</v>
      </c>
      <c r="I384">
        <v>18.471</v>
      </c>
      <c r="J384">
        <v>8050</v>
      </c>
      <c r="K384">
        <v>31665850.541499998</v>
      </c>
      <c r="M384" s="37">
        <v>46297</v>
      </c>
      <c r="N384" s="5">
        <v>5.7530000000000001</v>
      </c>
      <c r="O384">
        <v>7.6619999999999999</v>
      </c>
      <c r="P384">
        <v>0.28000000000000003</v>
      </c>
      <c r="Q384">
        <v>39.402999999999999</v>
      </c>
      <c r="R384">
        <v>1.3472999999999999</v>
      </c>
      <c r="S384" t="s">
        <v>33</v>
      </c>
      <c r="T384">
        <v>41.3322</v>
      </c>
      <c r="U384">
        <v>20.769500000000001</v>
      </c>
      <c r="V384">
        <v>4972.5</v>
      </c>
      <c r="W384">
        <v>6780105.0895999996</v>
      </c>
      <c r="Y384" s="5">
        <v>11.8927</v>
      </c>
      <c r="Z384">
        <v>-0.46150000000000002</v>
      </c>
      <c r="AA384">
        <v>1.67E-2</v>
      </c>
      <c r="AB384">
        <v>8.5280000000000005</v>
      </c>
      <c r="AC384">
        <v>-0.3422</v>
      </c>
      <c r="AD384">
        <v>15.9076</v>
      </c>
      <c r="AE384">
        <v>3.2685</v>
      </c>
      <c r="AF384">
        <v>-0.79369999999999996</v>
      </c>
      <c r="AG384">
        <v>38.96</v>
      </c>
      <c r="AH384">
        <v>272719.99359999999</v>
      </c>
      <c r="AJ384">
        <v>5.32</v>
      </c>
      <c r="AK384">
        <v>11.7906</v>
      </c>
      <c r="AL384">
        <v>0.27989999999999998</v>
      </c>
      <c r="AM384">
        <v>30.104199999999999</v>
      </c>
      <c r="AN384">
        <v>-0.4446</v>
      </c>
      <c r="AO384">
        <v>0</v>
      </c>
      <c r="AP384">
        <v>55.659100000000002</v>
      </c>
      <c r="AQ384">
        <v>43.820099999999996</v>
      </c>
      <c r="AR384">
        <v>8105</v>
      </c>
      <c r="AS384">
        <v>6439384.2686999999</v>
      </c>
      <c r="AU384" s="1">
        <f t="shared" si="65"/>
        <v>46297</v>
      </c>
      <c r="AV384" s="29">
        <f t="shared" si="66"/>
        <v>5.6484158536113576</v>
      </c>
      <c r="AW384" s="30">
        <f t="shared" si="67"/>
        <v>-0.58297418970130299</v>
      </c>
      <c r="AX384">
        <f t="shared" ca="1" si="68"/>
        <v>0.68946393801706218</v>
      </c>
      <c r="AY384">
        <f t="shared" ca="1" si="69"/>
        <v>0.16488528177800774</v>
      </c>
      <c r="AZ384">
        <f t="shared" ca="1" si="70"/>
        <v>1.1958892350296405E-2</v>
      </c>
      <c r="BA384">
        <f t="shared" ca="1" si="71"/>
        <v>-0.25135065074060858</v>
      </c>
      <c r="BB384">
        <f t="shared" ca="1" si="72"/>
        <v>-0.49229620027772342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83D3C76-EA03-4F9C-8B6E-C1302ACB66E7}">
  <dimension ref="B1:AW1324"/>
  <sheetViews>
    <sheetView showGridLines="0" topLeftCell="W1" zoomScale="85" zoomScaleNormal="85" workbookViewId="0">
      <selection activeCell="AP1" sqref="AP1:AW1048576"/>
    </sheetView>
  </sheetViews>
  <sheetFormatPr defaultColWidth="9.140625" defaultRowHeight="15" x14ac:dyDescent="0.25"/>
  <cols>
    <col min="1" max="1" width="4.42578125" customWidth="1"/>
    <col min="2" max="2" width="10.85546875" bestFit="1" customWidth="1"/>
    <col min="4" max="4" width="13.28515625" bestFit="1" customWidth="1"/>
    <col min="7" max="7" width="13.140625" bestFit="1" customWidth="1"/>
    <col min="8" max="8" width="3.42578125" customWidth="1"/>
    <col min="9" max="9" width="14.140625" style="5" bestFit="1" customWidth="1"/>
    <col min="10" max="10" width="13.42578125" bestFit="1" customWidth="1"/>
    <col min="11" max="12" width="15.140625" customWidth="1"/>
    <col min="13" max="13" width="15.140625" style="6" customWidth="1"/>
    <col min="14" max="14" width="3.28515625" customWidth="1"/>
    <col min="15" max="15" width="8.28515625" style="11" customWidth="1"/>
    <col min="16" max="16" width="2.85546875" customWidth="1"/>
    <col min="17" max="17" width="8.7109375" style="5"/>
    <col min="18" max="18" width="8.7109375" style="6"/>
    <col min="19" max="19" width="4.5703125" customWidth="1"/>
    <col min="20" max="20" width="15.140625" style="11" bestFit="1" customWidth="1"/>
    <col min="21" max="21" width="2.85546875" customWidth="1"/>
    <col min="22" max="22" width="15" style="5" customWidth="1"/>
    <col min="23" max="26" width="15" customWidth="1"/>
    <col min="27" max="27" width="15" style="6" hidden="1" customWidth="1"/>
    <col min="28" max="28" width="3.42578125" customWidth="1"/>
    <col min="29" max="29" width="12.85546875" bestFit="1" customWidth="1"/>
    <col min="30" max="30" width="5.140625" customWidth="1"/>
    <col min="34" max="34" width="11" bestFit="1" customWidth="1"/>
    <col min="42" max="42" width="11" style="38" bestFit="1" customWidth="1"/>
    <col min="43" max="49" width="9.140625" style="38"/>
  </cols>
  <sheetData>
    <row r="1" spans="2:48" x14ac:dyDescent="0.25">
      <c r="I1"/>
      <c r="M1"/>
      <c r="O1"/>
      <c r="Q1"/>
      <c r="R1"/>
      <c r="T1"/>
      <c r="V1"/>
      <c r="AA1"/>
    </row>
    <row r="2" spans="2:48" x14ac:dyDescent="0.25">
      <c r="B2" s="17" t="s">
        <v>5</v>
      </c>
      <c r="C2" s="18">
        <v>38718</v>
      </c>
      <c r="I2"/>
      <c r="M2"/>
      <c r="O2"/>
      <c r="Q2"/>
      <c r="R2"/>
      <c r="T2"/>
      <c r="V2"/>
      <c r="W2" s="1"/>
      <c r="AA2"/>
    </row>
    <row r="3" spans="2:48" x14ac:dyDescent="0.25">
      <c r="B3" s="19" t="s">
        <v>4</v>
      </c>
      <c r="C3" s="20"/>
      <c r="I3"/>
      <c r="M3"/>
      <c r="O3"/>
      <c r="Q3"/>
      <c r="R3"/>
      <c r="T3"/>
      <c r="V3"/>
      <c r="AA3"/>
    </row>
    <row r="4" spans="2:48" x14ac:dyDescent="0.25">
      <c r="I4" s="34" t="s">
        <v>9</v>
      </c>
      <c r="J4" s="35"/>
      <c r="K4" s="35"/>
      <c r="L4" s="35"/>
      <c r="M4" s="36"/>
      <c r="O4" s="12" t="s">
        <v>10</v>
      </c>
      <c r="Q4" s="31" t="s">
        <v>8</v>
      </c>
      <c r="R4" s="33"/>
      <c r="T4" s="21" t="s">
        <v>40</v>
      </c>
      <c r="V4" s="31" t="s">
        <v>7</v>
      </c>
      <c r="W4" s="32"/>
      <c r="X4" s="32"/>
      <c r="Y4" s="32"/>
      <c r="Z4" s="32"/>
      <c r="AA4" s="33"/>
      <c r="AB4" s="4"/>
      <c r="AC4" s="21" t="s">
        <v>12</v>
      </c>
      <c r="AD4" s="22"/>
      <c r="AE4" s="25" t="s">
        <v>11</v>
      </c>
      <c r="AF4" s="25"/>
      <c r="AH4" s="31" t="s">
        <v>22</v>
      </c>
      <c r="AI4" s="32"/>
      <c r="AJ4" s="32"/>
      <c r="AK4" s="32"/>
      <c r="AL4" s="32"/>
      <c r="AM4" s="32"/>
      <c r="AN4" s="32"/>
      <c r="AP4" s="39"/>
      <c r="AQ4" s="39"/>
      <c r="AR4" s="39"/>
      <c r="AS4" s="39"/>
      <c r="AT4" s="39"/>
      <c r="AU4" s="39"/>
      <c r="AV4" s="39"/>
    </row>
    <row r="5" spans="2:48" x14ac:dyDescent="0.25">
      <c r="B5" s="3" t="s">
        <v>3</v>
      </c>
      <c r="C5" s="3" t="s">
        <v>37</v>
      </c>
      <c r="D5" s="3" t="s">
        <v>38</v>
      </c>
      <c r="E5" s="3" t="s">
        <v>39</v>
      </c>
      <c r="F5" s="3"/>
      <c r="G5" s="3" t="s">
        <v>2</v>
      </c>
      <c r="I5" s="7" t="str">
        <f>+C5</f>
        <v>ALUA AR Equity</v>
      </c>
      <c r="J5" s="3" t="str">
        <f>+D5</f>
        <v>TXAR AR Equity</v>
      </c>
      <c r="K5" s="3" t="str">
        <f>+E5</f>
        <v>LOMA AR Equity</v>
      </c>
      <c r="L5" s="3">
        <f>+F5</f>
        <v>0</v>
      </c>
      <c r="M5" s="8" t="str">
        <f>+G5</f>
        <v>MERVAL Index</v>
      </c>
      <c r="N5" s="3"/>
      <c r="Q5" s="7" t="s">
        <v>1</v>
      </c>
      <c r="R5" s="8" t="s">
        <v>0</v>
      </c>
      <c r="V5" s="7" t="s">
        <v>3</v>
      </c>
      <c r="W5" s="3" t="str">
        <f>+I5</f>
        <v>ALUA AR Equity</v>
      </c>
      <c r="X5" s="3" t="str">
        <f t="shared" ref="X5" si="0">+J5</f>
        <v>TXAR AR Equity</v>
      </c>
      <c r="Y5" s="3" t="str">
        <f>+K5</f>
        <v>LOMA AR Equity</v>
      </c>
      <c r="Z5" s="3">
        <f>+L5</f>
        <v>0</v>
      </c>
      <c r="AA5" s="8"/>
      <c r="AB5" s="3"/>
      <c r="AC5" s="23"/>
      <c r="AE5" s="7" t="s">
        <v>1</v>
      </c>
      <c r="AF5" s="8" t="s">
        <v>0</v>
      </c>
      <c r="AH5" t="s">
        <v>6</v>
      </c>
      <c r="AI5" t="s">
        <v>13</v>
      </c>
      <c r="AJ5" t="s">
        <v>14</v>
      </c>
      <c r="AK5" t="s">
        <v>15</v>
      </c>
      <c r="AL5" t="s">
        <v>16</v>
      </c>
      <c r="AM5" t="s">
        <v>17</v>
      </c>
      <c r="AN5" t="s">
        <v>18</v>
      </c>
    </row>
    <row r="6" spans="2:48" x14ac:dyDescent="0.25">
      <c r="B6" s="1">
        <f>_xll.BDH(C$5,"PX_LAST",$C2,$C3,"Dir=V","Per=W","Days=A","Dts=S","cols=2;rows=1083")</f>
        <v>38723</v>
      </c>
      <c r="C6">
        <v>1.069</v>
      </c>
      <c r="D6">
        <f>_xll.BDH(D$5,"PX_LAST",$C2,$C3,"Dir=V","Per=W","Days=A","Dts=H","cols=1;rows=1083")</f>
        <v>0.88800000000000001</v>
      </c>
      <c r="E6" t="str">
        <f>_xll.BDH(E$5,"PX_LAST",$C2,$C3,"Dir=V","Per=W","Days=A","Dts=H","cols=1;rows=1083")</f>
        <v>#N/A N/A</v>
      </c>
      <c r="G6">
        <f>_xll.BDH(G$5,"PX_LAST",$C2,$C3,"Dir=V","Per=W","Days=A","Dts=H","cols=1;rows=1083")</f>
        <v>1616.29</v>
      </c>
      <c r="Q6" s="5">
        <v>100</v>
      </c>
      <c r="R6" s="6">
        <v>100</v>
      </c>
      <c r="T6" s="11">
        <f t="shared" ref="T6:T69" si="1">+Q6/R6</f>
        <v>1</v>
      </c>
      <c r="V6" s="9">
        <f>_xll.BDH(W$5,"CUR_MKT_CAP",$C2,$C3,"Dir=V","Per=W","Days=A","Dts=S","cols=2;rows=1083")</f>
        <v>38723</v>
      </c>
      <c r="W6">
        <v>4554</v>
      </c>
      <c r="X6">
        <f>_xll.BDH(X$5,"CUR_MKT_CAP",$C2,$C3,"Dir=V","Per=W","Days=A","Dts=H","cols=1;rows=1083")</f>
        <v>9381.6628000000001</v>
      </c>
      <c r="Y6" t="str">
        <f>_xll.BDH(Y$5,"CUR_MKT_CAP",$C2,$C3,"Dir=V","Per=W","Days=A","Dts=H","cols=1;rows=1083")</f>
        <v>#N/A N/A</v>
      </c>
      <c r="AC6" s="11"/>
      <c r="AE6" s="5">
        <v>100</v>
      </c>
      <c r="AF6" s="6">
        <v>100</v>
      </c>
      <c r="AH6" s="1">
        <f t="shared" ref="AH6:AH69" si="2">+B6</f>
        <v>38723</v>
      </c>
      <c r="AI6">
        <f>+(AE6/$AE$6)/(AF6/$AF$6)</f>
        <v>1</v>
      </c>
      <c r="AP6" s="40"/>
      <c r="AQ6" s="41"/>
    </row>
    <row r="7" spans="2:48" x14ac:dyDescent="0.25">
      <c r="B7" s="1">
        <v>38730</v>
      </c>
      <c r="C7">
        <v>1.0660000000000001</v>
      </c>
      <c r="D7" s="2">
        <v>0.95399999999999996</v>
      </c>
      <c r="E7" t="s">
        <v>33</v>
      </c>
      <c r="G7">
        <v>1645.24</v>
      </c>
      <c r="I7" s="14">
        <f t="shared" ref="I7:I70" si="3">+C7/C6-1</f>
        <v>-2.8063610851262188E-3</v>
      </c>
      <c r="J7" s="15">
        <f t="shared" ref="J7:J70" si="4">+D7/D6-1</f>
        <v>7.4324324324324342E-2</v>
      </c>
      <c r="K7" s="15"/>
      <c r="L7" s="15"/>
      <c r="M7" s="16">
        <f t="shared" ref="M7:M70" si="5">+G7/G6-1</f>
        <v>1.7911389663983535E-2</v>
      </c>
      <c r="O7" s="13">
        <f>+AVERAGE(I7:J7)</f>
        <v>3.5758981619599062E-2</v>
      </c>
      <c r="Q7" s="5">
        <f>+Q6*(1+O7)</f>
        <v>103.57589816195991</v>
      </c>
      <c r="R7" s="6">
        <f>+R6*(1+M7)</f>
        <v>101.79113896639835</v>
      </c>
      <c r="T7" s="11">
        <f t="shared" si="1"/>
        <v>1.0175335418552565</v>
      </c>
      <c r="V7" s="9">
        <v>38730</v>
      </c>
      <c r="W7">
        <v>4540.8</v>
      </c>
      <c r="X7" s="10">
        <v>10076.6008</v>
      </c>
      <c r="Y7" s="10" t="s">
        <v>33</v>
      </c>
      <c r="AC7" s="24">
        <f>+SUMPRODUCT(I7:L7,W6:Z6)/SUM(W6:AA6)</f>
        <v>4.9118982720146184E-2</v>
      </c>
      <c r="AE7" s="5">
        <f>+AE6*(1+AC7)</f>
        <v>104.91189827201461</v>
      </c>
      <c r="AF7" s="6">
        <f>+AF6*(1+M7)</f>
        <v>101.79113896639835</v>
      </c>
      <c r="AH7" s="1">
        <f t="shared" si="2"/>
        <v>38730</v>
      </c>
      <c r="AI7">
        <f t="shared" ref="AI7:AI70" si="6">+(AE7/$AE$6)/(AF7/$AF$6)</f>
        <v>1.0306584574777813</v>
      </c>
      <c r="AP7" s="40"/>
      <c r="AQ7" s="41"/>
    </row>
    <row r="8" spans="2:48" x14ac:dyDescent="0.25">
      <c r="B8" s="1">
        <v>38737</v>
      </c>
      <c r="C8">
        <v>1.0780000000000001</v>
      </c>
      <c r="D8">
        <v>0.95199999999999996</v>
      </c>
      <c r="E8" t="s">
        <v>33</v>
      </c>
      <c r="G8">
        <v>1701.88</v>
      </c>
      <c r="I8" s="14">
        <f t="shared" si="3"/>
        <v>1.1257035647279645E-2</v>
      </c>
      <c r="J8" s="15">
        <f t="shared" si="4"/>
        <v>-2.0964360587002462E-3</v>
      </c>
      <c r="K8" s="15"/>
      <c r="L8" s="15"/>
      <c r="M8" s="16">
        <f t="shared" si="5"/>
        <v>3.442658821813227E-2</v>
      </c>
      <c r="O8" s="13">
        <f t="shared" ref="O8:O71" si="7">+AVERAGE(I8:J8)</f>
        <v>4.5802997942896995E-3</v>
      </c>
      <c r="Q8" s="5">
        <f t="shared" ref="Q8:Q71" si="8">+Q7*(1+O8)</f>
        <v>104.0503068270045</v>
      </c>
      <c r="R8" s="6">
        <f t="shared" ref="R8:R71" si="9">+R7*(1+M8)</f>
        <v>105.29546059184922</v>
      </c>
      <c r="T8" s="11">
        <f t="shared" si="1"/>
        <v>0.98817466814005184</v>
      </c>
      <c r="V8" s="9">
        <v>38737</v>
      </c>
      <c r="W8">
        <v>4593.6000000000004</v>
      </c>
      <c r="X8">
        <v>10059.2274</v>
      </c>
      <c r="Y8" t="s">
        <v>33</v>
      </c>
      <c r="AC8" s="24">
        <f t="shared" ref="AC8:AC71" si="10">+SUMPRODUCT(I8:L8,W7:Z7)/SUM(W7:AA7)</f>
        <v>2.051732630942135E-3</v>
      </c>
      <c r="AE8" s="5">
        <f t="shared" ref="AE8:AE71" si="11">+AE7*(1+AC8)</f>
        <v>105.12714943707338</v>
      </c>
      <c r="AF8" s="6">
        <f t="shared" ref="AF8:AF71" si="12">+AF7*(1+M8)</f>
        <v>105.29546059184922</v>
      </c>
      <c r="AH8" s="1">
        <f t="shared" si="2"/>
        <v>38737</v>
      </c>
      <c r="AI8">
        <f t="shared" si="6"/>
        <v>0.99840153455970659</v>
      </c>
      <c r="AP8" s="40"/>
      <c r="AQ8" s="41"/>
    </row>
    <row r="9" spans="2:48" x14ac:dyDescent="0.25">
      <c r="B9" s="1">
        <v>38744</v>
      </c>
      <c r="C9">
        <v>1.0840000000000001</v>
      </c>
      <c r="D9">
        <v>0.99099999999999999</v>
      </c>
      <c r="E9" t="s">
        <v>33</v>
      </c>
      <c r="G9">
        <v>1739.83</v>
      </c>
      <c r="I9" s="14">
        <f t="shared" si="3"/>
        <v>5.5658627087198376E-3</v>
      </c>
      <c r="J9" s="15">
        <f t="shared" si="4"/>
        <v>4.0966386554621925E-2</v>
      </c>
      <c r="K9" s="15"/>
      <c r="L9" s="15"/>
      <c r="M9" s="16">
        <f t="shared" si="5"/>
        <v>2.2298869485509965E-2</v>
      </c>
      <c r="O9" s="13">
        <f t="shared" si="7"/>
        <v>2.3266124631670881E-2</v>
      </c>
      <c r="Q9" s="5">
        <f t="shared" si="8"/>
        <v>106.47115423360518</v>
      </c>
      <c r="R9" s="6">
        <f t="shared" si="9"/>
        <v>107.64343032500352</v>
      </c>
      <c r="T9" s="11">
        <f t="shared" si="1"/>
        <v>0.98910963643708738</v>
      </c>
      <c r="V9" s="9">
        <v>38744</v>
      </c>
      <c r="W9">
        <v>4620</v>
      </c>
      <c r="X9">
        <v>10476.190199999999</v>
      </c>
      <c r="Y9" t="s">
        <v>33</v>
      </c>
      <c r="AC9" s="24">
        <f t="shared" si="10"/>
        <v>2.9868470643967315E-2</v>
      </c>
      <c r="AE9" s="5">
        <f t="shared" si="11"/>
        <v>108.26713661391858</v>
      </c>
      <c r="AF9" s="6">
        <f t="shared" si="12"/>
        <v>107.64343032500352</v>
      </c>
      <c r="AH9" s="1">
        <f t="shared" si="2"/>
        <v>38744</v>
      </c>
      <c r="AI9">
        <f t="shared" si="6"/>
        <v>1.0057941881546504</v>
      </c>
      <c r="AP9" s="40"/>
      <c r="AQ9" s="41"/>
    </row>
    <row r="10" spans="2:48" x14ac:dyDescent="0.25">
      <c r="B10" s="1">
        <v>38751</v>
      </c>
      <c r="C10">
        <v>1.075</v>
      </c>
      <c r="D10">
        <v>0.92400000000000004</v>
      </c>
      <c r="E10" t="s">
        <v>33</v>
      </c>
      <c r="G10">
        <v>1703.33</v>
      </c>
      <c r="I10" s="14">
        <f t="shared" si="3"/>
        <v>-8.3025830258303124E-3</v>
      </c>
      <c r="J10" s="15">
        <f t="shared" si="4"/>
        <v>-6.7608476286579178E-2</v>
      </c>
      <c r="K10" s="15"/>
      <c r="L10" s="15"/>
      <c r="M10" s="16">
        <f t="shared" si="5"/>
        <v>-2.0979061172643254E-2</v>
      </c>
      <c r="O10" s="13">
        <f t="shared" si="7"/>
        <v>-3.7955529656204745E-2</v>
      </c>
      <c r="Q10" s="5">
        <f t="shared" si="8"/>
        <v>102.42998518156122</v>
      </c>
      <c r="R10" s="6">
        <f t="shared" si="9"/>
        <v>105.38517221538211</v>
      </c>
      <c r="T10" s="11">
        <f t="shared" si="1"/>
        <v>0.97195822740811022</v>
      </c>
      <c r="V10" s="9">
        <v>38751</v>
      </c>
      <c r="W10">
        <v>4580.3999999999996</v>
      </c>
      <c r="X10">
        <v>9763.8786999999993</v>
      </c>
      <c r="Y10" t="s">
        <v>33</v>
      </c>
      <c r="AC10" s="24">
        <f t="shared" si="10"/>
        <v>-4.9458650189087398E-2</v>
      </c>
      <c r="AE10" s="5">
        <f t="shared" si="11"/>
        <v>102.91239017715665</v>
      </c>
      <c r="AF10" s="6">
        <f t="shared" si="12"/>
        <v>105.38517221538211</v>
      </c>
      <c r="AH10" s="1">
        <f t="shared" si="2"/>
        <v>38751</v>
      </c>
      <c r="AI10">
        <f t="shared" si="6"/>
        <v>0.97653576887295235</v>
      </c>
      <c r="AP10" s="40"/>
      <c r="AQ10" s="41"/>
    </row>
    <row r="11" spans="2:48" x14ac:dyDescent="0.25">
      <c r="B11" s="1">
        <v>38758</v>
      </c>
      <c r="C11">
        <v>1.0720000000000001</v>
      </c>
      <c r="D11">
        <v>0.871</v>
      </c>
      <c r="E11" t="s">
        <v>33</v>
      </c>
      <c r="G11">
        <v>1695.48</v>
      </c>
      <c r="I11" s="14">
        <f t="shared" si="3"/>
        <v>-2.7906976744185297E-3</v>
      </c>
      <c r="J11" s="15">
        <f t="shared" si="4"/>
        <v>-5.7359307359307388E-2</v>
      </c>
      <c r="K11" s="15"/>
      <c r="L11" s="15"/>
      <c r="M11" s="16">
        <f t="shared" si="5"/>
        <v>-4.608619586339624E-3</v>
      </c>
      <c r="O11" s="13">
        <f t="shared" si="7"/>
        <v>-3.0075002516862959E-2</v>
      </c>
      <c r="Q11" s="5">
        <f t="shared" si="8"/>
        <v>99.349403119423528</v>
      </c>
      <c r="R11" s="6">
        <f t="shared" si="9"/>
        <v>104.89949204660053</v>
      </c>
      <c r="T11" s="11">
        <f t="shared" si="1"/>
        <v>0.94709136508772196</v>
      </c>
      <c r="V11" s="9">
        <v>38758</v>
      </c>
      <c r="W11">
        <v>4567.2</v>
      </c>
      <c r="X11">
        <v>9207.9282999999996</v>
      </c>
      <c r="Y11" t="s">
        <v>33</v>
      </c>
      <c r="AC11" s="24">
        <f t="shared" si="10"/>
        <v>-3.993451626119069E-2</v>
      </c>
      <c r="AE11" s="5">
        <f t="shared" si="11"/>
        <v>98.802633658148991</v>
      </c>
      <c r="AF11" s="6">
        <f t="shared" si="12"/>
        <v>104.89949204660053</v>
      </c>
      <c r="AH11" s="1">
        <f t="shared" si="2"/>
        <v>38758</v>
      </c>
      <c r="AI11">
        <f t="shared" si="6"/>
        <v>0.94187904755779883</v>
      </c>
      <c r="AP11" s="40"/>
      <c r="AQ11" s="41"/>
    </row>
    <row r="12" spans="2:48" x14ac:dyDescent="0.25">
      <c r="B12" s="1">
        <v>38765</v>
      </c>
      <c r="C12">
        <v>1.0620000000000001</v>
      </c>
      <c r="D12">
        <v>0.89800000000000002</v>
      </c>
      <c r="E12" t="s">
        <v>33</v>
      </c>
      <c r="G12">
        <v>1699.49</v>
      </c>
      <c r="I12" s="14">
        <f t="shared" si="3"/>
        <v>-9.3283582089552786E-3</v>
      </c>
      <c r="J12" s="15">
        <f t="shared" si="4"/>
        <v>3.0998851894374235E-2</v>
      </c>
      <c r="K12" s="15"/>
      <c r="L12" s="15"/>
      <c r="M12" s="16">
        <f t="shared" si="5"/>
        <v>2.3651119447001268E-3</v>
      </c>
      <c r="O12" s="13">
        <f t="shared" si="7"/>
        <v>1.0835246842709478E-2</v>
      </c>
      <c r="Q12" s="5">
        <f t="shared" si="8"/>
        <v>100.42587842589833</v>
      </c>
      <c r="R12" s="6">
        <f t="shared" si="9"/>
        <v>105.14759108823291</v>
      </c>
      <c r="T12" s="11">
        <f t="shared" si="1"/>
        <v>0.95509442856971938</v>
      </c>
      <c r="V12" s="9">
        <v>38765</v>
      </c>
      <c r="W12">
        <v>4527.6000000000004</v>
      </c>
      <c r="X12">
        <v>9485.9035000000003</v>
      </c>
      <c r="Y12" t="s">
        <v>33</v>
      </c>
      <c r="AC12" s="24">
        <f t="shared" si="10"/>
        <v>1.7628200821459977E-2</v>
      </c>
      <c r="AE12" s="5">
        <f t="shared" si="11"/>
        <v>100.54434632596397</v>
      </c>
      <c r="AF12" s="6">
        <f t="shared" si="12"/>
        <v>105.14759108823291</v>
      </c>
      <c r="AH12" s="1">
        <f t="shared" si="2"/>
        <v>38765</v>
      </c>
      <c r="AI12">
        <f t="shared" si="6"/>
        <v>0.95622111058724868</v>
      </c>
      <c r="AP12" s="40"/>
      <c r="AQ12" s="41"/>
    </row>
    <row r="13" spans="2:48" x14ac:dyDescent="0.25">
      <c r="B13" s="1">
        <v>38772</v>
      </c>
      <c r="C13">
        <v>1.05</v>
      </c>
      <c r="D13">
        <v>0.88300000000000001</v>
      </c>
      <c r="E13" t="s">
        <v>33</v>
      </c>
      <c r="G13">
        <v>1726.65</v>
      </c>
      <c r="I13" s="14">
        <f t="shared" si="3"/>
        <v>-1.1299435028248594E-2</v>
      </c>
      <c r="J13" s="15">
        <f t="shared" si="4"/>
        <v>-1.6703786191536785E-2</v>
      </c>
      <c r="K13" s="15"/>
      <c r="L13" s="15"/>
      <c r="M13" s="16">
        <f t="shared" si="5"/>
        <v>1.5981264967725561E-2</v>
      </c>
      <c r="O13" s="13">
        <f t="shared" si="7"/>
        <v>-1.400161060989269E-2</v>
      </c>
      <c r="Q13" s="5">
        <f t="shared" si="8"/>
        <v>99.01975438102248</v>
      </c>
      <c r="R13" s="6">
        <f t="shared" si="9"/>
        <v>106.82798260213202</v>
      </c>
      <c r="T13" s="11">
        <f t="shared" si="1"/>
        <v>0.92690839955117044</v>
      </c>
      <c r="V13" s="9">
        <v>38772</v>
      </c>
      <c r="W13">
        <v>4474.8</v>
      </c>
      <c r="X13">
        <v>9329.5424999999996</v>
      </c>
      <c r="Y13" t="s">
        <v>33</v>
      </c>
      <c r="AC13" s="24">
        <f t="shared" si="10"/>
        <v>-1.495770318474954E-2</v>
      </c>
      <c r="AE13" s="5">
        <f t="shared" si="11"/>
        <v>99.040433836715536</v>
      </c>
      <c r="AF13" s="6">
        <f t="shared" si="12"/>
        <v>106.82798260213202</v>
      </c>
      <c r="AH13" s="1">
        <f t="shared" si="2"/>
        <v>38772</v>
      </c>
      <c r="AI13">
        <f t="shared" si="6"/>
        <v>0.92710197669443717</v>
      </c>
      <c r="AP13" s="40"/>
      <c r="AQ13" s="41"/>
    </row>
    <row r="14" spans="2:48" x14ac:dyDescent="0.25">
      <c r="B14" s="1">
        <v>38779</v>
      </c>
      <c r="C14">
        <v>1.044</v>
      </c>
      <c r="D14">
        <v>0.91700000000000004</v>
      </c>
      <c r="E14" t="s">
        <v>33</v>
      </c>
      <c r="G14">
        <v>1823.56</v>
      </c>
      <c r="I14" s="14">
        <f t="shared" si="3"/>
        <v>-5.7142857142856718E-3</v>
      </c>
      <c r="J14" s="15">
        <f t="shared" si="4"/>
        <v>3.8505096262740679E-2</v>
      </c>
      <c r="K14" s="15"/>
      <c r="L14" s="15"/>
      <c r="M14" s="16">
        <f t="shared" si="5"/>
        <v>5.6126024382474604E-2</v>
      </c>
      <c r="O14" s="13">
        <f t="shared" si="7"/>
        <v>1.6395405274227504E-2</v>
      </c>
      <c r="Q14" s="5">
        <f t="shared" si="8"/>
        <v>100.6432233842538</v>
      </c>
      <c r="R14" s="6">
        <f t="shared" si="9"/>
        <v>112.82381255838986</v>
      </c>
      <c r="T14" s="11">
        <f t="shared" si="1"/>
        <v>0.89203884447857829</v>
      </c>
      <c r="V14" s="9">
        <v>38779</v>
      </c>
      <c r="W14">
        <v>4448.3999999999996</v>
      </c>
      <c r="X14">
        <v>9694.3848999999991</v>
      </c>
      <c r="Y14" t="s">
        <v>33</v>
      </c>
      <c r="AC14" s="24">
        <f t="shared" si="10"/>
        <v>2.4170991580044092E-2</v>
      </c>
      <c r="AE14" s="5">
        <f t="shared" si="11"/>
        <v>101.4343393290667</v>
      </c>
      <c r="AF14" s="6">
        <f t="shared" si="12"/>
        <v>112.82381255838986</v>
      </c>
      <c r="AH14" s="1">
        <f t="shared" si="2"/>
        <v>38779</v>
      </c>
      <c r="AI14">
        <f t="shared" si="6"/>
        <v>0.89905080345136568</v>
      </c>
      <c r="AP14" s="40"/>
      <c r="AQ14" s="41"/>
    </row>
    <row r="15" spans="2:48" x14ac:dyDescent="0.25">
      <c r="B15" s="1">
        <v>38786</v>
      </c>
      <c r="C15">
        <v>0.99099999999999999</v>
      </c>
      <c r="D15">
        <v>0.85499999999999998</v>
      </c>
      <c r="E15" t="s">
        <v>33</v>
      </c>
      <c r="G15">
        <v>1762.56</v>
      </c>
      <c r="I15" s="14">
        <f t="shared" si="3"/>
        <v>-5.076628352490431E-2</v>
      </c>
      <c r="J15" s="15">
        <f t="shared" si="4"/>
        <v>-6.7611777535441675E-2</v>
      </c>
      <c r="K15" s="15"/>
      <c r="L15" s="15"/>
      <c r="M15" s="16">
        <f t="shared" si="5"/>
        <v>-3.3451051788808694E-2</v>
      </c>
      <c r="O15" s="13">
        <f t="shared" si="7"/>
        <v>-5.9189030530172992E-2</v>
      </c>
      <c r="Q15" s="5">
        <f t="shared" si="8"/>
        <v>94.686248562708187</v>
      </c>
      <c r="R15" s="6">
        <f t="shared" si="9"/>
        <v>109.04973736148831</v>
      </c>
      <c r="T15" s="11">
        <f t="shared" si="1"/>
        <v>0.86828497577058183</v>
      </c>
      <c r="V15" s="9">
        <v>38786</v>
      </c>
      <c r="W15">
        <v>4224</v>
      </c>
      <c r="X15">
        <v>9034.1937999999991</v>
      </c>
      <c r="Y15" t="s">
        <v>33</v>
      </c>
      <c r="AC15" s="24">
        <f t="shared" si="10"/>
        <v>-6.2313281087512641E-2</v>
      </c>
      <c r="AE15" s="5">
        <f t="shared" si="11"/>
        <v>95.113632830528431</v>
      </c>
      <c r="AF15" s="6">
        <f t="shared" si="12"/>
        <v>109.04973736148831</v>
      </c>
      <c r="AH15" s="1">
        <f t="shared" si="2"/>
        <v>38786</v>
      </c>
      <c r="AI15">
        <f t="shared" si="6"/>
        <v>0.87220414401583402</v>
      </c>
      <c r="AP15" s="40"/>
      <c r="AQ15" s="41"/>
    </row>
    <row r="16" spans="2:48" x14ac:dyDescent="0.25">
      <c r="B16" s="1">
        <v>38793</v>
      </c>
      <c r="C16">
        <v>1.05</v>
      </c>
      <c r="D16">
        <v>0.87</v>
      </c>
      <c r="E16" t="s">
        <v>33</v>
      </c>
      <c r="G16">
        <v>1810.63</v>
      </c>
      <c r="I16" s="14">
        <f t="shared" si="3"/>
        <v>5.953582240161448E-2</v>
      </c>
      <c r="J16" s="15">
        <f t="shared" si="4"/>
        <v>1.7543859649122862E-2</v>
      </c>
      <c r="K16" s="15"/>
      <c r="L16" s="15"/>
      <c r="M16" s="16">
        <f t="shared" si="5"/>
        <v>2.7272830428467731E-2</v>
      </c>
      <c r="O16" s="13">
        <f t="shared" si="7"/>
        <v>3.8539841025368671E-2</v>
      </c>
      <c r="Q16" s="5">
        <f t="shared" si="8"/>
        <v>98.335441529603486</v>
      </c>
      <c r="R16" s="6">
        <f t="shared" si="9"/>
        <v>112.02383235681712</v>
      </c>
      <c r="T16" s="11">
        <f t="shared" si="1"/>
        <v>0.87780822581025864</v>
      </c>
      <c r="V16" s="9">
        <v>38793</v>
      </c>
      <c r="W16">
        <v>4474.8</v>
      </c>
      <c r="X16">
        <v>9190.5548999999992</v>
      </c>
      <c r="Y16" t="s">
        <v>33</v>
      </c>
      <c r="AC16" s="24">
        <f t="shared" si="10"/>
        <v>3.0922307222164415E-2</v>
      </c>
      <c r="AE16" s="5">
        <f t="shared" si="11"/>
        <v>98.054765805930188</v>
      </c>
      <c r="AF16" s="6">
        <f t="shared" si="12"/>
        <v>112.02383235681712</v>
      </c>
      <c r="AH16" s="1">
        <f t="shared" si="2"/>
        <v>38793</v>
      </c>
      <c r="AI16">
        <f t="shared" si="6"/>
        <v>0.87530272570578727</v>
      </c>
      <c r="AP16" s="40"/>
      <c r="AQ16" s="41"/>
    </row>
    <row r="17" spans="2:43" x14ac:dyDescent="0.25">
      <c r="B17" s="1">
        <v>38800</v>
      </c>
      <c r="C17">
        <v>1.022</v>
      </c>
      <c r="D17">
        <v>0.85499999999999998</v>
      </c>
      <c r="E17" t="s">
        <v>33</v>
      </c>
      <c r="G17">
        <v>1794.12</v>
      </c>
      <c r="I17" s="14">
        <f t="shared" si="3"/>
        <v>-2.6666666666666727E-2</v>
      </c>
      <c r="J17" s="15">
        <f t="shared" si="4"/>
        <v>-1.7241379310344862E-2</v>
      </c>
      <c r="K17" s="15"/>
      <c r="L17" s="15"/>
      <c r="M17" s="16">
        <f t="shared" si="5"/>
        <v>-9.1183731629324027E-3</v>
      </c>
      <c r="O17" s="13">
        <f t="shared" si="7"/>
        <v>-2.1954022988505795E-2</v>
      </c>
      <c r="Q17" s="5">
        <f t="shared" si="8"/>
        <v>96.176582985677697</v>
      </c>
      <c r="R17" s="6">
        <f t="shared" si="9"/>
        <v>111.00235725024588</v>
      </c>
      <c r="T17" s="11">
        <f t="shared" si="1"/>
        <v>0.86643730248768802</v>
      </c>
      <c r="V17" s="9">
        <v>38800</v>
      </c>
      <c r="W17">
        <v>4356</v>
      </c>
      <c r="X17">
        <v>9034.1937999999991</v>
      </c>
      <c r="Y17" t="s">
        <v>33</v>
      </c>
      <c r="AC17" s="24">
        <f t="shared" si="10"/>
        <v>-2.0327744514227645E-2</v>
      </c>
      <c r="AE17" s="5">
        <f t="shared" si="11"/>
        <v>96.061533578224811</v>
      </c>
      <c r="AF17" s="6">
        <f t="shared" si="12"/>
        <v>111.00235725024588</v>
      </c>
      <c r="AH17" s="1">
        <f t="shared" si="2"/>
        <v>38800</v>
      </c>
      <c r="AI17">
        <f t="shared" si="6"/>
        <v>0.86540084335021661</v>
      </c>
      <c r="AP17" s="40"/>
      <c r="AQ17" s="41"/>
    </row>
    <row r="18" spans="2:43" x14ac:dyDescent="0.25">
      <c r="B18" s="1">
        <v>38807</v>
      </c>
      <c r="C18">
        <v>1.01</v>
      </c>
      <c r="D18">
        <v>0.88300000000000001</v>
      </c>
      <c r="E18" t="s">
        <v>33</v>
      </c>
      <c r="G18">
        <v>1800.58</v>
      </c>
      <c r="I18" s="14">
        <f t="shared" si="3"/>
        <v>-1.1741682974559686E-2</v>
      </c>
      <c r="J18" s="15">
        <f t="shared" si="4"/>
        <v>3.274853801169586E-2</v>
      </c>
      <c r="K18" s="15"/>
      <c r="L18" s="15"/>
      <c r="M18" s="16">
        <f t="shared" si="5"/>
        <v>3.6006510155397464E-3</v>
      </c>
      <c r="O18" s="13">
        <f t="shared" si="7"/>
        <v>1.0503427518568087E-2</v>
      </c>
      <c r="Q18" s="5">
        <f t="shared" si="8"/>
        <v>97.186766754051305</v>
      </c>
      <c r="R18" s="6">
        <f t="shared" si="9"/>
        <v>111.40203800060628</v>
      </c>
      <c r="T18" s="11">
        <f t="shared" si="1"/>
        <v>0.87239666794536008</v>
      </c>
      <c r="V18" s="9">
        <v>38807</v>
      </c>
      <c r="W18">
        <v>4303.2</v>
      </c>
      <c r="X18">
        <v>9329.5424999999996</v>
      </c>
      <c r="Y18" t="s">
        <v>33</v>
      </c>
      <c r="AC18" s="24">
        <f t="shared" si="10"/>
        <v>1.8275304426672679E-2</v>
      </c>
      <c r="AE18" s="5">
        <f t="shared" si="11"/>
        <v>97.8170873480599</v>
      </c>
      <c r="AF18" s="6">
        <f t="shared" si="12"/>
        <v>111.40203800060628</v>
      </c>
      <c r="AH18" s="1">
        <f t="shared" si="2"/>
        <v>38807</v>
      </c>
      <c r="AI18">
        <f t="shared" si="6"/>
        <v>0.87805473852756211</v>
      </c>
      <c r="AP18" s="40"/>
      <c r="AQ18" s="41"/>
    </row>
    <row r="19" spans="2:43" x14ac:dyDescent="0.25">
      <c r="B19" s="1">
        <v>38814</v>
      </c>
      <c r="C19">
        <v>1.069</v>
      </c>
      <c r="D19">
        <v>0.875</v>
      </c>
      <c r="E19" t="s">
        <v>33</v>
      </c>
      <c r="G19">
        <v>1830.62</v>
      </c>
      <c r="I19" s="14">
        <f t="shared" si="3"/>
        <v>5.8415841584158468E-2</v>
      </c>
      <c r="J19" s="15">
        <f t="shared" si="4"/>
        <v>-9.0600226500566761E-3</v>
      </c>
      <c r="K19" s="15"/>
      <c r="L19" s="15"/>
      <c r="M19" s="16">
        <f t="shared" si="5"/>
        <v>1.6683513090226532E-2</v>
      </c>
      <c r="O19" s="13">
        <f t="shared" si="7"/>
        <v>2.4677909467050896E-2</v>
      </c>
      <c r="Q19" s="5">
        <f t="shared" si="8"/>
        <v>99.585132985403163</v>
      </c>
      <c r="R19" s="6">
        <f t="shared" si="9"/>
        <v>113.26061535986732</v>
      </c>
      <c r="T19" s="11">
        <f t="shared" si="1"/>
        <v>0.87925650650040599</v>
      </c>
      <c r="V19" s="9">
        <v>38814</v>
      </c>
      <c r="W19">
        <v>4554</v>
      </c>
      <c r="X19">
        <v>9242.6751999999997</v>
      </c>
      <c r="Y19" t="s">
        <v>33</v>
      </c>
      <c r="AC19" s="24">
        <f t="shared" si="10"/>
        <v>1.2238856792041976E-2</v>
      </c>
      <c r="AE19" s="5">
        <f t="shared" si="11"/>
        <v>99.01425667192747</v>
      </c>
      <c r="AF19" s="6">
        <f t="shared" si="12"/>
        <v>113.26061535986732</v>
      </c>
      <c r="AH19" s="1">
        <f t="shared" si="2"/>
        <v>38814</v>
      </c>
      <c r="AI19">
        <f t="shared" si="6"/>
        <v>0.8742161285043849</v>
      </c>
      <c r="AP19" s="40"/>
      <c r="AQ19" s="41"/>
    </row>
    <row r="20" spans="2:43" x14ac:dyDescent="0.25">
      <c r="B20" s="1">
        <v>38821</v>
      </c>
      <c r="C20">
        <v>1.149</v>
      </c>
      <c r="D20">
        <v>0.90100000000000002</v>
      </c>
      <c r="E20" t="s">
        <v>33</v>
      </c>
      <c r="G20">
        <v>1850.11</v>
      </c>
      <c r="I20" s="14">
        <f t="shared" si="3"/>
        <v>7.4836295603367686E-2</v>
      </c>
      <c r="J20" s="15">
        <f t="shared" si="4"/>
        <v>2.9714285714285804E-2</v>
      </c>
      <c r="K20" s="15"/>
      <c r="L20" s="15"/>
      <c r="M20" s="16">
        <f t="shared" si="5"/>
        <v>1.0646666156821194E-2</v>
      </c>
      <c r="O20" s="13">
        <f t="shared" si="7"/>
        <v>5.2275290658826745E-2</v>
      </c>
      <c r="Q20" s="5">
        <f t="shared" si="8"/>
        <v>104.79097475751301</v>
      </c>
      <c r="R20" s="6">
        <f t="shared" si="9"/>
        <v>114.46646332031996</v>
      </c>
      <c r="T20" s="11">
        <f t="shared" si="1"/>
        <v>0.91547315884364044</v>
      </c>
      <c r="V20" s="9">
        <v>38821</v>
      </c>
      <c r="W20">
        <v>4897.2</v>
      </c>
      <c r="X20">
        <v>9520.6504000000004</v>
      </c>
      <c r="Y20" t="s">
        <v>33</v>
      </c>
      <c r="AC20" s="24">
        <f t="shared" si="10"/>
        <v>4.4608137316654389E-2</v>
      </c>
      <c r="AE20" s="5">
        <f t="shared" si="11"/>
        <v>103.43109822985528</v>
      </c>
      <c r="AF20" s="6">
        <f t="shared" si="12"/>
        <v>114.46646332031996</v>
      </c>
      <c r="AH20" s="1">
        <f t="shared" si="2"/>
        <v>38821</v>
      </c>
      <c r="AI20">
        <f t="shared" si="6"/>
        <v>0.9035930282952519</v>
      </c>
      <c r="AP20" s="40"/>
      <c r="AQ20" s="41"/>
    </row>
    <row r="21" spans="2:43" x14ac:dyDescent="0.25">
      <c r="B21" s="1">
        <v>38828</v>
      </c>
      <c r="C21">
        <v>1.159</v>
      </c>
      <c r="D21">
        <v>0.88100000000000001</v>
      </c>
      <c r="E21" t="s">
        <v>33</v>
      </c>
      <c r="G21">
        <v>1918.73</v>
      </c>
      <c r="I21" s="14">
        <f t="shared" si="3"/>
        <v>8.7032201914709617E-3</v>
      </c>
      <c r="J21" s="15">
        <f t="shared" si="4"/>
        <v>-2.2197558268590489E-2</v>
      </c>
      <c r="K21" s="15"/>
      <c r="L21" s="15"/>
      <c r="M21" s="16">
        <f t="shared" si="5"/>
        <v>3.7089686559177659E-2</v>
      </c>
      <c r="O21" s="13">
        <f t="shared" si="7"/>
        <v>-6.7471690385597638E-3</v>
      </c>
      <c r="Q21" s="5">
        <f t="shared" si="8"/>
        <v>104.08393233710862</v>
      </c>
      <c r="R21" s="6">
        <f t="shared" si="9"/>
        <v>118.71198856640824</v>
      </c>
      <c r="T21" s="11">
        <f t="shared" si="1"/>
        <v>0.87677692534721052</v>
      </c>
      <c r="V21" s="9">
        <v>38828</v>
      </c>
      <c r="W21">
        <v>4936.8</v>
      </c>
      <c r="X21">
        <v>9312.1689999999999</v>
      </c>
      <c r="Y21" t="s">
        <v>33</v>
      </c>
      <c r="AC21" s="24">
        <f t="shared" si="10"/>
        <v>-1.1701729273540511E-2</v>
      </c>
      <c r="AE21" s="5">
        <f t="shared" si="11"/>
        <v>102.22077551990454</v>
      </c>
      <c r="AF21" s="6">
        <f t="shared" si="12"/>
        <v>118.71198856640824</v>
      </c>
      <c r="AH21" s="1">
        <f t="shared" si="2"/>
        <v>38828</v>
      </c>
      <c r="AI21">
        <f t="shared" si="6"/>
        <v>0.8610821598925672</v>
      </c>
      <c r="AP21" s="40"/>
      <c r="AQ21" s="41"/>
    </row>
    <row r="22" spans="2:43" x14ac:dyDescent="0.25">
      <c r="B22" s="1">
        <v>38835</v>
      </c>
      <c r="C22">
        <v>1.155</v>
      </c>
      <c r="D22">
        <v>0.86799999999999999</v>
      </c>
      <c r="E22" t="s">
        <v>33</v>
      </c>
      <c r="G22">
        <v>1908.61</v>
      </c>
      <c r="I22" s="14">
        <f t="shared" si="3"/>
        <v>-3.45125107851596E-3</v>
      </c>
      <c r="J22" s="15">
        <f t="shared" si="4"/>
        <v>-1.4755959137343955E-2</v>
      </c>
      <c r="K22" s="15"/>
      <c r="L22" s="15"/>
      <c r="M22" s="16">
        <f t="shared" si="5"/>
        <v>-5.2743220776243493E-3</v>
      </c>
      <c r="O22" s="13">
        <f t="shared" si="7"/>
        <v>-9.1036051079299574E-3</v>
      </c>
      <c r="Q22" s="5">
        <f t="shared" si="8"/>
        <v>103.13639331903109</v>
      </c>
      <c r="R22" s="6">
        <f t="shared" si="9"/>
        <v>118.08586330423374</v>
      </c>
      <c r="T22" s="11">
        <f t="shared" si="1"/>
        <v>0.87340169630053699</v>
      </c>
      <c r="V22" s="9">
        <v>38835</v>
      </c>
      <c r="W22">
        <v>4923.6000000000004</v>
      </c>
      <c r="X22">
        <v>9173.1813999999995</v>
      </c>
      <c r="Y22" t="s">
        <v>33</v>
      </c>
      <c r="AC22" s="24">
        <f t="shared" si="10"/>
        <v>-1.0839248900636859E-2</v>
      </c>
      <c r="AE22" s="5">
        <f t="shared" si="11"/>
        <v>101.11277909122816</v>
      </c>
      <c r="AF22" s="6">
        <f t="shared" si="12"/>
        <v>118.08586330423374</v>
      </c>
      <c r="AH22" s="1">
        <f t="shared" si="2"/>
        <v>38835</v>
      </c>
      <c r="AI22">
        <f t="shared" si="6"/>
        <v>0.85626489286633312</v>
      </c>
      <c r="AP22" s="40"/>
      <c r="AQ22" s="41"/>
    </row>
    <row r="23" spans="2:43" x14ac:dyDescent="0.25">
      <c r="B23" s="1">
        <v>38842</v>
      </c>
      <c r="C23">
        <v>1.159</v>
      </c>
      <c r="D23">
        <v>0.85699999999999998</v>
      </c>
      <c r="E23" t="s">
        <v>33</v>
      </c>
      <c r="G23">
        <v>1894.48</v>
      </c>
      <c r="I23" s="14">
        <f t="shared" si="3"/>
        <v>3.4632034632033903E-3</v>
      </c>
      <c r="J23" s="15">
        <f t="shared" si="4"/>
        <v>-1.2672811059907807E-2</v>
      </c>
      <c r="K23" s="15"/>
      <c r="L23" s="15"/>
      <c r="M23" s="16">
        <f t="shared" si="5"/>
        <v>-7.4032934963139674E-3</v>
      </c>
      <c r="O23" s="13">
        <f t="shared" si="7"/>
        <v>-4.6048037983522083E-3</v>
      </c>
      <c r="Q23" s="5">
        <f t="shared" si="8"/>
        <v>102.66147046332728</v>
      </c>
      <c r="R23" s="6">
        <f t="shared" si="9"/>
        <v>117.21163900042689</v>
      </c>
      <c r="T23" s="11">
        <f t="shared" si="1"/>
        <v>0.87586413208464209</v>
      </c>
      <c r="V23" s="9">
        <v>38842</v>
      </c>
      <c r="W23">
        <v>4936.8</v>
      </c>
      <c r="X23">
        <v>8929.9531000000006</v>
      </c>
      <c r="Y23" t="s">
        <v>33</v>
      </c>
      <c r="AC23" s="24">
        <f t="shared" si="10"/>
        <v>-7.0369656245809669E-3</v>
      </c>
      <c r="AE23" s="5">
        <f t="shared" si="11"/>
        <v>100.40125194055733</v>
      </c>
      <c r="AF23" s="6">
        <f t="shared" si="12"/>
        <v>117.21163900042689</v>
      </c>
      <c r="AH23" s="1">
        <f t="shared" si="2"/>
        <v>38842</v>
      </c>
      <c r="AI23">
        <f t="shared" si="6"/>
        <v>0.85658090610090076</v>
      </c>
      <c r="AP23" s="40"/>
      <c r="AQ23" s="41"/>
    </row>
    <row r="24" spans="2:43" x14ac:dyDescent="0.25">
      <c r="B24" s="1">
        <v>38849</v>
      </c>
      <c r="C24">
        <v>1.165</v>
      </c>
      <c r="D24">
        <v>0.86199999999999999</v>
      </c>
      <c r="E24" t="s">
        <v>33</v>
      </c>
      <c r="G24">
        <v>1806.68</v>
      </c>
      <c r="I24" s="14">
        <f t="shared" si="3"/>
        <v>5.1768766177739955E-3</v>
      </c>
      <c r="J24" s="15">
        <f t="shared" si="4"/>
        <v>5.834305717619559E-3</v>
      </c>
      <c r="K24" s="15"/>
      <c r="L24" s="15"/>
      <c r="M24" s="16">
        <f t="shared" si="5"/>
        <v>-4.6345171234322802E-2</v>
      </c>
      <c r="O24" s="13">
        <f t="shared" si="7"/>
        <v>5.5055911676967773E-3</v>
      </c>
      <c r="Q24" s="5">
        <f t="shared" si="8"/>
        <v>103.22668254837295</v>
      </c>
      <c r="R24" s="6">
        <f t="shared" si="9"/>
        <v>111.77944552029648</v>
      </c>
      <c r="T24" s="11">
        <f t="shared" si="1"/>
        <v>0.92348536949603544</v>
      </c>
      <c r="V24" s="9">
        <v>38849</v>
      </c>
      <c r="W24">
        <v>4963.2</v>
      </c>
      <c r="X24">
        <v>8982.0735000000004</v>
      </c>
      <c r="Y24" t="s">
        <v>33</v>
      </c>
      <c r="AC24" s="24">
        <f t="shared" si="10"/>
        <v>5.6002497741184385E-3</v>
      </c>
      <c r="AE24" s="5">
        <f t="shared" si="11"/>
        <v>100.96352402905866</v>
      </c>
      <c r="AF24" s="6">
        <f t="shared" si="12"/>
        <v>111.77944552029648</v>
      </c>
      <c r="AH24" s="1">
        <f t="shared" si="2"/>
        <v>38849</v>
      </c>
      <c r="AI24">
        <f t="shared" si="6"/>
        <v>0.90323872657541582</v>
      </c>
      <c r="AP24" s="40"/>
      <c r="AQ24" s="41"/>
    </row>
    <row r="25" spans="2:43" x14ac:dyDescent="0.25">
      <c r="B25" s="1">
        <v>38856</v>
      </c>
      <c r="C25">
        <v>1.137</v>
      </c>
      <c r="D25">
        <v>0.77</v>
      </c>
      <c r="E25" t="s">
        <v>33</v>
      </c>
      <c r="G25">
        <v>1655.51</v>
      </c>
      <c r="I25" s="14">
        <f t="shared" si="3"/>
        <v>-2.4034334763948562E-2</v>
      </c>
      <c r="J25" s="15">
        <f t="shared" si="4"/>
        <v>-0.10672853828306261</v>
      </c>
      <c r="K25" s="15"/>
      <c r="L25" s="15"/>
      <c r="M25" s="16">
        <f t="shared" si="5"/>
        <v>-8.3672814222773284E-2</v>
      </c>
      <c r="O25" s="13">
        <f t="shared" si="7"/>
        <v>-6.5381436523505587E-2</v>
      </c>
      <c r="Q25" s="5">
        <f t="shared" si="8"/>
        <v>96.477573755804443</v>
      </c>
      <c r="R25" s="6">
        <f t="shared" si="9"/>
        <v>102.4265447413521</v>
      </c>
      <c r="T25" s="11">
        <f t="shared" si="1"/>
        <v>0.94191963615906382</v>
      </c>
      <c r="V25" s="9">
        <v>38856</v>
      </c>
      <c r="W25">
        <v>4844.3999999999996</v>
      </c>
      <c r="X25">
        <v>8026.5338000000002</v>
      </c>
      <c r="Y25" t="s">
        <v>33</v>
      </c>
      <c r="AC25" s="24">
        <f t="shared" si="10"/>
        <v>-7.7297213690822333E-2</v>
      </c>
      <c r="AE25" s="5">
        <f t="shared" si="11"/>
        <v>93.159324937206037</v>
      </c>
      <c r="AF25" s="6">
        <f t="shared" si="12"/>
        <v>102.4265447413521</v>
      </c>
      <c r="AH25" s="1">
        <f t="shared" si="2"/>
        <v>38856</v>
      </c>
      <c r="AI25">
        <f t="shared" si="6"/>
        <v>0.90952326052247789</v>
      </c>
      <c r="AP25" s="40"/>
      <c r="AQ25" s="41"/>
    </row>
    <row r="26" spans="2:43" x14ac:dyDescent="0.25">
      <c r="B26" s="1">
        <v>38863</v>
      </c>
      <c r="C26">
        <v>1.097</v>
      </c>
      <c r="D26">
        <v>0.76200000000000001</v>
      </c>
      <c r="E26" t="s">
        <v>33</v>
      </c>
      <c r="G26">
        <v>1677.86</v>
      </c>
      <c r="I26" s="14">
        <f t="shared" si="3"/>
        <v>-3.5180299032541829E-2</v>
      </c>
      <c r="J26" s="15">
        <f t="shared" si="4"/>
        <v>-1.0389610389610393E-2</v>
      </c>
      <c r="K26" s="15"/>
      <c r="L26" s="15"/>
      <c r="M26" s="16">
        <f t="shared" si="5"/>
        <v>1.350037148673211E-2</v>
      </c>
      <c r="O26" s="13">
        <f t="shared" si="7"/>
        <v>-2.2784954711076111E-2</v>
      </c>
      <c r="Q26" s="5">
        <f t="shared" si="8"/>
        <v>94.279336607143932</v>
      </c>
      <c r="R26" s="6">
        <f t="shared" si="9"/>
        <v>103.80934114546274</v>
      </c>
      <c r="T26" s="11">
        <f t="shared" si="1"/>
        <v>0.90819704245146016</v>
      </c>
      <c r="V26" s="9">
        <v>38863</v>
      </c>
      <c r="W26">
        <v>4672.8</v>
      </c>
      <c r="X26">
        <v>7939.6665000000003</v>
      </c>
      <c r="Y26" t="s">
        <v>33</v>
      </c>
      <c r="AC26" s="24">
        <f t="shared" si="10"/>
        <v>-1.9720402850202261E-2</v>
      </c>
      <c r="AE26" s="5">
        <f t="shared" si="11"/>
        <v>91.322185520191439</v>
      </c>
      <c r="AF26" s="6">
        <f t="shared" si="12"/>
        <v>103.80934114546274</v>
      </c>
      <c r="AH26" s="1">
        <f t="shared" si="2"/>
        <v>38863</v>
      </c>
      <c r="AI26">
        <f t="shared" si="6"/>
        <v>0.8797106745165284</v>
      </c>
      <c r="AP26" s="40"/>
      <c r="AQ26" s="41"/>
    </row>
    <row r="27" spans="2:43" x14ac:dyDescent="0.25">
      <c r="B27" s="1">
        <v>38870</v>
      </c>
      <c r="C27">
        <v>1.0620000000000001</v>
      </c>
      <c r="D27">
        <v>0.78700000000000003</v>
      </c>
      <c r="E27" t="s">
        <v>33</v>
      </c>
      <c r="G27">
        <v>1693.5</v>
      </c>
      <c r="I27" s="14">
        <f t="shared" si="3"/>
        <v>-3.1905195989061053E-2</v>
      </c>
      <c r="J27" s="15">
        <f t="shared" si="4"/>
        <v>3.2808398950131323E-2</v>
      </c>
      <c r="K27" s="15"/>
      <c r="L27" s="15"/>
      <c r="M27" s="16">
        <f t="shared" si="5"/>
        <v>9.321397494427508E-3</v>
      </c>
      <c r="O27" s="13">
        <f t="shared" si="7"/>
        <v>4.5160148053513538E-4</v>
      </c>
      <c r="Q27" s="5">
        <f t="shared" si="8"/>
        <v>94.321913295139595</v>
      </c>
      <c r="R27" s="6">
        <f t="shared" si="9"/>
        <v>104.77698927791423</v>
      </c>
      <c r="T27" s="11">
        <f t="shared" si="1"/>
        <v>0.90021591520402233</v>
      </c>
      <c r="V27" s="9">
        <v>38870</v>
      </c>
      <c r="W27">
        <v>4527.6000000000004</v>
      </c>
      <c r="X27">
        <v>8200.2682999999997</v>
      </c>
      <c r="Y27" t="s">
        <v>33</v>
      </c>
      <c r="AC27" s="24">
        <f t="shared" si="10"/>
        <v>8.83262177507535E-3</v>
      </c>
      <c r="AE27" s="5">
        <f t="shared" si="11"/>
        <v>92.128799844564554</v>
      </c>
      <c r="AF27" s="6">
        <f t="shared" si="12"/>
        <v>104.77698927791423</v>
      </c>
      <c r="AH27" s="1">
        <f t="shared" si="2"/>
        <v>38870</v>
      </c>
      <c r="AI27">
        <f t="shared" si="6"/>
        <v>0.87928466430924856</v>
      </c>
      <c r="AP27" s="40"/>
      <c r="AQ27" s="41"/>
    </row>
    <row r="28" spans="2:43" x14ac:dyDescent="0.25">
      <c r="B28" s="1">
        <v>38877</v>
      </c>
      <c r="C28">
        <v>1.0189999999999999</v>
      </c>
      <c r="D28">
        <v>0.72499999999999998</v>
      </c>
      <c r="E28" t="s">
        <v>33</v>
      </c>
      <c r="G28">
        <v>1584.39</v>
      </c>
      <c r="I28" s="14">
        <f t="shared" si="3"/>
        <v>-4.0489642184557528E-2</v>
      </c>
      <c r="J28" s="15">
        <f t="shared" si="4"/>
        <v>-7.8780177890724334E-2</v>
      </c>
      <c r="K28" s="15"/>
      <c r="L28" s="15"/>
      <c r="M28" s="16">
        <f t="shared" si="5"/>
        <v>-6.4428697962798931E-2</v>
      </c>
      <c r="O28" s="13">
        <f t="shared" si="7"/>
        <v>-5.9634910037640931E-2</v>
      </c>
      <c r="Q28" s="5">
        <f t="shared" si="8"/>
        <v>88.697034481205776</v>
      </c>
      <c r="R28" s="6">
        <f t="shared" si="9"/>
        <v>98.026344282276071</v>
      </c>
      <c r="T28" s="11">
        <f t="shared" si="1"/>
        <v>0.90482854512858635</v>
      </c>
      <c r="V28" s="9">
        <v>38877</v>
      </c>
      <c r="W28">
        <v>4342.8</v>
      </c>
      <c r="X28">
        <v>7557.4506000000001</v>
      </c>
      <c r="Y28" t="s">
        <v>33</v>
      </c>
      <c r="AC28" s="24">
        <f t="shared" si="10"/>
        <v>-6.5159340105716709E-2</v>
      </c>
      <c r="AE28" s="5">
        <f t="shared" si="11"/>
        <v>86.125748041961074</v>
      </c>
      <c r="AF28" s="6">
        <f t="shared" si="12"/>
        <v>98.026344282276071</v>
      </c>
      <c r="AH28" s="1">
        <f t="shared" si="2"/>
        <v>38877</v>
      </c>
      <c r="AI28">
        <f t="shared" si="6"/>
        <v>0.87859797968139963</v>
      </c>
      <c r="AP28" s="40"/>
      <c r="AQ28" s="41"/>
    </row>
    <row r="29" spans="2:43" x14ac:dyDescent="0.25">
      <c r="B29" s="1">
        <v>38884</v>
      </c>
      <c r="C29">
        <v>1.0469999999999999</v>
      </c>
      <c r="D29">
        <v>0.70299999999999996</v>
      </c>
      <c r="E29" t="s">
        <v>33</v>
      </c>
      <c r="G29">
        <v>1578.49</v>
      </c>
      <c r="I29" s="14">
        <f t="shared" si="3"/>
        <v>2.7477919528950068E-2</v>
      </c>
      <c r="J29" s="15">
        <f t="shared" si="4"/>
        <v>-3.0344827586206935E-2</v>
      </c>
      <c r="K29" s="15"/>
      <c r="L29" s="15"/>
      <c r="M29" s="16">
        <f t="shared" si="5"/>
        <v>-3.7238306225109152E-3</v>
      </c>
      <c r="O29" s="13">
        <f t="shared" si="7"/>
        <v>-1.4334540286284336E-3</v>
      </c>
      <c r="Q29" s="5">
        <f t="shared" si="8"/>
        <v>88.569891359801289</v>
      </c>
      <c r="R29" s="6">
        <f t="shared" si="9"/>
        <v>97.661310779624927</v>
      </c>
      <c r="T29" s="11">
        <f t="shared" si="1"/>
        <v>0.90690868935459368</v>
      </c>
      <c r="V29" s="9">
        <v>38884</v>
      </c>
      <c r="W29">
        <v>4461.6000000000004</v>
      </c>
      <c r="X29">
        <v>7331.5958000000001</v>
      </c>
      <c r="Y29" t="s">
        <v>33</v>
      </c>
      <c r="AC29" s="24">
        <f t="shared" si="10"/>
        <v>-9.2433705990991304E-3</v>
      </c>
      <c r="AE29" s="5">
        <f t="shared" si="11"/>
        <v>85.329655834684601</v>
      </c>
      <c r="AF29" s="6">
        <f t="shared" si="12"/>
        <v>97.661310779624927</v>
      </c>
      <c r="AH29" s="1">
        <f t="shared" si="2"/>
        <v>38884</v>
      </c>
      <c r="AI29">
        <f t="shared" si="6"/>
        <v>0.87373039695558674</v>
      </c>
      <c r="AP29" s="40"/>
      <c r="AQ29" s="41"/>
    </row>
    <row r="30" spans="2:43" x14ac:dyDescent="0.25">
      <c r="B30" s="1">
        <v>38891</v>
      </c>
      <c r="C30">
        <v>1.149</v>
      </c>
      <c r="D30">
        <v>0.72299999999999998</v>
      </c>
      <c r="E30" t="s">
        <v>33</v>
      </c>
      <c r="G30">
        <v>1589.12</v>
      </c>
      <c r="I30" s="14">
        <f t="shared" si="3"/>
        <v>9.7421203438395443E-2</v>
      </c>
      <c r="J30" s="15">
        <f t="shared" si="4"/>
        <v>2.8449502133712778E-2</v>
      </c>
      <c r="K30" s="15"/>
      <c r="L30" s="15"/>
      <c r="M30" s="16">
        <f t="shared" si="5"/>
        <v>6.7342840309407848E-3</v>
      </c>
      <c r="O30" s="13">
        <f t="shared" si="7"/>
        <v>6.2935352786054111E-2</v>
      </c>
      <c r="Q30" s="5">
        <f t="shared" si="8"/>
        <v>94.144068718752862</v>
      </c>
      <c r="R30" s="6">
        <f t="shared" si="9"/>
        <v>98.318989785248903</v>
      </c>
      <c r="T30" s="11">
        <f t="shared" si="1"/>
        <v>0.95753698165923984</v>
      </c>
      <c r="V30" s="9">
        <v>38891</v>
      </c>
      <c r="W30">
        <v>4897.2</v>
      </c>
      <c r="X30">
        <v>7540.0771999999997</v>
      </c>
      <c r="Y30" t="s">
        <v>33</v>
      </c>
      <c r="AC30" s="24">
        <f t="shared" si="10"/>
        <v>5.454286543910046E-2</v>
      </c>
      <c r="AE30" s="5">
        <f t="shared" si="11"/>
        <v>89.983779770840556</v>
      </c>
      <c r="AF30" s="6">
        <f t="shared" si="12"/>
        <v>98.318989785248903</v>
      </c>
      <c r="AH30" s="1">
        <f t="shared" si="2"/>
        <v>38891</v>
      </c>
      <c r="AI30">
        <f t="shared" si="6"/>
        <v>0.91522278623270703</v>
      </c>
      <c r="AP30" s="40"/>
      <c r="AQ30" s="41"/>
    </row>
    <row r="31" spans="2:43" x14ac:dyDescent="0.25">
      <c r="B31" s="1">
        <v>38898</v>
      </c>
      <c r="C31">
        <v>1.1990000000000001</v>
      </c>
      <c r="D31">
        <v>0.77300000000000002</v>
      </c>
      <c r="E31" t="s">
        <v>33</v>
      </c>
      <c r="G31">
        <v>1711.09</v>
      </c>
      <c r="I31" s="14">
        <f t="shared" si="3"/>
        <v>4.3516100957354364E-2</v>
      </c>
      <c r="J31" s="15">
        <f t="shared" si="4"/>
        <v>6.9156293222683241E-2</v>
      </c>
      <c r="K31" s="15"/>
      <c r="L31" s="15"/>
      <c r="M31" s="16">
        <f t="shared" si="5"/>
        <v>7.6753171566653178E-2</v>
      </c>
      <c r="O31" s="13">
        <f t="shared" si="7"/>
        <v>5.6336197090018802E-2</v>
      </c>
      <c r="Q31" s="5">
        <f t="shared" si="8"/>
        <v>99.447787528948808</v>
      </c>
      <c r="R31" s="6">
        <f t="shared" si="9"/>
        <v>105.86528407649614</v>
      </c>
      <c r="T31" s="11">
        <f t="shared" si="1"/>
        <v>0.93938053816669331</v>
      </c>
      <c r="V31" s="9">
        <v>38898</v>
      </c>
      <c r="W31">
        <v>5108.3999999999996</v>
      </c>
      <c r="X31">
        <v>8061.2807000000003</v>
      </c>
      <c r="Y31" t="s">
        <v>33</v>
      </c>
      <c r="AC31" s="24">
        <f t="shared" si="10"/>
        <v>5.9060421952581717E-2</v>
      </c>
      <c r="AE31" s="5">
        <f t="shared" si="11"/>
        <v>95.298259772994584</v>
      </c>
      <c r="AF31" s="6">
        <f t="shared" si="12"/>
        <v>105.86528407649614</v>
      </c>
      <c r="AH31" s="1">
        <f t="shared" si="2"/>
        <v>38898</v>
      </c>
      <c r="AI31">
        <f t="shared" si="6"/>
        <v>0.90018423512786283</v>
      </c>
      <c r="AP31" s="40"/>
      <c r="AQ31" s="41"/>
    </row>
    <row r="32" spans="2:43" x14ac:dyDescent="0.25">
      <c r="B32" s="1">
        <v>38905</v>
      </c>
      <c r="C32">
        <v>1.171</v>
      </c>
      <c r="D32">
        <v>0.8</v>
      </c>
      <c r="E32" t="s">
        <v>33</v>
      </c>
      <c r="G32">
        <v>1704.68</v>
      </c>
      <c r="I32" s="14">
        <f t="shared" si="3"/>
        <v>-2.3352793994995902E-2</v>
      </c>
      <c r="J32" s="15">
        <f t="shared" si="4"/>
        <v>3.4928848641655907E-2</v>
      </c>
      <c r="K32" s="15"/>
      <c r="L32" s="15"/>
      <c r="M32" s="16">
        <f t="shared" si="5"/>
        <v>-3.7461501148390308E-3</v>
      </c>
      <c r="O32" s="13">
        <f t="shared" si="7"/>
        <v>5.7880273233300028E-3</v>
      </c>
      <c r="Q32" s="5">
        <f t="shared" si="8"/>
        <v>100.02339404041108</v>
      </c>
      <c r="R32" s="6">
        <f t="shared" si="9"/>
        <v>105.4686968303955</v>
      </c>
      <c r="T32" s="11">
        <f t="shared" si="1"/>
        <v>0.94837043640786578</v>
      </c>
      <c r="V32" s="9">
        <v>38905</v>
      </c>
      <c r="W32">
        <v>4989.6000000000004</v>
      </c>
      <c r="X32">
        <v>8339.2559000000001</v>
      </c>
      <c r="Y32" t="s">
        <v>33</v>
      </c>
      <c r="AC32" s="24">
        <f t="shared" si="10"/>
        <v>1.2321926725540501E-2</v>
      </c>
      <c r="AE32" s="5">
        <f t="shared" si="11"/>
        <v>96.472517946988958</v>
      </c>
      <c r="AF32" s="6">
        <f t="shared" si="12"/>
        <v>105.4686968303955</v>
      </c>
      <c r="AH32" s="1">
        <f t="shared" si="2"/>
        <v>38905</v>
      </c>
      <c r="AI32">
        <f t="shared" si="6"/>
        <v>0.91470285351232383</v>
      </c>
      <c r="AP32" s="40"/>
      <c r="AQ32" s="41"/>
    </row>
    <row r="33" spans="2:43" x14ac:dyDescent="0.25">
      <c r="B33" s="1">
        <v>38912</v>
      </c>
      <c r="C33">
        <v>1.159</v>
      </c>
      <c r="D33">
        <v>0.77700000000000002</v>
      </c>
      <c r="E33" t="s">
        <v>33</v>
      </c>
      <c r="G33">
        <v>1654.46</v>
      </c>
      <c r="I33" s="14">
        <f t="shared" si="3"/>
        <v>-1.0247651579846306E-2</v>
      </c>
      <c r="J33" s="15">
        <f t="shared" si="4"/>
        <v>-2.8750000000000053E-2</v>
      </c>
      <c r="K33" s="15"/>
      <c r="L33" s="15"/>
      <c r="M33" s="16">
        <f t="shared" si="5"/>
        <v>-2.9460074618110177E-2</v>
      </c>
      <c r="O33" s="13">
        <f t="shared" si="7"/>
        <v>-1.949882578992318E-2</v>
      </c>
      <c r="Q33" s="5">
        <f t="shared" si="8"/>
        <v>98.073055305100269</v>
      </c>
      <c r="R33" s="6">
        <f t="shared" si="9"/>
        <v>102.36158115189721</v>
      </c>
      <c r="T33" s="11">
        <f t="shared" si="1"/>
        <v>0.95810414612067119</v>
      </c>
      <c r="V33" s="9">
        <v>38912</v>
      </c>
      <c r="W33">
        <v>4936.8</v>
      </c>
      <c r="X33">
        <v>8096.0276000000003</v>
      </c>
      <c r="Y33" t="s">
        <v>33</v>
      </c>
      <c r="AC33" s="24">
        <f t="shared" si="10"/>
        <v>-2.1823725279211819E-2</v>
      </c>
      <c r="AE33" s="5">
        <f t="shared" si="11"/>
        <v>94.367128218320033</v>
      </c>
      <c r="AF33" s="6">
        <f t="shared" si="12"/>
        <v>102.36158115189721</v>
      </c>
      <c r="AH33" s="1">
        <f t="shared" si="2"/>
        <v>38912</v>
      </c>
      <c r="AI33">
        <f t="shared" si="6"/>
        <v>0.92189986864589368</v>
      </c>
      <c r="AP33" s="40"/>
      <c r="AQ33" s="41"/>
    </row>
    <row r="34" spans="2:43" x14ac:dyDescent="0.25">
      <c r="B34" s="1">
        <v>38919</v>
      </c>
      <c r="C34">
        <v>1.1759999999999999</v>
      </c>
      <c r="D34">
        <v>0.77700000000000002</v>
      </c>
      <c r="E34" t="s">
        <v>33</v>
      </c>
      <c r="G34">
        <v>1620.45</v>
      </c>
      <c r="I34" s="14">
        <f t="shared" si="3"/>
        <v>1.4667817083692691E-2</v>
      </c>
      <c r="J34" s="15">
        <f t="shared" si="4"/>
        <v>0</v>
      </c>
      <c r="K34" s="15"/>
      <c r="L34" s="15"/>
      <c r="M34" s="16">
        <f t="shared" si="5"/>
        <v>-2.0556556217738664E-2</v>
      </c>
      <c r="O34" s="13">
        <f t="shared" si="7"/>
        <v>7.3339085418463457E-3</v>
      </c>
      <c r="Q34" s="5">
        <f t="shared" si="8"/>
        <v>98.792314123127298</v>
      </c>
      <c r="R34" s="6">
        <f t="shared" si="9"/>
        <v>100.25737955441161</v>
      </c>
      <c r="T34" s="11">
        <f t="shared" si="1"/>
        <v>0.98538695667295795</v>
      </c>
      <c r="V34" s="9">
        <v>38919</v>
      </c>
      <c r="W34">
        <v>4884</v>
      </c>
      <c r="X34">
        <v>8096.0276000000003</v>
      </c>
      <c r="Y34" t="s">
        <v>33</v>
      </c>
      <c r="AC34" s="24">
        <f t="shared" si="10"/>
        <v>5.5561296137128426E-3</v>
      </c>
      <c r="AE34" s="5">
        <f t="shared" si="11"/>
        <v>94.891444213974864</v>
      </c>
      <c r="AF34" s="6">
        <f t="shared" si="12"/>
        <v>100.25737955441161</v>
      </c>
      <c r="AH34" s="1">
        <f t="shared" si="2"/>
        <v>38919</v>
      </c>
      <c r="AI34">
        <f t="shared" si="6"/>
        <v>0.94647840025058161</v>
      </c>
      <c r="AP34" s="40"/>
      <c r="AQ34" s="41"/>
    </row>
    <row r="35" spans="2:43" x14ac:dyDescent="0.25">
      <c r="B35" s="1">
        <v>38926</v>
      </c>
      <c r="C35">
        <v>1.224</v>
      </c>
      <c r="D35">
        <v>0.78500000000000003</v>
      </c>
      <c r="E35" t="s">
        <v>33</v>
      </c>
      <c r="G35">
        <v>1689.65</v>
      </c>
      <c r="I35" s="14">
        <f t="shared" si="3"/>
        <v>4.081632653061229E-2</v>
      </c>
      <c r="J35" s="15">
        <f t="shared" si="4"/>
        <v>1.0296010296010349E-2</v>
      </c>
      <c r="K35" s="15"/>
      <c r="L35" s="15"/>
      <c r="M35" s="16">
        <f t="shared" si="5"/>
        <v>4.2704187108519198E-2</v>
      </c>
      <c r="O35" s="13">
        <f t="shared" si="7"/>
        <v>2.555616841331132E-2</v>
      </c>
      <c r="Q35" s="5">
        <f t="shared" si="8"/>
        <v>101.31706714079868</v>
      </c>
      <c r="R35" s="6">
        <f t="shared" si="9"/>
        <v>104.53878944991304</v>
      </c>
      <c r="T35" s="11">
        <f t="shared" si="1"/>
        <v>0.96918156096825703</v>
      </c>
      <c r="V35" s="9">
        <v>38926</v>
      </c>
      <c r="W35">
        <v>5082</v>
      </c>
      <c r="X35">
        <v>8182.8948</v>
      </c>
      <c r="Y35" t="s">
        <v>33</v>
      </c>
      <c r="AC35" s="24">
        <f t="shared" si="10"/>
        <v>2.1779901477397043E-2</v>
      </c>
      <c r="AE35" s="5">
        <f t="shared" si="11"/>
        <v>96.958170520003151</v>
      </c>
      <c r="AF35" s="6">
        <f t="shared" si="12"/>
        <v>104.53878944991304</v>
      </c>
      <c r="AH35" s="1">
        <f t="shared" si="2"/>
        <v>38926</v>
      </c>
      <c r="AI35">
        <f t="shared" si="6"/>
        <v>0.92748510892655844</v>
      </c>
      <c r="AP35" s="40"/>
      <c r="AQ35" s="41"/>
    </row>
    <row r="36" spans="2:43" x14ac:dyDescent="0.25">
      <c r="B36" s="1">
        <v>38933</v>
      </c>
      <c r="C36">
        <v>1.1890000000000001</v>
      </c>
      <c r="D36">
        <v>0.74299999999999999</v>
      </c>
      <c r="E36" t="s">
        <v>33</v>
      </c>
      <c r="G36">
        <v>1683.9</v>
      </c>
      <c r="I36" s="14">
        <f t="shared" si="3"/>
        <v>-2.8594771241829964E-2</v>
      </c>
      <c r="J36" s="15">
        <f t="shared" si="4"/>
        <v>-5.3503184713375895E-2</v>
      </c>
      <c r="K36" s="15"/>
      <c r="L36" s="15"/>
      <c r="M36" s="16">
        <f t="shared" si="5"/>
        <v>-3.4030716420559992E-3</v>
      </c>
      <c r="O36" s="13">
        <f t="shared" si="7"/>
        <v>-4.104897797760293E-2</v>
      </c>
      <c r="Q36" s="5">
        <f t="shared" si="8"/>
        <v>97.158105082980725</v>
      </c>
      <c r="R36" s="6">
        <f t="shared" si="9"/>
        <v>104.18303646004118</v>
      </c>
      <c r="T36" s="11">
        <f t="shared" si="1"/>
        <v>0.93257125520856909</v>
      </c>
      <c r="V36" s="9">
        <v>38933</v>
      </c>
      <c r="W36">
        <v>4936.8</v>
      </c>
      <c r="X36">
        <v>7748.5586000000003</v>
      </c>
      <c r="Y36" t="s">
        <v>33</v>
      </c>
      <c r="AC36" s="24">
        <f t="shared" si="10"/>
        <v>-4.3960360652502348E-2</v>
      </c>
      <c r="AE36" s="5">
        <f t="shared" si="11"/>
        <v>92.695854375736999</v>
      </c>
      <c r="AF36" s="6">
        <f t="shared" si="12"/>
        <v>104.18303646004118</v>
      </c>
      <c r="AH36" s="1">
        <f t="shared" si="2"/>
        <v>38933</v>
      </c>
      <c r="AI36">
        <f t="shared" si="6"/>
        <v>0.88974037929188177</v>
      </c>
      <c r="AP36" s="40"/>
      <c r="AQ36" s="41"/>
    </row>
    <row r="37" spans="2:43" x14ac:dyDescent="0.25">
      <c r="B37" s="1">
        <v>38940</v>
      </c>
      <c r="C37">
        <v>1.17</v>
      </c>
      <c r="D37">
        <v>0.70799999999999996</v>
      </c>
      <c r="E37" t="s">
        <v>33</v>
      </c>
      <c r="G37">
        <v>1618.88</v>
      </c>
      <c r="I37" s="14">
        <f t="shared" si="3"/>
        <v>-1.5979814970563555E-2</v>
      </c>
      <c r="J37" s="15">
        <f t="shared" si="4"/>
        <v>-4.7106325706594898E-2</v>
      </c>
      <c r="K37" s="15"/>
      <c r="L37" s="15"/>
      <c r="M37" s="16">
        <f t="shared" si="5"/>
        <v>-3.8612744224716389E-2</v>
      </c>
      <c r="O37" s="13">
        <f t="shared" si="7"/>
        <v>-3.1543070338579227E-2</v>
      </c>
      <c r="Q37" s="5">
        <f t="shared" si="8"/>
        <v>94.093440140385184</v>
      </c>
      <c r="R37" s="6">
        <f t="shared" si="9"/>
        <v>100.16024352065531</v>
      </c>
      <c r="T37" s="11">
        <f t="shared" si="1"/>
        <v>0.939429027256518</v>
      </c>
      <c r="V37" s="9">
        <v>38940</v>
      </c>
      <c r="W37">
        <v>4857.6000000000004</v>
      </c>
      <c r="X37">
        <v>7383.7160999999996</v>
      </c>
      <c r="Y37" t="s">
        <v>33</v>
      </c>
      <c r="AC37" s="24">
        <f t="shared" si="10"/>
        <v>-3.4992725843392011E-2</v>
      </c>
      <c r="AE37" s="5">
        <f t="shared" si="11"/>
        <v>89.452173756747854</v>
      </c>
      <c r="AF37" s="6">
        <f t="shared" si="12"/>
        <v>100.16024352065531</v>
      </c>
      <c r="AH37" s="1">
        <f t="shared" si="2"/>
        <v>38940</v>
      </c>
      <c r="AI37">
        <f t="shared" si="6"/>
        <v>0.89309061771900333</v>
      </c>
      <c r="AP37" s="40"/>
      <c r="AQ37" s="41"/>
    </row>
    <row r="38" spans="2:43" x14ac:dyDescent="0.25">
      <c r="B38" s="1">
        <v>38947</v>
      </c>
      <c r="C38">
        <v>1.1759999999999999</v>
      </c>
      <c r="D38">
        <v>0.72299999999999998</v>
      </c>
      <c r="E38" t="s">
        <v>33</v>
      </c>
      <c r="G38">
        <v>1655.87</v>
      </c>
      <c r="I38" s="14">
        <f t="shared" si="3"/>
        <v>5.12820512820511E-3</v>
      </c>
      <c r="J38" s="15">
        <f t="shared" si="4"/>
        <v>2.1186440677966045E-2</v>
      </c>
      <c r="K38" s="15"/>
      <c r="L38" s="15"/>
      <c r="M38" s="16">
        <f t="shared" si="5"/>
        <v>2.2849130262897699E-2</v>
      </c>
      <c r="O38" s="13">
        <f t="shared" si="7"/>
        <v>1.3157322903085578E-2</v>
      </c>
      <c r="Q38" s="5">
        <f t="shared" si="8"/>
        <v>95.331457915374401</v>
      </c>
      <c r="R38" s="6">
        <f t="shared" si="9"/>
        <v>102.44881797202233</v>
      </c>
      <c r="T38" s="11">
        <f t="shared" si="1"/>
        <v>0.93052765080616551</v>
      </c>
      <c r="V38" s="9">
        <v>38947</v>
      </c>
      <c r="W38">
        <v>4884</v>
      </c>
      <c r="X38">
        <v>7540.0771999999997</v>
      </c>
      <c r="Y38" t="s">
        <v>33</v>
      </c>
      <c r="AC38" s="24">
        <f t="shared" si="10"/>
        <v>1.4814210407193221E-2</v>
      </c>
      <c r="AE38" s="5">
        <f t="shared" si="11"/>
        <v>90.777337080161132</v>
      </c>
      <c r="AF38" s="6">
        <f t="shared" si="12"/>
        <v>102.44881797202233</v>
      </c>
      <c r="AH38" s="1">
        <f t="shared" si="2"/>
        <v>38947</v>
      </c>
      <c r="AI38">
        <f t="shared" si="6"/>
        <v>0.88607500678974604</v>
      </c>
      <c r="AP38" s="40"/>
      <c r="AQ38" s="41"/>
    </row>
    <row r="39" spans="2:43" x14ac:dyDescent="0.25">
      <c r="B39" s="1">
        <v>38954</v>
      </c>
      <c r="C39">
        <v>1.167</v>
      </c>
      <c r="D39">
        <v>0.72</v>
      </c>
      <c r="E39" t="s">
        <v>33</v>
      </c>
      <c r="G39">
        <v>1676.81</v>
      </c>
      <c r="I39" s="14">
        <f t="shared" si="3"/>
        <v>-7.6530612244897211E-3</v>
      </c>
      <c r="J39" s="15">
        <f t="shared" si="4"/>
        <v>-4.1493775933609811E-3</v>
      </c>
      <c r="K39" s="15"/>
      <c r="L39" s="15"/>
      <c r="M39" s="16">
        <f t="shared" si="5"/>
        <v>1.2645920271519007E-2</v>
      </c>
      <c r="O39" s="13">
        <f t="shared" si="7"/>
        <v>-5.9012194089253511E-3</v>
      </c>
      <c r="Q39" s="5">
        <f t="shared" si="8"/>
        <v>94.768886065643031</v>
      </c>
      <c r="R39" s="6">
        <f t="shared" si="9"/>
        <v>103.74437755600789</v>
      </c>
      <c r="T39" s="11">
        <f t="shared" si="1"/>
        <v>0.91348455018182251</v>
      </c>
      <c r="V39" s="9">
        <v>38954</v>
      </c>
      <c r="W39">
        <v>4844.3999999999996</v>
      </c>
      <c r="X39">
        <v>7505.3302999999996</v>
      </c>
      <c r="Y39" t="s">
        <v>33</v>
      </c>
      <c r="AC39" s="24">
        <f t="shared" si="10"/>
        <v>-5.5267024907330589E-3</v>
      </c>
      <c r="AE39" s="5">
        <f t="shared" si="11"/>
        <v>90.275637745218091</v>
      </c>
      <c r="AF39" s="6">
        <f t="shared" si="12"/>
        <v>103.74437755600789</v>
      </c>
      <c r="AH39" s="1">
        <f t="shared" si="2"/>
        <v>38954</v>
      </c>
      <c r="AI39">
        <f t="shared" si="6"/>
        <v>0.87017378552858438</v>
      </c>
      <c r="AP39" s="40"/>
      <c r="AQ39" s="41"/>
    </row>
    <row r="40" spans="2:43" x14ac:dyDescent="0.25">
      <c r="B40" s="1">
        <v>38961</v>
      </c>
      <c r="C40">
        <v>1.1990000000000001</v>
      </c>
      <c r="D40">
        <v>0.72</v>
      </c>
      <c r="E40" t="s">
        <v>33</v>
      </c>
      <c r="G40">
        <v>1677.85</v>
      </c>
      <c r="I40" s="14">
        <f t="shared" si="3"/>
        <v>2.7420736932305179E-2</v>
      </c>
      <c r="J40" s="15">
        <f t="shared" si="4"/>
        <v>0</v>
      </c>
      <c r="K40" s="15"/>
      <c r="L40" s="15"/>
      <c r="M40" s="16">
        <f t="shared" si="5"/>
        <v>6.202253087708165E-4</v>
      </c>
      <c r="O40" s="13">
        <f t="shared" si="7"/>
        <v>1.3710368466152589E-2</v>
      </c>
      <c r="Q40" s="5">
        <f t="shared" si="8"/>
        <v>96.068202412729832</v>
      </c>
      <c r="R40" s="6">
        <f t="shared" si="9"/>
        <v>103.80872244461081</v>
      </c>
      <c r="T40" s="11">
        <f t="shared" si="1"/>
        <v>0.92543478187961437</v>
      </c>
      <c r="V40" s="9">
        <v>38961</v>
      </c>
      <c r="W40">
        <v>4976.3999999999996</v>
      </c>
      <c r="X40">
        <v>7505.3302999999996</v>
      </c>
      <c r="Y40" t="s">
        <v>33</v>
      </c>
      <c r="AC40" s="24">
        <f t="shared" si="10"/>
        <v>1.0756268741744037E-2</v>
      </c>
      <c r="AE40" s="5">
        <f t="shared" si="11"/>
        <v>91.246666765637983</v>
      </c>
      <c r="AF40" s="6">
        <f t="shared" si="12"/>
        <v>103.80872244461081</v>
      </c>
      <c r="AH40" s="1">
        <f t="shared" si="2"/>
        <v>38961</v>
      </c>
      <c r="AI40">
        <f t="shared" si="6"/>
        <v>0.87898843774254554</v>
      </c>
      <c r="AP40" s="40"/>
      <c r="AQ40" s="41"/>
    </row>
    <row r="41" spans="2:43" x14ac:dyDescent="0.25">
      <c r="B41" s="1">
        <v>38968</v>
      </c>
      <c r="C41">
        <v>1.214</v>
      </c>
      <c r="D41">
        <v>0.68700000000000006</v>
      </c>
      <c r="E41" t="s">
        <v>33</v>
      </c>
      <c r="G41">
        <v>1632.68</v>
      </c>
      <c r="I41" s="14">
        <f t="shared" si="3"/>
        <v>1.2510425354461896E-2</v>
      </c>
      <c r="J41" s="15">
        <f t="shared" si="4"/>
        <v>-4.5833333333333171E-2</v>
      </c>
      <c r="K41" s="15"/>
      <c r="L41" s="15"/>
      <c r="M41" s="16">
        <f t="shared" si="5"/>
        <v>-2.6921357689900671E-2</v>
      </c>
      <c r="O41" s="13">
        <f t="shared" si="7"/>
        <v>-1.6661453989435637E-2</v>
      </c>
      <c r="Q41" s="5">
        <f t="shared" si="8"/>
        <v>94.467566478382338</v>
      </c>
      <c r="R41" s="6">
        <f t="shared" si="9"/>
        <v>101.01405069634782</v>
      </c>
      <c r="T41" s="11">
        <f t="shared" si="1"/>
        <v>0.93519234034436982</v>
      </c>
      <c r="V41" s="9">
        <v>38968</v>
      </c>
      <c r="W41">
        <v>5042.3999999999996</v>
      </c>
      <c r="X41">
        <v>7157.8612999999996</v>
      </c>
      <c r="Y41" t="s">
        <v>33</v>
      </c>
      <c r="AC41" s="24">
        <f t="shared" si="10"/>
        <v>-2.2571984645648149E-2</v>
      </c>
      <c r="AE41" s="5">
        <f t="shared" si="11"/>
        <v>89.187048404437434</v>
      </c>
      <c r="AF41" s="6">
        <f t="shared" si="12"/>
        <v>101.01405069634782</v>
      </c>
      <c r="AH41" s="1">
        <f t="shared" si="2"/>
        <v>38968</v>
      </c>
      <c r="AI41">
        <f t="shared" si="6"/>
        <v>0.88291725546713484</v>
      </c>
      <c r="AP41" s="40"/>
      <c r="AQ41" s="41"/>
    </row>
    <row r="42" spans="2:43" x14ac:dyDescent="0.25">
      <c r="B42" s="1">
        <v>38975</v>
      </c>
      <c r="C42">
        <v>1.18</v>
      </c>
      <c r="D42">
        <v>0.67500000000000004</v>
      </c>
      <c r="E42" t="s">
        <v>33</v>
      </c>
      <c r="G42">
        <v>1627.75</v>
      </c>
      <c r="I42" s="14">
        <f t="shared" si="3"/>
        <v>-2.8006589785832037E-2</v>
      </c>
      <c r="J42" s="15">
        <f t="shared" si="4"/>
        <v>-1.7467248908296984E-2</v>
      </c>
      <c r="K42" s="15"/>
      <c r="L42" s="15"/>
      <c r="M42" s="16">
        <f t="shared" si="5"/>
        <v>-3.0195751770095702E-3</v>
      </c>
      <c r="O42" s="13">
        <f t="shared" si="7"/>
        <v>-2.273691934706451E-2</v>
      </c>
      <c r="Q42" s="5">
        <f t="shared" si="8"/>
        <v>92.319665038449898</v>
      </c>
      <c r="R42" s="6">
        <f t="shared" si="9"/>
        <v>100.70903117633594</v>
      </c>
      <c r="T42" s="11">
        <f t="shared" si="1"/>
        <v>0.91669698298262126</v>
      </c>
      <c r="V42" s="9">
        <v>38975</v>
      </c>
      <c r="W42">
        <v>4897.2</v>
      </c>
      <c r="X42">
        <v>7036.2470999999996</v>
      </c>
      <c r="Y42" t="s">
        <v>33</v>
      </c>
      <c r="AC42" s="24">
        <f t="shared" si="10"/>
        <v>-2.1823186140631733E-2</v>
      </c>
      <c r="AE42" s="5">
        <f t="shared" si="11"/>
        <v>87.240702845773868</v>
      </c>
      <c r="AF42" s="6">
        <f t="shared" si="12"/>
        <v>100.70903117633594</v>
      </c>
      <c r="AH42" s="1">
        <f t="shared" si="2"/>
        <v>38975</v>
      </c>
      <c r="AI42">
        <f t="shared" si="6"/>
        <v>0.866264939963728</v>
      </c>
      <c r="AP42" s="40"/>
      <c r="AQ42" s="41"/>
    </row>
    <row r="43" spans="2:43" x14ac:dyDescent="0.25">
      <c r="B43" s="1">
        <v>38982</v>
      </c>
      <c r="C43">
        <v>1.17</v>
      </c>
      <c r="D43">
        <v>0.67300000000000004</v>
      </c>
      <c r="E43" t="s">
        <v>33</v>
      </c>
      <c r="G43">
        <v>1638.45</v>
      </c>
      <c r="I43" s="14">
        <f t="shared" si="3"/>
        <v>-8.4745762711864181E-3</v>
      </c>
      <c r="J43" s="15">
        <f t="shared" si="4"/>
        <v>-2.962962962962945E-3</v>
      </c>
      <c r="K43" s="15"/>
      <c r="L43" s="15"/>
      <c r="M43" s="16">
        <f t="shared" si="5"/>
        <v>6.5734910152051018E-3</v>
      </c>
      <c r="O43" s="13">
        <f t="shared" si="7"/>
        <v>-5.7187696170746816E-3</v>
      </c>
      <c r="Q43" s="5">
        <f t="shared" si="8"/>
        <v>91.791710142969507</v>
      </c>
      <c r="R43" s="6">
        <f t="shared" si="9"/>
        <v>101.3710410879236</v>
      </c>
      <c r="T43" s="11">
        <f t="shared" si="1"/>
        <v>0.90550229294137841</v>
      </c>
      <c r="V43" s="9">
        <v>38982</v>
      </c>
      <c r="W43">
        <v>4857.6000000000004</v>
      </c>
      <c r="X43">
        <v>7018.8737000000001</v>
      </c>
      <c r="Y43" t="s">
        <v>33</v>
      </c>
      <c r="AC43" s="24">
        <f t="shared" si="10"/>
        <v>-5.2247966533332654E-3</v>
      </c>
      <c r="AE43" s="5">
        <f t="shared" si="11"/>
        <v>86.784887913510829</v>
      </c>
      <c r="AF43" s="6">
        <f t="shared" si="12"/>
        <v>101.3710410879236</v>
      </c>
      <c r="AH43" s="1">
        <f t="shared" si="2"/>
        <v>38982</v>
      </c>
      <c r="AI43">
        <f t="shared" si="6"/>
        <v>0.8561112422455881</v>
      </c>
      <c r="AP43" s="40"/>
      <c r="AQ43" s="41"/>
    </row>
    <row r="44" spans="2:43" x14ac:dyDescent="0.25">
      <c r="B44" s="1">
        <v>38989</v>
      </c>
      <c r="C44">
        <v>1.1990000000000001</v>
      </c>
      <c r="D44">
        <v>0.67300000000000004</v>
      </c>
      <c r="E44" t="s">
        <v>33</v>
      </c>
      <c r="G44">
        <v>1637.27</v>
      </c>
      <c r="I44" s="14">
        <f t="shared" si="3"/>
        <v>2.478632478632492E-2</v>
      </c>
      <c r="J44" s="15">
        <f t="shared" si="4"/>
        <v>0</v>
      </c>
      <c r="K44" s="15"/>
      <c r="L44" s="15"/>
      <c r="M44" s="16">
        <f t="shared" si="5"/>
        <v>-7.2019286520796921E-4</v>
      </c>
      <c r="O44" s="13">
        <f t="shared" si="7"/>
        <v>1.239316239316246E-2</v>
      </c>
      <c r="Q44" s="5">
        <f t="shared" si="8"/>
        <v>92.929299713117416</v>
      </c>
      <c r="R44" s="6">
        <f t="shared" si="9"/>
        <v>101.29803438739337</v>
      </c>
      <c r="T44" s="11">
        <f t="shared" si="1"/>
        <v>0.91738502405415423</v>
      </c>
      <c r="V44" s="9">
        <v>38989</v>
      </c>
      <c r="W44">
        <v>4976.3999999999996</v>
      </c>
      <c r="X44">
        <v>7018.8737000000001</v>
      </c>
      <c r="Y44" t="s">
        <v>33</v>
      </c>
      <c r="AC44" s="24">
        <f t="shared" si="10"/>
        <v>1.0137861988618047E-2</v>
      </c>
      <c r="AE44" s="5">
        <f t="shared" si="11"/>
        <v>87.664701129875695</v>
      </c>
      <c r="AF44" s="6">
        <f t="shared" si="12"/>
        <v>101.29803438739337</v>
      </c>
      <c r="AH44" s="1">
        <f t="shared" si="2"/>
        <v>38989</v>
      </c>
      <c r="AI44">
        <f t="shared" si="6"/>
        <v>0.86541364459867198</v>
      </c>
      <c r="AP44" s="40"/>
      <c r="AQ44" s="41"/>
    </row>
    <row r="45" spans="2:43" x14ac:dyDescent="0.25">
      <c r="B45" s="1">
        <v>38996</v>
      </c>
      <c r="C45">
        <v>1.18</v>
      </c>
      <c r="D45">
        <v>0.68700000000000006</v>
      </c>
      <c r="E45" t="s">
        <v>33</v>
      </c>
      <c r="G45">
        <v>1644.93</v>
      </c>
      <c r="I45" s="14">
        <f t="shared" si="3"/>
        <v>-1.5846538782318675E-2</v>
      </c>
      <c r="J45" s="15">
        <f t="shared" si="4"/>
        <v>2.080237741456159E-2</v>
      </c>
      <c r="K45" s="15"/>
      <c r="L45" s="15"/>
      <c r="M45" s="16">
        <f t="shared" si="5"/>
        <v>4.67851973101574E-3</v>
      </c>
      <c r="O45" s="13">
        <f t="shared" si="7"/>
        <v>2.4779193161214574E-3</v>
      </c>
      <c r="Q45" s="5">
        <f t="shared" si="8"/>
        <v>93.159571019910189</v>
      </c>
      <c r="R45" s="6">
        <f t="shared" si="9"/>
        <v>101.77195923998791</v>
      </c>
      <c r="T45" s="11">
        <f t="shared" si="1"/>
        <v>0.91537562719246768</v>
      </c>
      <c r="V45" s="9">
        <v>38996</v>
      </c>
      <c r="W45">
        <v>4897.2</v>
      </c>
      <c r="X45">
        <v>7157.8612999999996</v>
      </c>
      <c r="Y45" t="s">
        <v>33</v>
      </c>
      <c r="AC45" s="24">
        <f t="shared" si="10"/>
        <v>5.5980835298664097E-3</v>
      </c>
      <c r="AE45" s="5">
        <f t="shared" si="11"/>
        <v>88.15545544942151</v>
      </c>
      <c r="AF45" s="6">
        <f t="shared" si="12"/>
        <v>101.77195923998791</v>
      </c>
      <c r="AH45" s="1">
        <f t="shared" si="2"/>
        <v>38996</v>
      </c>
      <c r="AI45">
        <f t="shared" si="6"/>
        <v>0.86620574181482157</v>
      </c>
      <c r="AP45" s="40"/>
      <c r="AQ45" s="41"/>
    </row>
    <row r="46" spans="2:43" x14ac:dyDescent="0.25">
      <c r="B46" s="1">
        <v>39003</v>
      </c>
      <c r="C46">
        <v>1.17</v>
      </c>
      <c r="D46">
        <v>0.68500000000000005</v>
      </c>
      <c r="E46" t="s">
        <v>33</v>
      </c>
      <c r="G46">
        <v>1664.57</v>
      </c>
      <c r="I46" s="14">
        <f t="shared" si="3"/>
        <v>-8.4745762711864181E-3</v>
      </c>
      <c r="J46" s="15">
        <f t="shared" si="4"/>
        <v>-2.9112081513827937E-3</v>
      </c>
      <c r="K46" s="15"/>
      <c r="L46" s="15"/>
      <c r="M46" s="16">
        <f t="shared" si="5"/>
        <v>1.1939717799541505E-2</v>
      </c>
      <c r="O46" s="13">
        <f t="shared" si="7"/>
        <v>-5.6928922112846059E-3</v>
      </c>
      <c r="Q46" s="5">
        <f t="shared" si="8"/>
        <v>92.629223623644322</v>
      </c>
      <c r="R46" s="6">
        <f t="shared" si="9"/>
        <v>102.98708771321981</v>
      </c>
      <c r="T46" s="11">
        <f t="shared" si="1"/>
        <v>0.89942560451443943</v>
      </c>
      <c r="V46" s="9">
        <v>39003</v>
      </c>
      <c r="W46">
        <v>4857.6000000000004</v>
      </c>
      <c r="X46">
        <v>7140.4877999999999</v>
      </c>
      <c r="Y46" t="s">
        <v>33</v>
      </c>
      <c r="AC46" s="24">
        <f t="shared" si="10"/>
        <v>-5.1712486172327933E-3</v>
      </c>
      <c r="AE46" s="5">
        <f t="shared" si="11"/>
        <v>87.699581672327156</v>
      </c>
      <c r="AF46" s="6">
        <f t="shared" si="12"/>
        <v>102.98708771321981</v>
      </c>
      <c r="AH46" s="1">
        <f t="shared" si="2"/>
        <v>39003</v>
      </c>
      <c r="AI46">
        <f t="shared" si="6"/>
        <v>0.85155900239200288</v>
      </c>
      <c r="AP46" s="40"/>
      <c r="AQ46" s="41"/>
    </row>
    <row r="47" spans="2:43" x14ac:dyDescent="0.25">
      <c r="B47" s="1">
        <v>39010</v>
      </c>
      <c r="C47">
        <v>1.18</v>
      </c>
      <c r="D47">
        <v>0.73299999999999998</v>
      </c>
      <c r="E47" t="s">
        <v>33</v>
      </c>
      <c r="G47">
        <v>1701.6</v>
      </c>
      <c r="I47" s="14">
        <f t="shared" si="3"/>
        <v>8.5470085470085166E-3</v>
      </c>
      <c r="J47" s="15">
        <f t="shared" si="4"/>
        <v>7.0072992700729753E-2</v>
      </c>
      <c r="K47" s="15"/>
      <c r="L47" s="15"/>
      <c r="M47" s="16">
        <f t="shared" si="5"/>
        <v>2.2245985449695693E-2</v>
      </c>
      <c r="O47" s="13">
        <f t="shared" si="7"/>
        <v>3.9310000623869135E-2</v>
      </c>
      <c r="Q47" s="5">
        <f t="shared" si="8"/>
        <v>96.270478462078287</v>
      </c>
      <c r="R47" s="6">
        <f t="shared" si="9"/>
        <v>105.27813696799463</v>
      </c>
      <c r="T47" s="11">
        <f t="shared" si="1"/>
        <v>0.91443941956671648</v>
      </c>
      <c r="V47" s="9">
        <v>39010</v>
      </c>
      <c r="W47">
        <v>4897.2</v>
      </c>
      <c r="X47">
        <v>7644.3179</v>
      </c>
      <c r="Y47" t="s">
        <v>33</v>
      </c>
      <c r="AC47" s="24">
        <f t="shared" si="10"/>
        <v>4.5163304956561366E-2</v>
      </c>
      <c r="AE47" s="5">
        <f t="shared" si="11"/>
        <v>91.660384623957327</v>
      </c>
      <c r="AF47" s="6">
        <f t="shared" si="12"/>
        <v>105.27813696799463</v>
      </c>
      <c r="AH47" s="1">
        <f t="shared" si="2"/>
        <v>39010</v>
      </c>
      <c r="AI47">
        <f t="shared" si="6"/>
        <v>0.87064975942557576</v>
      </c>
      <c r="AP47" s="40"/>
      <c r="AQ47" s="41"/>
    </row>
    <row r="48" spans="2:43" x14ac:dyDescent="0.25">
      <c r="B48" s="1">
        <v>39017</v>
      </c>
      <c r="C48">
        <v>1.208</v>
      </c>
      <c r="D48">
        <v>0.74199999999999999</v>
      </c>
      <c r="E48" t="s">
        <v>33</v>
      </c>
      <c r="G48">
        <v>1784.6</v>
      </c>
      <c r="I48" s="14">
        <f t="shared" si="3"/>
        <v>2.3728813559322104E-2</v>
      </c>
      <c r="J48" s="15">
        <f t="shared" si="4"/>
        <v>1.2278308321964637E-2</v>
      </c>
      <c r="K48" s="15"/>
      <c r="L48" s="15"/>
      <c r="M48" s="16">
        <f t="shared" si="5"/>
        <v>4.8777621062529475E-2</v>
      </c>
      <c r="O48" s="13">
        <f t="shared" si="7"/>
        <v>1.8003560940643371E-2</v>
      </c>
      <c r="Q48" s="5">
        <f t="shared" si="8"/>
        <v>98.003689887855217</v>
      </c>
      <c r="R48" s="6">
        <f t="shared" si="9"/>
        <v>110.41335403918855</v>
      </c>
      <c r="T48" s="11">
        <f t="shared" si="1"/>
        <v>0.88760721690486077</v>
      </c>
      <c r="V48" s="9">
        <v>39017</v>
      </c>
      <c r="W48">
        <v>5016</v>
      </c>
      <c r="X48">
        <v>7731.1850999999997</v>
      </c>
      <c r="Y48" t="s">
        <v>33</v>
      </c>
      <c r="AC48" s="24">
        <f t="shared" si="10"/>
        <v>1.6749490733496099E-2</v>
      </c>
      <c r="AE48" s="5">
        <f t="shared" si="11"/>
        <v>93.195649386844991</v>
      </c>
      <c r="AF48" s="6">
        <f t="shared" si="12"/>
        <v>110.41335403918855</v>
      </c>
      <c r="AH48" s="1">
        <f t="shared" si="2"/>
        <v>39017</v>
      </c>
      <c r="AI48">
        <f t="shared" si="6"/>
        <v>0.84406139273486291</v>
      </c>
      <c r="AP48" s="40"/>
      <c r="AQ48" s="41"/>
    </row>
    <row r="49" spans="2:43" x14ac:dyDescent="0.25">
      <c r="B49" s="1">
        <v>39024</v>
      </c>
      <c r="C49">
        <v>1.224</v>
      </c>
      <c r="D49">
        <v>0.76700000000000002</v>
      </c>
      <c r="E49" t="s">
        <v>33</v>
      </c>
      <c r="G49">
        <v>1841.96</v>
      </c>
      <c r="I49" s="14">
        <f t="shared" si="3"/>
        <v>1.3245033112582849E-2</v>
      </c>
      <c r="J49" s="15">
        <f t="shared" si="4"/>
        <v>3.3692722371967632E-2</v>
      </c>
      <c r="K49" s="15"/>
      <c r="L49" s="15"/>
      <c r="M49" s="16">
        <f t="shared" si="5"/>
        <v>3.2141656393589679E-2</v>
      </c>
      <c r="O49" s="13">
        <f t="shared" si="7"/>
        <v>2.346887774227524E-2</v>
      </c>
      <c r="Q49" s="5">
        <f t="shared" si="8"/>
        <v>100.30372650412514</v>
      </c>
      <c r="R49" s="6">
        <f t="shared" si="9"/>
        <v>113.96222212597991</v>
      </c>
      <c r="T49" s="11">
        <f t="shared" si="1"/>
        <v>0.88014891806202289</v>
      </c>
      <c r="V49" s="9">
        <v>39024</v>
      </c>
      <c r="W49">
        <v>5082</v>
      </c>
      <c r="X49">
        <v>7991.7869000000001</v>
      </c>
      <c r="Y49" t="s">
        <v>33</v>
      </c>
      <c r="AC49" s="24">
        <f t="shared" si="10"/>
        <v>2.5646584458345112E-2</v>
      </c>
      <c r="AE49" s="5">
        <f t="shared" si="11"/>
        <v>95.585799479995032</v>
      </c>
      <c r="AF49" s="6">
        <f t="shared" si="12"/>
        <v>113.96222212597991</v>
      </c>
      <c r="AH49" s="1">
        <f t="shared" si="2"/>
        <v>39024</v>
      </c>
      <c r="AI49">
        <f t="shared" si="6"/>
        <v>0.8387498742726287</v>
      </c>
      <c r="AP49" s="40"/>
      <c r="AQ49" s="41"/>
    </row>
    <row r="50" spans="2:43" x14ac:dyDescent="0.25">
      <c r="B50" s="1">
        <v>39031</v>
      </c>
      <c r="C50">
        <v>1.284</v>
      </c>
      <c r="D50">
        <v>0.78</v>
      </c>
      <c r="E50" t="s">
        <v>33</v>
      </c>
      <c r="G50">
        <v>1885.55</v>
      </c>
      <c r="I50" s="14">
        <f t="shared" si="3"/>
        <v>4.9019607843137303E-2</v>
      </c>
      <c r="J50" s="15">
        <f t="shared" si="4"/>
        <v>1.6949152542372836E-2</v>
      </c>
      <c r="K50" s="15"/>
      <c r="L50" s="15"/>
      <c r="M50" s="16">
        <f t="shared" si="5"/>
        <v>2.3665009012139304E-2</v>
      </c>
      <c r="O50" s="13">
        <f t="shared" si="7"/>
        <v>3.2984380192755069E-2</v>
      </c>
      <c r="Q50" s="5">
        <f t="shared" si="8"/>
        <v>103.61218275388731</v>
      </c>
      <c r="R50" s="6">
        <f t="shared" si="9"/>
        <v>116.65913913963465</v>
      </c>
      <c r="T50" s="11">
        <f t="shared" si="1"/>
        <v>0.88816172927411341</v>
      </c>
      <c r="V50" s="9">
        <v>39031</v>
      </c>
      <c r="W50">
        <v>5332.8</v>
      </c>
      <c r="X50">
        <v>8130.7745000000004</v>
      </c>
      <c r="Y50" t="s">
        <v>33</v>
      </c>
      <c r="AC50" s="24">
        <f t="shared" si="10"/>
        <v>2.9415475810842591E-2</v>
      </c>
      <c r="AE50" s="5">
        <f t="shared" si="11"/>
        <v>98.397501252458881</v>
      </c>
      <c r="AF50" s="6">
        <f t="shared" si="12"/>
        <v>116.65913913963465</v>
      </c>
      <c r="AH50" s="1">
        <f t="shared" si="2"/>
        <v>39031</v>
      </c>
      <c r="AI50">
        <f t="shared" si="6"/>
        <v>0.84346157513371012</v>
      </c>
      <c r="AP50" s="40"/>
      <c r="AQ50" s="41"/>
    </row>
    <row r="51" spans="2:43" x14ac:dyDescent="0.25">
      <c r="B51" s="1">
        <v>39038</v>
      </c>
      <c r="C51">
        <v>1.323</v>
      </c>
      <c r="D51">
        <v>0.76800000000000002</v>
      </c>
      <c r="E51" t="s">
        <v>33</v>
      </c>
      <c r="G51">
        <v>1886.92</v>
      </c>
      <c r="I51" s="14">
        <f t="shared" si="3"/>
        <v>3.0373831775700966E-2</v>
      </c>
      <c r="J51" s="15">
        <f t="shared" si="4"/>
        <v>-1.5384615384615441E-2</v>
      </c>
      <c r="K51" s="15"/>
      <c r="L51" s="15"/>
      <c r="M51" s="16">
        <f t="shared" si="5"/>
        <v>7.2657845191059778E-4</v>
      </c>
      <c r="O51" s="13">
        <f t="shared" si="7"/>
        <v>7.4946081955427624E-3</v>
      </c>
      <c r="Q51" s="5">
        <f t="shared" si="8"/>
        <v>104.38871546791266</v>
      </c>
      <c r="R51" s="6">
        <f t="shared" si="9"/>
        <v>116.74390115635194</v>
      </c>
      <c r="T51" s="11">
        <f t="shared" si="1"/>
        <v>0.89416846990668652</v>
      </c>
      <c r="V51" s="9">
        <v>39038</v>
      </c>
      <c r="W51">
        <v>5491.2</v>
      </c>
      <c r="X51">
        <v>8009.1602999999996</v>
      </c>
      <c r="Y51" t="s">
        <v>33</v>
      </c>
      <c r="AC51" s="24">
        <f t="shared" si="10"/>
        <v>2.7398913737149964E-3</v>
      </c>
      <c r="AE51" s="5">
        <f t="shared" si="11"/>
        <v>98.667099717335589</v>
      </c>
      <c r="AF51" s="6">
        <f t="shared" si="12"/>
        <v>116.74390115635194</v>
      </c>
      <c r="AH51" s="1">
        <f t="shared" si="2"/>
        <v>39038</v>
      </c>
      <c r="AI51">
        <f t="shared" si="6"/>
        <v>0.845158494277088</v>
      </c>
      <c r="AP51" s="40"/>
      <c r="AQ51" s="41"/>
    </row>
    <row r="52" spans="2:43" x14ac:dyDescent="0.25">
      <c r="B52" s="1">
        <v>39045</v>
      </c>
      <c r="C52">
        <v>1.331</v>
      </c>
      <c r="D52">
        <v>0.76800000000000002</v>
      </c>
      <c r="E52" t="s">
        <v>33</v>
      </c>
      <c r="G52">
        <v>1943.63</v>
      </c>
      <c r="I52" s="14">
        <f t="shared" si="3"/>
        <v>6.046863189720364E-3</v>
      </c>
      <c r="J52" s="15">
        <f t="shared" si="4"/>
        <v>0</v>
      </c>
      <c r="K52" s="15"/>
      <c r="L52" s="15"/>
      <c r="M52" s="16">
        <f t="shared" si="5"/>
        <v>3.0054268331460854E-2</v>
      </c>
      <c r="O52" s="13">
        <f t="shared" si="7"/>
        <v>3.023431594860182E-3</v>
      </c>
      <c r="Q52" s="5">
        <f t="shared" si="8"/>
        <v>104.70432760840521</v>
      </c>
      <c r="R52" s="6">
        <f t="shared" si="9"/>
        <v>120.25255368776648</v>
      </c>
      <c r="T52" s="11">
        <f t="shared" si="1"/>
        <v>0.87070356842706265</v>
      </c>
      <c r="V52" s="9">
        <v>39045</v>
      </c>
      <c r="W52">
        <v>5398.8</v>
      </c>
      <c r="X52">
        <v>8009.1602999999996</v>
      </c>
      <c r="Y52" t="s">
        <v>33</v>
      </c>
      <c r="AC52" s="24">
        <f t="shared" si="10"/>
        <v>2.4595295539921601E-3</v>
      </c>
      <c r="AE52" s="5">
        <f t="shared" si="11"/>
        <v>98.909774365097064</v>
      </c>
      <c r="AF52" s="6">
        <f t="shared" si="12"/>
        <v>120.25255368776648</v>
      </c>
      <c r="AH52" s="1">
        <f t="shared" si="2"/>
        <v>39045</v>
      </c>
      <c r="AI52">
        <f t="shared" si="6"/>
        <v>0.82251703878085169</v>
      </c>
      <c r="AP52" s="40"/>
      <c r="AQ52" s="41"/>
    </row>
    <row r="53" spans="2:43" x14ac:dyDescent="0.25">
      <c r="B53" s="1">
        <v>39052</v>
      </c>
      <c r="C53">
        <v>1.3080000000000001</v>
      </c>
      <c r="D53">
        <v>0.76500000000000001</v>
      </c>
      <c r="E53" t="s">
        <v>33</v>
      </c>
      <c r="G53">
        <v>1929.46</v>
      </c>
      <c r="I53" s="14">
        <f t="shared" si="3"/>
        <v>-1.728024042073617E-2</v>
      </c>
      <c r="J53" s="15">
        <f t="shared" si="4"/>
        <v>-3.90625E-3</v>
      </c>
      <c r="K53" s="15"/>
      <c r="L53" s="15"/>
      <c r="M53" s="16">
        <f t="shared" si="5"/>
        <v>-7.2904822419905813E-3</v>
      </c>
      <c r="O53" s="13">
        <f t="shared" si="7"/>
        <v>-1.0593245210368085E-2</v>
      </c>
      <c r="Q53" s="5">
        <f t="shared" si="8"/>
        <v>103.59516899146266</v>
      </c>
      <c r="R53" s="6">
        <f t="shared" si="9"/>
        <v>119.3758545805518</v>
      </c>
      <c r="T53" s="11">
        <f t="shared" si="1"/>
        <v>0.86780672151384908</v>
      </c>
      <c r="V53" s="9">
        <v>39052</v>
      </c>
      <c r="W53">
        <v>5306.4</v>
      </c>
      <c r="X53">
        <v>7974.4134000000004</v>
      </c>
      <c r="Y53" t="s">
        <v>33</v>
      </c>
      <c r="AC53" s="24">
        <f t="shared" si="10"/>
        <v>-9.2913718133059691E-3</v>
      </c>
      <c r="AE53" s="5">
        <f t="shared" si="11"/>
        <v>97.990766875500753</v>
      </c>
      <c r="AF53" s="6">
        <f t="shared" si="12"/>
        <v>119.3758545805518</v>
      </c>
      <c r="AH53" s="1">
        <f t="shared" si="2"/>
        <v>39052</v>
      </c>
      <c r="AI53">
        <f t="shared" si="6"/>
        <v>0.820859186472915</v>
      </c>
      <c r="AP53" s="40"/>
      <c r="AQ53" s="41"/>
    </row>
    <row r="54" spans="2:43" x14ac:dyDescent="0.25">
      <c r="B54" s="1">
        <v>39059</v>
      </c>
      <c r="C54">
        <v>1.3149999999999999</v>
      </c>
      <c r="D54">
        <v>0.76200000000000001</v>
      </c>
      <c r="E54" t="s">
        <v>33</v>
      </c>
      <c r="G54">
        <v>1969.55</v>
      </c>
      <c r="I54" s="14">
        <f t="shared" si="3"/>
        <v>5.3516819571863827E-3</v>
      </c>
      <c r="J54" s="15">
        <f t="shared" si="4"/>
        <v>-3.9215686274509665E-3</v>
      </c>
      <c r="K54" s="15"/>
      <c r="L54" s="15"/>
      <c r="M54" s="16">
        <f t="shared" si="5"/>
        <v>2.0777834212681201E-2</v>
      </c>
      <c r="O54" s="13">
        <f t="shared" si="7"/>
        <v>7.1505666486770814E-4</v>
      </c>
      <c r="Q54" s="5">
        <f t="shared" si="8"/>
        <v>103.6692454074981</v>
      </c>
      <c r="R54" s="6">
        <f t="shared" si="9"/>
        <v>121.85622629602365</v>
      </c>
      <c r="T54" s="11">
        <f t="shared" si="1"/>
        <v>0.85075049965568295</v>
      </c>
      <c r="V54" s="9">
        <v>39059</v>
      </c>
      <c r="W54">
        <v>5332.8</v>
      </c>
      <c r="X54">
        <v>7939.6665000000003</v>
      </c>
      <c r="Y54" t="s">
        <v>33</v>
      </c>
      <c r="AC54" s="24">
        <f t="shared" si="10"/>
        <v>-2.1640574169581937E-4</v>
      </c>
      <c r="AE54" s="5">
        <f t="shared" si="11"/>
        <v>97.96956111091572</v>
      </c>
      <c r="AF54" s="6">
        <f t="shared" si="12"/>
        <v>121.85622629602365</v>
      </c>
      <c r="AH54" s="1">
        <f t="shared" si="2"/>
        <v>39059</v>
      </c>
      <c r="AI54">
        <f t="shared" si="6"/>
        <v>0.80397665420000464</v>
      </c>
      <c r="AP54" s="40"/>
      <c r="AQ54" s="41"/>
    </row>
    <row r="55" spans="2:43" x14ac:dyDescent="0.25">
      <c r="B55" s="1">
        <v>39066</v>
      </c>
      <c r="C55">
        <v>1.3180000000000001</v>
      </c>
      <c r="D55">
        <v>0.76800000000000002</v>
      </c>
      <c r="E55" t="s">
        <v>33</v>
      </c>
      <c r="G55">
        <v>2049.65</v>
      </c>
      <c r="I55" s="14">
        <f t="shared" si="3"/>
        <v>2.2813688212928174E-3</v>
      </c>
      <c r="J55" s="15">
        <f t="shared" si="4"/>
        <v>7.8740157480314821E-3</v>
      </c>
      <c r="K55" s="15"/>
      <c r="L55" s="15"/>
      <c r="M55" s="16">
        <f t="shared" si="5"/>
        <v>4.0669188393287925E-2</v>
      </c>
      <c r="O55" s="13">
        <f t="shared" si="7"/>
        <v>5.0776922846621497E-3</v>
      </c>
      <c r="Q55" s="5">
        <f t="shared" si="8"/>
        <v>104.19564593506048</v>
      </c>
      <c r="R55" s="6">
        <f t="shared" si="9"/>
        <v>126.81202012015176</v>
      </c>
      <c r="T55" s="11">
        <f t="shared" si="1"/>
        <v>0.82165433400033583</v>
      </c>
      <c r="V55" s="9">
        <v>39066</v>
      </c>
      <c r="W55">
        <v>5346</v>
      </c>
      <c r="X55">
        <v>8009.1602999999996</v>
      </c>
      <c r="Y55" t="s">
        <v>33</v>
      </c>
      <c r="AC55" s="24">
        <f t="shared" si="10"/>
        <v>5.6269226752471624E-3</v>
      </c>
      <c r="AE55" s="5">
        <f t="shared" si="11"/>
        <v>98.520828255814749</v>
      </c>
      <c r="AF55" s="6">
        <f t="shared" si="12"/>
        <v>126.81202012015176</v>
      </c>
      <c r="AH55" s="1">
        <f t="shared" si="2"/>
        <v>39066</v>
      </c>
      <c r="AI55">
        <f t="shared" si="6"/>
        <v>0.77690449345786239</v>
      </c>
      <c r="AP55" s="40"/>
      <c r="AQ55" s="41"/>
    </row>
    <row r="56" spans="2:43" x14ac:dyDescent="0.25">
      <c r="B56" s="1">
        <v>39073</v>
      </c>
      <c r="C56">
        <v>1.2889999999999999</v>
      </c>
      <c r="D56">
        <v>0.81299999999999994</v>
      </c>
      <c r="E56" t="s">
        <v>33</v>
      </c>
      <c r="G56">
        <v>2057.5100000000002</v>
      </c>
      <c r="I56" s="14">
        <f t="shared" si="3"/>
        <v>-2.2003034901365792E-2</v>
      </c>
      <c r="J56" s="15">
        <f t="shared" si="4"/>
        <v>5.859375E-2</v>
      </c>
      <c r="K56" s="15"/>
      <c r="L56" s="15"/>
      <c r="M56" s="16">
        <f t="shared" si="5"/>
        <v>3.8348010635962382E-3</v>
      </c>
      <c r="O56" s="13">
        <f t="shared" si="7"/>
        <v>1.8295357549317104E-2</v>
      </c>
      <c r="Q56" s="5">
        <f t="shared" si="8"/>
        <v>106.10194253252445</v>
      </c>
      <c r="R56" s="6">
        <f t="shared" si="9"/>
        <v>127.2983189897853</v>
      </c>
      <c r="T56" s="11">
        <f t="shared" si="1"/>
        <v>0.83349052347689134</v>
      </c>
      <c r="V56" s="9">
        <v>39073</v>
      </c>
      <c r="W56">
        <v>5227.2</v>
      </c>
      <c r="X56">
        <v>8478.2435000000005</v>
      </c>
      <c r="Y56" t="s">
        <v>33</v>
      </c>
      <c r="AC56" s="24">
        <f t="shared" si="10"/>
        <v>2.6331283477400377E-2</v>
      </c>
      <c r="AE56" s="5">
        <f t="shared" si="11"/>
        <v>101.11500811304688</v>
      </c>
      <c r="AF56" s="6">
        <f t="shared" si="12"/>
        <v>127.2983189897853</v>
      </c>
      <c r="AH56" s="1">
        <f t="shared" si="2"/>
        <v>39073</v>
      </c>
      <c r="AI56">
        <f t="shared" si="6"/>
        <v>0.79431534458173458</v>
      </c>
      <c r="AP56" s="40"/>
      <c r="AQ56" s="41"/>
    </row>
    <row r="57" spans="2:43" x14ac:dyDescent="0.25">
      <c r="B57" s="1">
        <v>39080</v>
      </c>
      <c r="C57">
        <v>1.363</v>
      </c>
      <c r="D57">
        <v>0.81299999999999994</v>
      </c>
      <c r="E57" t="s">
        <v>33</v>
      </c>
      <c r="G57">
        <v>2090.46</v>
      </c>
      <c r="I57" s="14">
        <f t="shared" si="3"/>
        <v>5.7408844065166775E-2</v>
      </c>
      <c r="J57" s="15">
        <f t="shared" si="4"/>
        <v>0</v>
      </c>
      <c r="K57" s="15"/>
      <c r="L57" s="15"/>
      <c r="M57" s="16">
        <f t="shared" si="5"/>
        <v>1.6014502967178768E-2</v>
      </c>
      <c r="O57" s="13">
        <f t="shared" si="7"/>
        <v>2.8704422032583388E-2</v>
      </c>
      <c r="Q57" s="5">
        <f t="shared" si="8"/>
        <v>109.14753746945493</v>
      </c>
      <c r="R57" s="6">
        <f t="shared" si="9"/>
        <v>129.33693829696409</v>
      </c>
      <c r="T57" s="11">
        <f t="shared" si="1"/>
        <v>0.84390073637622931</v>
      </c>
      <c r="V57" s="9">
        <v>39080</v>
      </c>
      <c r="W57">
        <v>5517.6</v>
      </c>
      <c r="X57">
        <v>8478.2435000000005</v>
      </c>
      <c r="Y57" t="s">
        <v>33</v>
      </c>
      <c r="AC57" s="24">
        <f t="shared" si="10"/>
        <v>2.1895497923685558E-2</v>
      </c>
      <c r="AE57" s="5">
        <f t="shared" si="11"/>
        <v>103.32897156323955</v>
      </c>
      <c r="AF57" s="6">
        <f t="shared" si="12"/>
        <v>129.33693829696409</v>
      </c>
      <c r="AH57" s="1">
        <f t="shared" si="2"/>
        <v>39080</v>
      </c>
      <c r="AI57">
        <f t="shared" si="6"/>
        <v>0.79891307869056749</v>
      </c>
      <c r="AP57" s="40"/>
      <c r="AQ57" s="41"/>
    </row>
    <row r="58" spans="2:43" x14ac:dyDescent="0.25">
      <c r="B58" s="1">
        <v>39087</v>
      </c>
      <c r="C58">
        <v>1.3440000000000001</v>
      </c>
      <c r="D58">
        <v>0.76300000000000001</v>
      </c>
      <c r="E58" t="s">
        <v>33</v>
      </c>
      <c r="G58">
        <v>2063.88</v>
      </c>
      <c r="I58" s="14">
        <f t="shared" si="3"/>
        <v>-1.3939838591342513E-2</v>
      </c>
      <c r="J58" s="15">
        <f t="shared" si="4"/>
        <v>-6.1500615006150006E-2</v>
      </c>
      <c r="K58" s="15"/>
      <c r="L58" s="15"/>
      <c r="M58" s="16">
        <f t="shared" si="5"/>
        <v>-1.2714904853477149E-2</v>
      </c>
      <c r="O58" s="13">
        <f t="shared" si="7"/>
        <v>-3.7720226798746259E-2</v>
      </c>
      <c r="Q58" s="5">
        <f t="shared" si="8"/>
        <v>105.03046760158244</v>
      </c>
      <c r="R58" s="6">
        <f t="shared" si="9"/>
        <v>127.69243143247814</v>
      </c>
      <c r="T58" s="11">
        <f t="shared" si="1"/>
        <v>0.82252696125628233</v>
      </c>
      <c r="V58" s="9">
        <v>39087</v>
      </c>
      <c r="W58">
        <v>5438.4</v>
      </c>
      <c r="X58">
        <v>7957.04</v>
      </c>
      <c r="Y58" t="s">
        <v>33</v>
      </c>
      <c r="AC58" s="24">
        <f t="shared" si="10"/>
        <v>-4.275066685573365E-2</v>
      </c>
      <c r="AE58" s="5">
        <f t="shared" si="11"/>
        <v>98.91158912339391</v>
      </c>
      <c r="AF58" s="6">
        <f t="shared" si="12"/>
        <v>127.69243143247814</v>
      </c>
      <c r="AH58" s="1">
        <f t="shared" si="2"/>
        <v>39087</v>
      </c>
      <c r="AI58">
        <f t="shared" si="6"/>
        <v>0.77460807985081614</v>
      </c>
      <c r="AJ58">
        <f ca="1">+_xlfn.PERCENTILE.INC(OFFSET(AI58,-52,0,52,1),0.1)</f>
        <v>0.82414032233002943</v>
      </c>
      <c r="AK58">
        <f ca="1">+_xlfn.PERCENTILE.INC(OFFSET(AI58,-52,0,52,1),0.25)</f>
        <v>0.85650190279225891</v>
      </c>
      <c r="AL58">
        <f ca="1">+_xlfn.PERCENTILE.INC(OFFSET(AI58,-52,0,52,1),0.5)</f>
        <v>0.87832635910448087</v>
      </c>
      <c r="AM58">
        <f ca="1">+_xlfn.PERCENTILE.INC(OFFSET(AI58,-52,0,52,1),0.75)</f>
        <v>0.91081815876993932</v>
      </c>
      <c r="AN58">
        <f ca="1">+_xlfn.PERCENTILE.INC(OFFSET(AI58,-52,0,52,1),0.9)</f>
        <v>0.95524683955358192</v>
      </c>
      <c r="AP58" s="40"/>
      <c r="AQ58" s="41"/>
    </row>
    <row r="59" spans="2:43" x14ac:dyDescent="0.25">
      <c r="B59" s="1">
        <v>39094</v>
      </c>
      <c r="C59">
        <v>1.3440000000000001</v>
      </c>
      <c r="D59">
        <v>0.76</v>
      </c>
      <c r="E59" t="s">
        <v>33</v>
      </c>
      <c r="G59">
        <v>2072.62</v>
      </c>
      <c r="I59" s="14">
        <f t="shared" si="3"/>
        <v>0</v>
      </c>
      <c r="J59" s="15">
        <f t="shared" si="4"/>
        <v>-3.9318479685451768E-3</v>
      </c>
      <c r="K59" s="15"/>
      <c r="L59" s="15"/>
      <c r="M59" s="16">
        <f t="shared" si="5"/>
        <v>4.2347423299802234E-3</v>
      </c>
      <c r="O59" s="13">
        <f t="shared" si="7"/>
        <v>-1.9659239842725884E-3</v>
      </c>
      <c r="Q59" s="5">
        <f t="shared" si="8"/>
        <v>104.82398568624512</v>
      </c>
      <c r="R59" s="6">
        <f t="shared" si="9"/>
        <v>128.23317597708336</v>
      </c>
      <c r="T59" s="11">
        <f t="shared" si="1"/>
        <v>0.81744825305565461</v>
      </c>
      <c r="V59" s="9">
        <v>39094</v>
      </c>
      <c r="W59">
        <v>5438.4</v>
      </c>
      <c r="X59">
        <v>7922.2930999999999</v>
      </c>
      <c r="Y59" t="s">
        <v>33</v>
      </c>
      <c r="AC59" s="24">
        <f t="shared" si="10"/>
        <v>-2.3355613223330265E-3</v>
      </c>
      <c r="AE59" s="5">
        <f t="shared" si="11"/>
        <v>98.680575041506813</v>
      </c>
      <c r="AF59" s="6">
        <f t="shared" si="12"/>
        <v>128.23317597708336</v>
      </c>
      <c r="AH59" s="1">
        <f t="shared" si="2"/>
        <v>39094</v>
      </c>
      <c r="AI59">
        <f t="shared" si="6"/>
        <v>0.76954013101213437</v>
      </c>
      <c r="AJ59">
        <f t="shared" ref="AJ59:AJ122" ca="1" si="13">+_xlfn.PERCENTILE.INC(OFFSET(AI59,-52,0,52,1),0.1)</f>
        <v>0.82102497170370869</v>
      </c>
      <c r="AK59">
        <f t="shared" ref="AK59:AK122" ca="1" si="14">+_xlfn.PERCENTILE.INC(OFFSET(AI59,-52,0,52,1),0.25)</f>
        <v>0.85622648021114689</v>
      </c>
      <c r="AL59">
        <f t="shared" ref="AL59:AL122" ca="1" si="15">+_xlfn.PERCENTILE.INC(OFFSET(AI59,-52,0,52,1),0.5)</f>
        <v>0.87667873211667469</v>
      </c>
      <c r="AM59">
        <f t="shared" ref="AM59:AM122" ca="1" si="16">+_xlfn.PERCENTILE.INC(OFFSET(AI59,-52,0,52,1),0.75)</f>
        <v>0.90507558635205843</v>
      </c>
      <c r="AN59">
        <f t="shared" ref="AN59:AN122" ca="1" si="17">+_xlfn.PERCENTILE.INC(OFFSET(AI59,-52,0,52,1),0.9)</f>
        <v>0.94601846498130338</v>
      </c>
      <c r="AP59" s="40"/>
      <c r="AQ59" s="41"/>
    </row>
    <row r="60" spans="2:43" x14ac:dyDescent="0.25">
      <c r="B60" s="1">
        <v>39101</v>
      </c>
      <c r="C60">
        <v>1.3340000000000001</v>
      </c>
      <c r="D60">
        <v>0.72799999999999998</v>
      </c>
      <c r="E60" t="s">
        <v>33</v>
      </c>
      <c r="G60">
        <v>2037.32</v>
      </c>
      <c r="I60" s="14">
        <f t="shared" si="3"/>
        <v>-7.440476190476164E-3</v>
      </c>
      <c r="J60" s="15">
        <f t="shared" si="4"/>
        <v>-4.2105263157894757E-2</v>
      </c>
      <c r="K60" s="15"/>
      <c r="L60" s="15"/>
      <c r="M60" s="16">
        <f t="shared" si="5"/>
        <v>-1.7031583213517165E-2</v>
      </c>
      <c r="O60" s="13">
        <f t="shared" si="7"/>
        <v>-2.477286967418546E-2</v>
      </c>
      <c r="Q60" s="5">
        <f t="shared" si="8"/>
        <v>102.2271947501111</v>
      </c>
      <c r="R60" s="6">
        <f t="shared" si="9"/>
        <v>126.04916196969607</v>
      </c>
      <c r="T60" s="11">
        <f t="shared" si="1"/>
        <v>0.81101050695353216</v>
      </c>
      <c r="V60" s="9">
        <v>39101</v>
      </c>
      <c r="W60">
        <v>5398.8</v>
      </c>
      <c r="X60">
        <v>7592.1975000000002</v>
      </c>
      <c r="Y60" t="s">
        <v>33</v>
      </c>
      <c r="AC60" s="24">
        <f t="shared" si="10"/>
        <v>-2.7995143568095234E-2</v>
      </c>
      <c r="AE60" s="5">
        <f t="shared" si="11"/>
        <v>95.917998175837639</v>
      </c>
      <c r="AF60" s="6">
        <f t="shared" si="12"/>
        <v>126.04916196969607</v>
      </c>
      <c r="AH60" s="1">
        <f t="shared" si="2"/>
        <v>39101</v>
      </c>
      <c r="AI60">
        <f t="shared" si="6"/>
        <v>0.76095704784532903</v>
      </c>
      <c r="AJ60">
        <f t="shared" ca="1" si="13"/>
        <v>0.80566490742729568</v>
      </c>
      <c r="AK60">
        <f t="shared" ca="1" si="14"/>
        <v>0.85497318228219177</v>
      </c>
      <c r="AL60">
        <f t="shared" ca="1" si="15"/>
        <v>0.87475942710508603</v>
      </c>
      <c r="AM60">
        <f t="shared" ca="1" si="16"/>
        <v>0.90332730200537481</v>
      </c>
      <c r="AN60">
        <f t="shared" ca="1" si="17"/>
        <v>0.94043965369467475</v>
      </c>
      <c r="AP60" s="40"/>
      <c r="AQ60" s="41"/>
    </row>
    <row r="61" spans="2:43" x14ac:dyDescent="0.25">
      <c r="B61" s="1">
        <v>39108</v>
      </c>
      <c r="C61">
        <v>1.331</v>
      </c>
      <c r="D61">
        <v>0.72</v>
      </c>
      <c r="E61" t="s">
        <v>33</v>
      </c>
      <c r="G61">
        <v>2039.46</v>
      </c>
      <c r="I61" s="14">
        <f t="shared" si="3"/>
        <v>-2.2488755622189771E-3</v>
      </c>
      <c r="J61" s="15">
        <f t="shared" si="4"/>
        <v>-1.098901098901095E-2</v>
      </c>
      <c r="K61" s="15"/>
      <c r="L61" s="15"/>
      <c r="M61" s="16">
        <f t="shared" si="5"/>
        <v>1.0503995444997027E-3</v>
      </c>
      <c r="O61" s="13">
        <f t="shared" si="7"/>
        <v>-6.6189432756149635E-3</v>
      </c>
      <c r="Q61" s="5">
        <f t="shared" si="8"/>
        <v>101.55055874683487</v>
      </c>
      <c r="R61" s="6">
        <f t="shared" si="9"/>
        <v>126.1815639520136</v>
      </c>
      <c r="T61" s="11">
        <f t="shared" si="1"/>
        <v>0.80479711588813541</v>
      </c>
      <c r="V61" s="9">
        <v>39108</v>
      </c>
      <c r="W61">
        <v>5385.6</v>
      </c>
      <c r="X61">
        <v>7505.3302999999996</v>
      </c>
      <c r="Y61" t="s">
        <v>33</v>
      </c>
      <c r="AC61" s="24">
        <f t="shared" si="10"/>
        <v>-7.3567846613433081E-3</v>
      </c>
      <c r="AE61" s="5">
        <f t="shared" si="11"/>
        <v>95.212350118110891</v>
      </c>
      <c r="AF61" s="6">
        <f t="shared" si="12"/>
        <v>126.1815639520136</v>
      </c>
      <c r="AH61" s="1">
        <f t="shared" si="2"/>
        <v>39108</v>
      </c>
      <c r="AI61">
        <f t="shared" si="6"/>
        <v>0.75456625465761229</v>
      </c>
      <c r="AJ61">
        <f t="shared" ca="1" si="13"/>
        <v>0.79941943624151124</v>
      </c>
      <c r="AK61">
        <f t="shared" ca="1" si="14"/>
        <v>0.84995887536327419</v>
      </c>
      <c r="AL61">
        <f t="shared" ca="1" si="15"/>
        <v>0.87397326272998588</v>
      </c>
      <c r="AM61">
        <f t="shared" ca="1" si="16"/>
        <v>0.90094785798975108</v>
      </c>
      <c r="AN61">
        <f t="shared" ca="1" si="17"/>
        <v>0.92744679570334632</v>
      </c>
      <c r="AP61" s="40"/>
      <c r="AQ61" s="41"/>
    </row>
    <row r="62" spans="2:43" x14ac:dyDescent="0.25">
      <c r="B62" s="1">
        <v>39115</v>
      </c>
      <c r="C62">
        <v>1.321</v>
      </c>
      <c r="D62">
        <v>0.74299999999999999</v>
      </c>
      <c r="E62" t="s">
        <v>33</v>
      </c>
      <c r="G62">
        <v>2081.27</v>
      </c>
      <c r="I62" s="14">
        <f t="shared" si="3"/>
        <v>-7.5131480090158131E-3</v>
      </c>
      <c r="J62" s="15">
        <f t="shared" si="4"/>
        <v>3.1944444444444553E-2</v>
      </c>
      <c r="K62" s="15"/>
      <c r="L62" s="15"/>
      <c r="M62" s="16">
        <f t="shared" si="5"/>
        <v>2.0500524648681573E-2</v>
      </c>
      <c r="O62" s="13">
        <f t="shared" si="7"/>
        <v>1.221564821771437E-2</v>
      </c>
      <c r="Q62" s="5">
        <f t="shared" si="8"/>
        <v>102.79106464879855</v>
      </c>
      <c r="R62" s="6">
        <f t="shared" si="9"/>
        <v>128.76835221402104</v>
      </c>
      <c r="T62" s="11">
        <f t="shared" si="1"/>
        <v>0.79826341551651903</v>
      </c>
      <c r="V62" s="9">
        <v>39115</v>
      </c>
      <c r="W62">
        <v>5346</v>
      </c>
      <c r="X62">
        <v>7748.5586000000003</v>
      </c>
      <c r="Y62" t="s">
        <v>33</v>
      </c>
      <c r="AC62" s="24">
        <f t="shared" si="10"/>
        <v>1.5459768399197752E-2</v>
      </c>
      <c r="AE62" s="5">
        <f t="shared" si="11"/>
        <v>96.684310999680207</v>
      </c>
      <c r="AF62" s="6">
        <f t="shared" si="12"/>
        <v>128.76835221402104</v>
      </c>
      <c r="AH62" s="1">
        <f t="shared" si="2"/>
        <v>39115</v>
      </c>
      <c r="AI62">
        <f t="shared" si="6"/>
        <v>0.75083907914721826</v>
      </c>
      <c r="AJ62">
        <f t="shared" ca="1" si="13"/>
        <v>0.79477511799261791</v>
      </c>
      <c r="AK62">
        <f t="shared" ca="1" si="14"/>
        <v>0.84488421889153176</v>
      </c>
      <c r="AL62">
        <f t="shared" ca="1" si="15"/>
        <v>0.87296727048571032</v>
      </c>
      <c r="AM62">
        <f t="shared" ca="1" si="16"/>
        <v>0.89933416137048994</v>
      </c>
      <c r="AN62">
        <f t="shared" ca="1" si="17"/>
        <v>0.92658176588958285</v>
      </c>
      <c r="AP62" s="40"/>
      <c r="AQ62" s="41"/>
    </row>
    <row r="63" spans="2:43" x14ac:dyDescent="0.25">
      <c r="B63" s="1">
        <v>39122</v>
      </c>
      <c r="C63">
        <v>1.4019999999999999</v>
      </c>
      <c r="D63">
        <v>0.71</v>
      </c>
      <c r="E63" t="s">
        <v>33</v>
      </c>
      <c r="G63">
        <v>2100.2399999999998</v>
      </c>
      <c r="I63" s="14">
        <f t="shared" si="3"/>
        <v>6.1317183951551835E-2</v>
      </c>
      <c r="J63" s="15">
        <f t="shared" si="4"/>
        <v>-4.4414535666218113E-2</v>
      </c>
      <c r="K63" s="15"/>
      <c r="L63" s="15"/>
      <c r="M63" s="16">
        <f t="shared" si="5"/>
        <v>9.1146271267061874E-3</v>
      </c>
      <c r="O63" s="13">
        <f t="shared" si="7"/>
        <v>8.4513241426668606E-3</v>
      </c>
      <c r="Q63" s="5">
        <f t="shared" si="8"/>
        <v>103.65978525511538</v>
      </c>
      <c r="R63" s="6">
        <f t="shared" si="9"/>
        <v>129.94202773017221</v>
      </c>
      <c r="T63" s="11">
        <f t="shared" si="1"/>
        <v>0.79773870752861764</v>
      </c>
      <c r="V63" s="9">
        <v>39122</v>
      </c>
      <c r="W63">
        <v>5676</v>
      </c>
      <c r="X63">
        <v>7401.0896000000002</v>
      </c>
      <c r="Y63" t="s">
        <v>33</v>
      </c>
      <c r="AC63" s="24">
        <f t="shared" si="10"/>
        <v>-1.2483786125089362E-3</v>
      </c>
      <c r="AE63" s="5">
        <f t="shared" si="11"/>
        <v>96.563612373663048</v>
      </c>
      <c r="AF63" s="6">
        <f t="shared" si="12"/>
        <v>129.94202773017221</v>
      </c>
      <c r="AH63" s="1">
        <f t="shared" si="2"/>
        <v>39122</v>
      </c>
      <c r="AI63">
        <f t="shared" si="6"/>
        <v>0.74312840934096969</v>
      </c>
      <c r="AJ63">
        <f t="shared" ca="1" si="13"/>
        <v>0.77864557857024963</v>
      </c>
      <c r="AK63">
        <f t="shared" ca="1" si="14"/>
        <v>0.84391143833457472</v>
      </c>
      <c r="AL63">
        <f t="shared" ca="1" si="15"/>
        <v>0.87142695172070495</v>
      </c>
      <c r="AM63">
        <f t="shared" ca="1" si="16"/>
        <v>0.89458066415209392</v>
      </c>
      <c r="AN63">
        <f t="shared" ca="1" si="17"/>
        <v>0.92123216040457501</v>
      </c>
      <c r="AP63" s="40"/>
      <c r="AQ63" s="41"/>
    </row>
    <row r="64" spans="2:43" x14ac:dyDescent="0.25">
      <c r="B64" s="1">
        <v>39129</v>
      </c>
      <c r="C64">
        <v>1.5</v>
      </c>
      <c r="D64">
        <v>0.72699999999999998</v>
      </c>
      <c r="E64" t="s">
        <v>33</v>
      </c>
      <c r="G64">
        <v>2145.4899999999998</v>
      </c>
      <c r="I64" s="14">
        <f t="shared" si="3"/>
        <v>6.9900142653352315E-2</v>
      </c>
      <c r="J64" s="15">
        <f t="shared" si="4"/>
        <v>2.3943661971830954E-2</v>
      </c>
      <c r="K64" s="15"/>
      <c r="L64" s="15"/>
      <c r="M64" s="16">
        <f t="shared" si="5"/>
        <v>2.1545156743991267E-2</v>
      </c>
      <c r="O64" s="13">
        <f t="shared" si="7"/>
        <v>4.6921902312591635E-2</v>
      </c>
      <c r="Q64" s="5">
        <f t="shared" si="8"/>
        <v>108.52369957260012</v>
      </c>
      <c r="R64" s="6">
        <f t="shared" si="9"/>
        <v>132.74164908525083</v>
      </c>
      <c r="T64" s="11">
        <f t="shared" si="1"/>
        <v>0.81755575827525551</v>
      </c>
      <c r="V64" s="9">
        <v>39129</v>
      </c>
      <c r="W64">
        <v>6072</v>
      </c>
      <c r="X64">
        <v>7574.8240999999998</v>
      </c>
      <c r="Y64" t="s">
        <v>33</v>
      </c>
      <c r="AC64" s="24">
        <f t="shared" si="10"/>
        <v>4.3890683237810146E-2</v>
      </c>
      <c r="AE64" s="5">
        <f t="shared" si="11"/>
        <v>100.80185529665417</v>
      </c>
      <c r="AF64" s="6">
        <f t="shared" si="12"/>
        <v>132.74164908525083</v>
      </c>
      <c r="AH64" s="1">
        <f t="shared" si="2"/>
        <v>39129</v>
      </c>
      <c r="AI64">
        <f t="shared" si="6"/>
        <v>0.75938378038317178</v>
      </c>
      <c r="AJ64">
        <f t="shared" ca="1" si="13"/>
        <v>0.77483772121152072</v>
      </c>
      <c r="AK64">
        <f t="shared" ca="1" si="14"/>
        <v>0.84228364991843974</v>
      </c>
      <c r="AL64">
        <f t="shared" ca="1" si="15"/>
        <v>0.87041177247708013</v>
      </c>
      <c r="AM64">
        <f t="shared" ca="1" si="16"/>
        <v>0.8905779388986621</v>
      </c>
      <c r="AN64">
        <f t="shared" ca="1" si="17"/>
        <v>0.91517079296066872</v>
      </c>
      <c r="AP64" s="40"/>
      <c r="AQ64" s="41"/>
    </row>
    <row r="65" spans="2:43" x14ac:dyDescent="0.25">
      <c r="B65" s="1">
        <v>39136</v>
      </c>
      <c r="C65">
        <v>1.494</v>
      </c>
      <c r="D65">
        <v>0.76</v>
      </c>
      <c r="E65" t="s">
        <v>33</v>
      </c>
      <c r="G65">
        <v>2202.4499999999998</v>
      </c>
      <c r="I65" s="14">
        <f t="shared" si="3"/>
        <v>-4.0000000000000036E-3</v>
      </c>
      <c r="J65" s="15">
        <f t="shared" si="4"/>
        <v>4.5392022008253097E-2</v>
      </c>
      <c r="K65" s="15"/>
      <c r="L65" s="15"/>
      <c r="M65" s="16">
        <f t="shared" si="5"/>
        <v>2.6548713813627778E-2</v>
      </c>
      <c r="O65" s="13">
        <f t="shared" si="7"/>
        <v>2.0696011004126547E-2</v>
      </c>
      <c r="Q65" s="5">
        <f t="shared" si="8"/>
        <v>110.76970725316318</v>
      </c>
      <c r="R65" s="6">
        <f t="shared" si="9"/>
        <v>136.26576913796416</v>
      </c>
      <c r="T65" s="11">
        <f t="shared" si="1"/>
        <v>0.81289459527442187</v>
      </c>
      <c r="V65" s="9">
        <v>39136</v>
      </c>
      <c r="W65">
        <v>6045.6</v>
      </c>
      <c r="X65">
        <v>7922.2930999999999</v>
      </c>
      <c r="Y65" t="s">
        <v>33</v>
      </c>
      <c r="AC65" s="24">
        <f t="shared" si="10"/>
        <v>2.3415600575949824E-2</v>
      </c>
      <c r="AE65" s="5">
        <f t="shared" si="11"/>
        <v>103.16219127759531</v>
      </c>
      <c r="AF65" s="6">
        <f t="shared" si="12"/>
        <v>136.26576913796416</v>
      </c>
      <c r="AH65" s="1">
        <f t="shared" si="2"/>
        <v>39136</v>
      </c>
      <c r="AI65">
        <f t="shared" si="6"/>
        <v>0.75706607705085005</v>
      </c>
      <c r="AJ65">
        <f t="shared" ca="1" si="13"/>
        <v>0.77004692589600254</v>
      </c>
      <c r="AK65">
        <f t="shared" ca="1" si="14"/>
        <v>0.83469166539968442</v>
      </c>
      <c r="AL65">
        <f t="shared" ca="1" si="15"/>
        <v>0.86821936274615619</v>
      </c>
      <c r="AM65">
        <f t="shared" ca="1" si="16"/>
        <v>0.88699134991527995</v>
      </c>
      <c r="AN65">
        <f t="shared" ca="1" si="17"/>
        <v>0.91418489421333926</v>
      </c>
      <c r="AP65" s="40"/>
      <c r="AQ65" s="41"/>
    </row>
    <row r="66" spans="2:43" x14ac:dyDescent="0.25">
      <c r="B66" s="1">
        <v>39143</v>
      </c>
      <c r="C66">
        <v>1.383</v>
      </c>
      <c r="D66">
        <v>0.68300000000000005</v>
      </c>
      <c r="E66" t="s">
        <v>33</v>
      </c>
      <c r="G66">
        <v>1997.64</v>
      </c>
      <c r="I66" s="14">
        <f t="shared" si="3"/>
        <v>-7.4297188755020116E-2</v>
      </c>
      <c r="J66" s="15">
        <f t="shared" si="4"/>
        <v>-0.10131578947368414</v>
      </c>
      <c r="K66" s="15"/>
      <c r="L66" s="15"/>
      <c r="M66" s="16">
        <f t="shared" si="5"/>
        <v>-9.2991895389225476E-2</v>
      </c>
      <c r="O66" s="13">
        <f t="shared" si="7"/>
        <v>-8.7806489114352126E-2</v>
      </c>
      <c r="Q66" s="5">
        <f t="shared" si="8"/>
        <v>101.04340815903832</v>
      </c>
      <c r="R66" s="6">
        <f t="shared" si="9"/>
        <v>123.59415698915424</v>
      </c>
      <c r="T66" s="11">
        <f t="shared" si="1"/>
        <v>0.81754195036829436</v>
      </c>
      <c r="V66" s="9">
        <v>39143</v>
      </c>
      <c r="W66">
        <v>5596.8</v>
      </c>
      <c r="X66">
        <v>7123.1144000000004</v>
      </c>
      <c r="Y66" t="s">
        <v>33</v>
      </c>
      <c r="AC66" s="24">
        <f t="shared" si="10"/>
        <v>-8.962156677772469E-2</v>
      </c>
      <c r="AE66" s="5">
        <f t="shared" si="11"/>
        <v>93.9166340630739</v>
      </c>
      <c r="AF66" s="6">
        <f t="shared" si="12"/>
        <v>123.59415698915424</v>
      </c>
      <c r="AH66" s="1">
        <f t="shared" si="2"/>
        <v>39143</v>
      </c>
      <c r="AI66">
        <f t="shared" si="6"/>
        <v>0.75987923985205363</v>
      </c>
      <c r="AJ66">
        <f t="shared" ca="1" si="13"/>
        <v>0.76181535616200957</v>
      </c>
      <c r="AK66">
        <f t="shared" ca="1" si="14"/>
        <v>0.82210257570386758</v>
      </c>
      <c r="AL66">
        <f t="shared" ca="1" si="15"/>
        <v>0.86623534088927479</v>
      </c>
      <c r="AM66">
        <f t="shared" ca="1" si="16"/>
        <v>0.88370669329778762</v>
      </c>
      <c r="AN66">
        <f t="shared" ca="1" si="17"/>
        <v>0.90893023729975531</v>
      </c>
      <c r="AP66" s="40"/>
      <c r="AQ66" s="41"/>
    </row>
    <row r="67" spans="2:43" x14ac:dyDescent="0.25">
      <c r="B67" s="1">
        <v>39150</v>
      </c>
      <c r="C67">
        <v>1.4350000000000001</v>
      </c>
      <c r="D67">
        <v>0.69199999999999995</v>
      </c>
      <c r="E67" t="s">
        <v>33</v>
      </c>
      <c r="G67">
        <v>2036.46</v>
      </c>
      <c r="I67" s="14">
        <f t="shared" si="3"/>
        <v>3.7599421547360734E-2</v>
      </c>
      <c r="J67" s="15">
        <f t="shared" si="4"/>
        <v>1.3177159590043841E-2</v>
      </c>
      <c r="K67" s="15"/>
      <c r="L67" s="15"/>
      <c r="M67" s="16">
        <f t="shared" si="5"/>
        <v>1.9432930858412911E-2</v>
      </c>
      <c r="O67" s="13">
        <f t="shared" si="7"/>
        <v>2.5388290568702288E-2</v>
      </c>
      <c r="Q67" s="5">
        <f t="shared" si="8"/>
        <v>103.60872756543198</v>
      </c>
      <c r="R67" s="6">
        <f t="shared" si="9"/>
        <v>125.9959536964283</v>
      </c>
      <c r="T67" s="11">
        <f t="shared" si="1"/>
        <v>0.82231789613708084</v>
      </c>
      <c r="V67" s="9">
        <v>39150</v>
      </c>
      <c r="W67">
        <v>5808</v>
      </c>
      <c r="X67">
        <v>7209.9816000000001</v>
      </c>
      <c r="Y67" t="s">
        <v>33</v>
      </c>
      <c r="AC67" s="24">
        <f t="shared" si="10"/>
        <v>2.3923027166221172E-2</v>
      </c>
      <c r="AE67" s="5">
        <f t="shared" si="11"/>
        <v>96.163404251124874</v>
      </c>
      <c r="AF67" s="6">
        <f t="shared" si="12"/>
        <v>125.9959536964283</v>
      </c>
      <c r="AH67" s="1">
        <f t="shared" si="2"/>
        <v>39150</v>
      </c>
      <c r="AI67">
        <f t="shared" si="6"/>
        <v>0.76322613091860647</v>
      </c>
      <c r="AJ67">
        <f t="shared" ca="1" si="13"/>
        <v>0.75998702065138113</v>
      </c>
      <c r="AK67">
        <f t="shared" ca="1" si="14"/>
        <v>0.81663855340468738</v>
      </c>
      <c r="AL67">
        <f t="shared" ca="1" si="15"/>
        <v>0.86580969320674672</v>
      </c>
      <c r="AM67">
        <f t="shared" ca="1" si="16"/>
        <v>0.88051231975417998</v>
      </c>
      <c r="AN67">
        <f t="shared" ca="1" si="17"/>
        <v>0.90893023729975531</v>
      </c>
      <c r="AP67" s="40"/>
      <c r="AQ67" s="41"/>
    </row>
    <row r="68" spans="2:43" x14ac:dyDescent="0.25">
      <c r="B68" s="1">
        <v>39157</v>
      </c>
      <c r="C68">
        <v>1.4219999999999999</v>
      </c>
      <c r="D68">
        <v>0.69499999999999995</v>
      </c>
      <c r="E68" t="s">
        <v>33</v>
      </c>
      <c r="G68">
        <v>1985.79</v>
      </c>
      <c r="I68" s="14">
        <f t="shared" si="3"/>
        <v>-9.0592334494774551E-3</v>
      </c>
      <c r="J68" s="15">
        <f t="shared" si="4"/>
        <v>4.3352601156070314E-3</v>
      </c>
      <c r="K68" s="15"/>
      <c r="L68" s="15"/>
      <c r="M68" s="16">
        <f t="shared" si="5"/>
        <v>-2.4881411861760183E-2</v>
      </c>
      <c r="O68" s="13">
        <f t="shared" si="7"/>
        <v>-2.3619866669352119E-3</v>
      </c>
      <c r="Q68" s="5">
        <f t="shared" si="8"/>
        <v>103.3640051323443</v>
      </c>
      <c r="R68" s="6">
        <f t="shared" si="9"/>
        <v>122.8609964795922</v>
      </c>
      <c r="T68" s="11">
        <f t="shared" si="1"/>
        <v>0.84130853642810521</v>
      </c>
      <c r="V68" s="9">
        <v>39157</v>
      </c>
      <c r="W68">
        <v>5755.2</v>
      </c>
      <c r="X68">
        <v>7244.7285000000002</v>
      </c>
      <c r="Y68" t="s">
        <v>33</v>
      </c>
      <c r="AC68" s="24">
        <f t="shared" si="10"/>
        <v>-1.6407214932478084E-3</v>
      </c>
      <c r="AE68" s="5">
        <f t="shared" si="11"/>
        <v>96.005626886906171</v>
      </c>
      <c r="AF68" s="6">
        <f t="shared" si="12"/>
        <v>122.8609964795922</v>
      </c>
      <c r="AH68" s="1">
        <f t="shared" si="2"/>
        <v>39157</v>
      </c>
      <c r="AI68">
        <f t="shared" si="6"/>
        <v>0.78141663862260113</v>
      </c>
      <c r="AJ68">
        <f t="shared" ca="1" si="13"/>
        <v>0.75998702065138113</v>
      </c>
      <c r="AK68">
        <f t="shared" ca="1" si="14"/>
        <v>0.80271076032264532</v>
      </c>
      <c r="AL68">
        <f t="shared" ca="1" si="15"/>
        <v>0.86540724397444424</v>
      </c>
      <c r="AM68">
        <f t="shared" ca="1" si="16"/>
        <v>0.88051231975417998</v>
      </c>
      <c r="AN68">
        <f t="shared" ca="1" si="17"/>
        <v>0.90893023729975531</v>
      </c>
      <c r="AP68" s="40"/>
      <c r="AQ68" s="41"/>
    </row>
    <row r="69" spans="2:43" x14ac:dyDescent="0.25">
      <c r="B69" s="1">
        <v>39164</v>
      </c>
      <c r="C69">
        <v>1.5</v>
      </c>
      <c r="D69">
        <v>0.69699999999999995</v>
      </c>
      <c r="E69" t="s">
        <v>33</v>
      </c>
      <c r="G69">
        <v>2085.5100000000002</v>
      </c>
      <c r="I69" s="14">
        <f t="shared" si="3"/>
        <v>5.4852320675105481E-2</v>
      </c>
      <c r="J69" s="15">
        <f t="shared" si="4"/>
        <v>2.8776978417266452E-3</v>
      </c>
      <c r="K69" s="15"/>
      <c r="L69" s="15"/>
      <c r="M69" s="16">
        <f t="shared" si="5"/>
        <v>5.0216790295046332E-2</v>
      </c>
      <c r="O69" s="13">
        <f t="shared" si="7"/>
        <v>2.8865009258416063E-2</v>
      </c>
      <c r="Q69" s="5">
        <f t="shared" si="8"/>
        <v>106.34760809747638</v>
      </c>
      <c r="R69" s="6">
        <f t="shared" si="9"/>
        <v>129.03068137524832</v>
      </c>
      <c r="T69" s="11">
        <f t="shared" si="1"/>
        <v>0.82420403398626718</v>
      </c>
      <c r="V69" s="9">
        <v>39164</v>
      </c>
      <c r="W69">
        <v>6072</v>
      </c>
      <c r="X69">
        <v>7262.1019999999999</v>
      </c>
      <c r="Y69" t="s">
        <v>33</v>
      </c>
      <c r="AC69" s="24">
        <f t="shared" si="10"/>
        <v>2.5887389728159859E-2</v>
      </c>
      <c r="AE69" s="5">
        <f t="shared" si="11"/>
        <v>98.490961966223821</v>
      </c>
      <c r="AF69" s="6">
        <f t="shared" si="12"/>
        <v>129.03068137524832</v>
      </c>
      <c r="AH69" s="1">
        <f t="shared" si="2"/>
        <v>39164</v>
      </c>
      <c r="AI69">
        <f t="shared" si="6"/>
        <v>0.763314282436372</v>
      </c>
      <c r="AJ69">
        <f t="shared" ca="1" si="13"/>
        <v>0.75998702065138113</v>
      </c>
      <c r="AK69">
        <f t="shared" ca="1" si="14"/>
        <v>0.79776364516335929</v>
      </c>
      <c r="AL69">
        <f t="shared" ca="1" si="15"/>
        <v>0.8632415016213919</v>
      </c>
      <c r="AM69">
        <f t="shared" ca="1" si="16"/>
        <v>0.88051231975417998</v>
      </c>
      <c r="AN69">
        <f t="shared" ca="1" si="17"/>
        <v>0.90893023729975531</v>
      </c>
      <c r="AP69" s="40"/>
      <c r="AQ69" s="41"/>
    </row>
    <row r="70" spans="2:43" x14ac:dyDescent="0.25">
      <c r="B70" s="1">
        <v>39171</v>
      </c>
      <c r="C70">
        <v>1.53</v>
      </c>
      <c r="D70">
        <v>0.70699999999999996</v>
      </c>
      <c r="E70" t="s">
        <v>33</v>
      </c>
      <c r="G70">
        <v>2102.7800000000002</v>
      </c>
      <c r="I70" s="14">
        <f t="shared" si="3"/>
        <v>2.0000000000000018E-2</v>
      </c>
      <c r="J70" s="15">
        <f t="shared" si="4"/>
        <v>1.4347202295552419E-2</v>
      </c>
      <c r="K70" s="15"/>
      <c r="L70" s="15"/>
      <c r="M70" s="16">
        <f t="shared" si="5"/>
        <v>8.2809480654610912E-3</v>
      </c>
      <c r="O70" s="13">
        <f t="shared" si="7"/>
        <v>1.7173601147776218E-2</v>
      </c>
      <c r="Q70" s="5">
        <f t="shared" si="8"/>
        <v>108.17397950196245</v>
      </c>
      <c r="R70" s="6">
        <f t="shared" si="9"/>
        <v>130.09917774656782</v>
      </c>
      <c r="T70" s="11">
        <f t="shared" ref="T70:T133" si="18">+Q70/R70</f>
        <v>0.83147319895199123</v>
      </c>
      <c r="V70" s="9">
        <v>39171</v>
      </c>
      <c r="W70">
        <v>6190.8</v>
      </c>
      <c r="X70">
        <v>7366.3427000000001</v>
      </c>
      <c r="Y70" t="s">
        <v>33</v>
      </c>
      <c r="AC70" s="24">
        <f t="shared" si="10"/>
        <v>1.6921337971236156E-2</v>
      </c>
      <c r="AE70" s="5">
        <f t="shared" si="11"/>
        <v>100.15756082076645</v>
      </c>
      <c r="AF70" s="6">
        <f t="shared" si="12"/>
        <v>130.09917774656782</v>
      </c>
      <c r="AH70" s="1">
        <f t="shared" ref="AH70:AH133" si="19">+B70</f>
        <v>39171</v>
      </c>
      <c r="AI70">
        <f t="shared" si="6"/>
        <v>0.76985544840162323</v>
      </c>
      <c r="AJ70">
        <f t="shared" ca="1" si="13"/>
        <v>0.75998702065138113</v>
      </c>
      <c r="AK70">
        <f t="shared" ca="1" si="14"/>
        <v>0.79109066809195117</v>
      </c>
      <c r="AL70">
        <f t="shared" ca="1" si="15"/>
        <v>0.85883153299673398</v>
      </c>
      <c r="AM70">
        <f t="shared" ca="1" si="16"/>
        <v>0.88051231975417998</v>
      </c>
      <c r="AN70">
        <f t="shared" ca="1" si="17"/>
        <v>0.90893023729975531</v>
      </c>
      <c r="AP70" s="40"/>
      <c r="AQ70" s="41"/>
    </row>
    <row r="71" spans="2:43" x14ac:dyDescent="0.25">
      <c r="B71" s="1">
        <v>39178</v>
      </c>
      <c r="C71">
        <v>1.595</v>
      </c>
      <c r="D71">
        <v>0.70299999999999996</v>
      </c>
      <c r="E71" t="s">
        <v>33</v>
      </c>
      <c r="G71">
        <v>2127.48</v>
      </c>
      <c r="I71" s="14">
        <f t="shared" ref="I71:I134" si="20">+C71/C70-1</f>
        <v>4.2483660130719025E-2</v>
      </c>
      <c r="J71" s="15">
        <f t="shared" ref="J71:J134" si="21">+D71/D70-1</f>
        <v>-5.657708628005631E-3</v>
      </c>
      <c r="K71" s="15"/>
      <c r="L71" s="15"/>
      <c r="M71" s="16">
        <f t="shared" ref="M71:M134" si="22">+G71/G70-1</f>
        <v>1.1746354825516558E-2</v>
      </c>
      <c r="O71" s="13">
        <f t="shared" si="7"/>
        <v>1.8412975751356697E-2</v>
      </c>
      <c r="Q71" s="5">
        <f t="shared" si="8"/>
        <v>110.16578436345984</v>
      </c>
      <c r="R71" s="6">
        <f t="shared" si="9"/>
        <v>131.62736885088694</v>
      </c>
      <c r="T71" s="11">
        <f t="shared" si="18"/>
        <v>0.83695196010687034</v>
      </c>
      <c r="V71" s="9">
        <v>39178</v>
      </c>
      <c r="W71">
        <v>6454.8</v>
      </c>
      <c r="X71">
        <v>7331.5958000000001</v>
      </c>
      <c r="Y71" t="s">
        <v>33</v>
      </c>
      <c r="AC71" s="24">
        <f t="shared" si="10"/>
        <v>1.6325801637141361E-2</v>
      </c>
      <c r="AE71" s="5">
        <f t="shared" si="11"/>
        <v>101.79271329118619</v>
      </c>
      <c r="AF71" s="6">
        <f t="shared" si="12"/>
        <v>131.62736885088694</v>
      </c>
      <c r="AH71" s="1">
        <f t="shared" si="19"/>
        <v>39178</v>
      </c>
      <c r="AI71">
        <f t="shared" ref="AI71:AI134" si="23">+(AE71/$AE$6)/(AF71/$AF$6)</f>
        <v>0.77334002935591084</v>
      </c>
      <c r="AJ71">
        <f t="shared" ca="1" si="13"/>
        <v>0.75998702065138113</v>
      </c>
      <c r="AK71">
        <f t="shared" ca="1" si="14"/>
        <v>0.78028860233141639</v>
      </c>
      <c r="AL71">
        <f t="shared" ca="1" si="15"/>
        <v>0.85642289948361694</v>
      </c>
      <c r="AM71">
        <f t="shared" ca="1" si="16"/>
        <v>0.88051231975417998</v>
      </c>
      <c r="AN71">
        <f t="shared" ca="1" si="17"/>
        <v>0.90893023729975531</v>
      </c>
      <c r="AP71" s="40"/>
      <c r="AQ71" s="41"/>
    </row>
    <row r="72" spans="2:43" x14ac:dyDescent="0.25">
      <c r="B72" s="1">
        <v>39185</v>
      </c>
      <c r="C72">
        <v>1.6140000000000001</v>
      </c>
      <c r="D72">
        <v>0.73299999999999998</v>
      </c>
      <c r="E72" t="s">
        <v>33</v>
      </c>
      <c r="G72">
        <v>2212.98</v>
      </c>
      <c r="I72" s="14">
        <f t="shared" si="20"/>
        <v>1.1912225705329238E-2</v>
      </c>
      <c r="J72" s="15">
        <f t="shared" si="21"/>
        <v>4.2674253200569057E-2</v>
      </c>
      <c r="K72" s="15"/>
      <c r="L72" s="15"/>
      <c r="M72" s="16">
        <f t="shared" si="22"/>
        <v>4.0188391900276343E-2</v>
      </c>
      <c r="O72" s="13">
        <f t="shared" ref="O72:O135" si="24">+AVERAGE(I72:J72)</f>
        <v>2.7293239452949147E-2</v>
      </c>
      <c r="Q72" s="5">
        <f t="shared" ref="Q72:Q135" si="25">+Q71*(1+O72)</f>
        <v>113.17256549561371</v>
      </c>
      <c r="R72" s="6">
        <f t="shared" ref="R72:R135" si="26">+R71*(1+M72)</f>
        <v>136.9172611350686</v>
      </c>
      <c r="T72" s="11">
        <f t="shared" si="18"/>
        <v>0.82657631738608328</v>
      </c>
      <c r="V72" s="9">
        <v>39185</v>
      </c>
      <c r="W72">
        <v>6534</v>
      </c>
      <c r="X72">
        <v>7644.3179</v>
      </c>
      <c r="Y72" t="s">
        <v>33</v>
      </c>
      <c r="AC72" s="24">
        <f t="shared" ref="AC72:AC135" si="27">+SUMPRODUCT(I72:L72,W71:Z71)/SUM(W71:AA71)</f>
        <v>2.8271450759899685E-2</v>
      </c>
      <c r="AE72" s="5">
        <f t="shared" ref="AE72:AE135" si="28">+AE71*(1+AC72)</f>
        <v>104.67054097271456</v>
      </c>
      <c r="AF72" s="6">
        <f t="shared" ref="AF72:AF135" si="29">+AF71*(1+M72)</f>
        <v>136.9172611350686</v>
      </c>
      <c r="AH72" s="1">
        <f t="shared" si="19"/>
        <v>39185</v>
      </c>
      <c r="AI72">
        <f t="shared" si="23"/>
        <v>0.76448024233743095</v>
      </c>
      <c r="AJ72">
        <f t="shared" ca="1" si="13"/>
        <v>0.75998702065138113</v>
      </c>
      <c r="AK72">
        <f t="shared" ca="1" si="14"/>
        <v>0.77633039005610083</v>
      </c>
      <c r="AL72">
        <f t="shared" ca="1" si="15"/>
        <v>0.85618806755596055</v>
      </c>
      <c r="AM72">
        <f t="shared" ca="1" si="16"/>
        <v>0.88051231975417998</v>
      </c>
      <c r="AN72">
        <f t="shared" ca="1" si="17"/>
        <v>0.90893023729975531</v>
      </c>
      <c r="AP72" s="40"/>
      <c r="AQ72" s="41"/>
    </row>
    <row r="73" spans="2:43" x14ac:dyDescent="0.25">
      <c r="B73" s="1">
        <v>39192</v>
      </c>
      <c r="C73">
        <v>1.6140000000000001</v>
      </c>
      <c r="D73">
        <v>0.73699999999999999</v>
      </c>
      <c r="E73" t="s">
        <v>33</v>
      </c>
      <c r="G73">
        <v>2216.6</v>
      </c>
      <c r="I73" s="14">
        <f t="shared" si="20"/>
        <v>0</v>
      </c>
      <c r="J73" s="15">
        <f t="shared" si="21"/>
        <v>5.4570259208730487E-3</v>
      </c>
      <c r="K73" s="15"/>
      <c r="L73" s="15"/>
      <c r="M73" s="16">
        <f t="shared" si="22"/>
        <v>1.6358033059493682E-3</v>
      </c>
      <c r="O73" s="13">
        <f t="shared" si="24"/>
        <v>2.7285129604365244E-3</v>
      </c>
      <c r="Q73" s="5">
        <f t="shared" si="25"/>
        <v>113.48135830733436</v>
      </c>
      <c r="R73" s="6">
        <f t="shared" si="26"/>
        <v>137.14123084347489</v>
      </c>
      <c r="T73" s="11">
        <f t="shared" si="18"/>
        <v>0.82747805025066057</v>
      </c>
      <c r="V73" s="9">
        <v>39192</v>
      </c>
      <c r="W73">
        <v>6534</v>
      </c>
      <c r="X73">
        <v>7679.0648000000001</v>
      </c>
      <c r="Y73" t="s">
        <v>33</v>
      </c>
      <c r="AC73" s="24">
        <f t="shared" si="27"/>
        <v>2.9421854709361416E-3</v>
      </c>
      <c r="AE73" s="5">
        <f t="shared" si="28"/>
        <v>104.97850111759951</v>
      </c>
      <c r="AF73" s="6">
        <f t="shared" si="29"/>
        <v>137.14123084347489</v>
      </c>
      <c r="AH73" s="1">
        <f t="shared" si="19"/>
        <v>39192</v>
      </c>
      <c r="AI73">
        <f t="shared" si="23"/>
        <v>0.76547731467727542</v>
      </c>
      <c r="AJ73">
        <f t="shared" ca="1" si="13"/>
        <v>0.75998702065138113</v>
      </c>
      <c r="AK73">
        <f t="shared" ca="1" si="14"/>
        <v>0.77429106722708985</v>
      </c>
      <c r="AL73">
        <f t="shared" ca="1" si="15"/>
        <v>0.85383512231879544</v>
      </c>
      <c r="AM73">
        <f t="shared" ca="1" si="16"/>
        <v>0.87939116686106855</v>
      </c>
      <c r="AN73">
        <f t="shared" ca="1" si="17"/>
        <v>0.90889480712777171</v>
      </c>
      <c r="AP73" s="40"/>
      <c r="AQ73" s="41"/>
    </row>
    <row r="74" spans="2:43" x14ac:dyDescent="0.25">
      <c r="B74" s="1">
        <v>39199</v>
      </c>
      <c r="C74">
        <v>1.5620000000000001</v>
      </c>
      <c r="D74">
        <v>0.74</v>
      </c>
      <c r="E74" t="s">
        <v>33</v>
      </c>
      <c r="G74">
        <v>2197.77</v>
      </c>
      <c r="I74" s="14">
        <f t="shared" si="20"/>
        <v>-3.2218091697645668E-2</v>
      </c>
      <c r="J74" s="15">
        <f t="shared" si="21"/>
        <v>4.070556309362372E-3</v>
      </c>
      <c r="K74" s="15"/>
      <c r="L74" s="15"/>
      <c r="M74" s="16">
        <f t="shared" si="22"/>
        <v>-8.4949923305963626E-3</v>
      </c>
      <c r="O74" s="13">
        <f t="shared" si="24"/>
        <v>-1.4073767694141648E-2</v>
      </c>
      <c r="Q74" s="5">
        <f t="shared" si="25"/>
        <v>111.8842480329013</v>
      </c>
      <c r="R74" s="6">
        <f t="shared" si="26"/>
        <v>135.97621713925102</v>
      </c>
      <c r="T74" s="11">
        <f t="shared" si="18"/>
        <v>0.82282218454659961</v>
      </c>
      <c r="V74" s="9">
        <v>39199</v>
      </c>
      <c r="W74">
        <v>6322.8</v>
      </c>
      <c r="X74">
        <v>7713.8117000000002</v>
      </c>
      <c r="Y74" t="s">
        <v>33</v>
      </c>
      <c r="AC74" s="24">
        <f t="shared" si="27"/>
        <v>-1.2611983974123182E-2</v>
      </c>
      <c r="AE74" s="5">
        <f t="shared" si="28"/>
        <v>103.65451394387686</v>
      </c>
      <c r="AF74" s="6">
        <f t="shared" si="29"/>
        <v>135.97621713925102</v>
      </c>
      <c r="AH74" s="1">
        <f t="shared" si="19"/>
        <v>39199</v>
      </c>
      <c r="AI74">
        <f t="shared" si="23"/>
        <v>0.76229884993583819</v>
      </c>
      <c r="AJ74">
        <f t="shared" ca="1" si="13"/>
        <v>0.75998702065138113</v>
      </c>
      <c r="AK74">
        <f t="shared" ca="1" si="14"/>
        <v>0.77246888411733894</v>
      </c>
      <c r="AL74">
        <f t="shared" ca="1" si="15"/>
        <v>0.84835874833454539</v>
      </c>
      <c r="AM74">
        <f t="shared" ca="1" si="16"/>
        <v>0.87939116686106855</v>
      </c>
      <c r="AN74">
        <f t="shared" ca="1" si="17"/>
        <v>0.90889480712777171</v>
      </c>
      <c r="AP74" s="40"/>
      <c r="AQ74" s="41"/>
    </row>
    <row r="75" spans="2:43" x14ac:dyDescent="0.25">
      <c r="B75" s="1">
        <v>39206</v>
      </c>
      <c r="C75">
        <v>1.601</v>
      </c>
      <c r="D75">
        <v>0.71099999999999997</v>
      </c>
      <c r="E75" t="s">
        <v>33</v>
      </c>
      <c r="G75">
        <v>2163.73</v>
      </c>
      <c r="I75" s="14">
        <f t="shared" si="20"/>
        <v>2.4967989756722098E-2</v>
      </c>
      <c r="J75" s="15">
        <f t="shared" si="21"/>
        <v>-3.9189189189189233E-2</v>
      </c>
      <c r="K75" s="15"/>
      <c r="L75" s="15"/>
      <c r="M75" s="16">
        <f t="shared" si="22"/>
        <v>-1.5488426905454156E-2</v>
      </c>
      <c r="O75" s="13">
        <f t="shared" si="24"/>
        <v>-7.1105997162335677E-3</v>
      </c>
      <c r="Q75" s="5">
        <f t="shared" si="25"/>
        <v>111.08868393058755</v>
      </c>
      <c r="R75" s="6">
        <f t="shared" si="26"/>
        <v>133.87015943920957</v>
      </c>
      <c r="T75" s="11">
        <f t="shared" si="18"/>
        <v>0.829824095197503</v>
      </c>
      <c r="V75" s="9">
        <v>39206</v>
      </c>
      <c r="W75">
        <v>6481.2</v>
      </c>
      <c r="X75">
        <v>7262.1019999999999</v>
      </c>
      <c r="Y75" t="s">
        <v>33</v>
      </c>
      <c r="AC75" s="24">
        <f t="shared" si="27"/>
        <v>-1.028955018021044E-2</v>
      </c>
      <c r="AE75" s="5">
        <f t="shared" si="28"/>
        <v>102.58795562124601</v>
      </c>
      <c r="AF75" s="6">
        <f t="shared" si="29"/>
        <v>133.87015943920957</v>
      </c>
      <c r="AH75" s="1">
        <f t="shared" si="19"/>
        <v>39206</v>
      </c>
      <c r="AI75">
        <f t="shared" si="23"/>
        <v>0.76632429550389225</v>
      </c>
      <c r="AJ75">
        <f t="shared" ca="1" si="13"/>
        <v>0.75998702065138113</v>
      </c>
      <c r="AK75">
        <f t="shared" ca="1" si="14"/>
        <v>0.76977661905425099</v>
      </c>
      <c r="AL75">
        <f t="shared" ca="1" si="15"/>
        <v>0.84460994350597551</v>
      </c>
      <c r="AM75">
        <f t="shared" ca="1" si="16"/>
        <v>0.87939116686106855</v>
      </c>
      <c r="AN75">
        <f t="shared" ca="1" si="17"/>
        <v>0.90889480712777171</v>
      </c>
      <c r="AP75" s="40"/>
      <c r="AQ75" s="41"/>
    </row>
    <row r="76" spans="2:43" x14ac:dyDescent="0.25">
      <c r="B76" s="1">
        <v>39213</v>
      </c>
      <c r="C76">
        <v>1.68</v>
      </c>
      <c r="D76">
        <v>0.69599999999999995</v>
      </c>
      <c r="E76" t="s">
        <v>33</v>
      </c>
      <c r="G76">
        <v>2128.25</v>
      </c>
      <c r="I76" s="14">
        <f t="shared" si="20"/>
        <v>4.9344159900062357E-2</v>
      </c>
      <c r="J76" s="15">
        <f t="shared" si="21"/>
        <v>-2.1097046413502074E-2</v>
      </c>
      <c r="K76" s="15"/>
      <c r="L76" s="15"/>
      <c r="M76" s="16">
        <f t="shared" si="22"/>
        <v>-1.6397609683278414E-2</v>
      </c>
      <c r="O76" s="13">
        <f t="shared" si="24"/>
        <v>1.4123556743280141E-2</v>
      </c>
      <c r="Q76" s="5">
        <f t="shared" si="25"/>
        <v>112.6576512616175</v>
      </c>
      <c r="R76" s="6">
        <f t="shared" si="26"/>
        <v>131.67500881648718</v>
      </c>
      <c r="T76" s="11">
        <f t="shared" si="18"/>
        <v>0.8555735235881109</v>
      </c>
      <c r="V76" s="9">
        <v>39213</v>
      </c>
      <c r="W76">
        <v>6798</v>
      </c>
      <c r="X76">
        <v>7105.7408999999998</v>
      </c>
      <c r="Y76" t="s">
        <v>33</v>
      </c>
      <c r="AC76" s="24">
        <f t="shared" si="27"/>
        <v>1.2122302645368477E-2</v>
      </c>
      <c r="AE76" s="5">
        <f t="shared" si="28"/>
        <v>103.83155786705639</v>
      </c>
      <c r="AF76" s="6">
        <f t="shared" si="29"/>
        <v>131.67500881648718</v>
      </c>
      <c r="AH76" s="1">
        <f t="shared" si="19"/>
        <v>39213</v>
      </c>
      <c r="AI76">
        <f t="shared" si="23"/>
        <v>0.78854414972369091</v>
      </c>
      <c r="AJ76">
        <f t="shared" ca="1" si="13"/>
        <v>0.75998702065138113</v>
      </c>
      <c r="AK76">
        <f t="shared" ca="1" si="14"/>
        <v>0.76873617213507384</v>
      </c>
      <c r="AL76">
        <f t="shared" ca="1" si="15"/>
        <v>0.84376148393428652</v>
      </c>
      <c r="AM76">
        <f t="shared" ca="1" si="16"/>
        <v>0.87939116686106855</v>
      </c>
      <c r="AN76">
        <f t="shared" ca="1" si="17"/>
        <v>0.90889480712777171</v>
      </c>
      <c r="AP76" s="40"/>
      <c r="AQ76" s="41"/>
    </row>
    <row r="77" spans="2:43" x14ac:dyDescent="0.25">
      <c r="B77" s="1">
        <v>39220</v>
      </c>
      <c r="C77">
        <v>1.722</v>
      </c>
      <c r="D77">
        <v>0.71899999999999997</v>
      </c>
      <c r="E77" t="s">
        <v>33</v>
      </c>
      <c r="G77">
        <v>2186.39</v>
      </c>
      <c r="I77" s="14">
        <f t="shared" si="20"/>
        <v>2.5000000000000133E-2</v>
      </c>
      <c r="J77" s="15">
        <f t="shared" si="21"/>
        <v>3.3045977011494365E-2</v>
      </c>
      <c r="K77" s="15"/>
      <c r="L77" s="15"/>
      <c r="M77" s="16">
        <f t="shared" si="22"/>
        <v>2.7318219194173654E-2</v>
      </c>
      <c r="O77" s="13">
        <f t="shared" si="24"/>
        <v>2.9022988505747249E-2</v>
      </c>
      <c r="Q77" s="5">
        <f t="shared" si="25"/>
        <v>115.92731297926792</v>
      </c>
      <c r="R77" s="6">
        <f t="shared" si="26"/>
        <v>135.27213556973072</v>
      </c>
      <c r="T77" s="11">
        <f t="shared" si="18"/>
        <v>0.85699329348954623</v>
      </c>
      <c r="V77" s="9">
        <v>39220</v>
      </c>
      <c r="W77">
        <v>6969.6</v>
      </c>
      <c r="X77">
        <v>7348.9691999999995</v>
      </c>
      <c r="Y77" t="s">
        <v>33</v>
      </c>
      <c r="AC77" s="24">
        <f t="shared" si="27"/>
        <v>2.9112032030964859E-2</v>
      </c>
      <c r="AE77" s="5">
        <f t="shared" si="28"/>
        <v>106.85430550550711</v>
      </c>
      <c r="AF77" s="6">
        <f t="shared" si="29"/>
        <v>135.27213556973072</v>
      </c>
      <c r="AH77" s="1">
        <f t="shared" si="19"/>
        <v>39220</v>
      </c>
      <c r="AI77">
        <f t="shared" si="23"/>
        <v>0.78992103625380672</v>
      </c>
      <c r="AJ77">
        <f t="shared" ca="1" si="13"/>
        <v>0.75998702065138113</v>
      </c>
      <c r="AK77">
        <f t="shared" ca="1" si="14"/>
        <v>0.76873617213507384</v>
      </c>
      <c r="AL77">
        <f t="shared" ca="1" si="15"/>
        <v>0.84110572470316947</v>
      </c>
      <c r="AM77">
        <f t="shared" ca="1" si="16"/>
        <v>0.87906249438422135</v>
      </c>
      <c r="AN77">
        <f t="shared" ca="1" si="17"/>
        <v>0.90858935798301632</v>
      </c>
      <c r="AP77" s="40"/>
      <c r="AQ77" s="41"/>
    </row>
    <row r="78" spans="2:43" x14ac:dyDescent="0.25">
      <c r="B78" s="1">
        <v>39227</v>
      </c>
      <c r="C78">
        <v>1.843</v>
      </c>
      <c r="D78">
        <v>0.72299999999999998</v>
      </c>
      <c r="E78" t="s">
        <v>33</v>
      </c>
      <c r="G78">
        <v>2172.35</v>
      </c>
      <c r="I78" s="14">
        <f t="shared" si="20"/>
        <v>7.0267131242740977E-2</v>
      </c>
      <c r="J78" s="15">
        <f t="shared" si="21"/>
        <v>5.5632823365785455E-3</v>
      </c>
      <c r="K78" s="15"/>
      <c r="L78" s="15"/>
      <c r="M78" s="16">
        <f t="shared" si="22"/>
        <v>-6.4215441892799818E-3</v>
      </c>
      <c r="O78" s="13">
        <f t="shared" si="24"/>
        <v>3.7915206789659761E-2</v>
      </c>
      <c r="Q78" s="5">
        <f t="shared" si="25"/>
        <v>120.32272102344648</v>
      </c>
      <c r="R78" s="6">
        <f t="shared" si="26"/>
        <v>134.40347957359143</v>
      </c>
      <c r="T78" s="11">
        <f t="shared" si="18"/>
        <v>0.89523516359235955</v>
      </c>
      <c r="V78" s="9">
        <v>39227</v>
      </c>
      <c r="W78">
        <v>7458</v>
      </c>
      <c r="X78">
        <v>7383.7160999999996</v>
      </c>
      <c r="Y78" t="s">
        <v>33</v>
      </c>
      <c r="AC78" s="24">
        <f t="shared" si="27"/>
        <v>3.7058045468106364E-2</v>
      </c>
      <c r="AE78" s="5">
        <f t="shared" si="28"/>
        <v>110.81411721739313</v>
      </c>
      <c r="AF78" s="6">
        <f t="shared" si="29"/>
        <v>134.40347957359143</v>
      </c>
      <c r="AH78" s="1">
        <f t="shared" si="19"/>
        <v>39227</v>
      </c>
      <c r="AI78">
        <f t="shared" si="23"/>
        <v>0.82448845497871104</v>
      </c>
      <c r="AJ78">
        <f t="shared" ca="1" si="13"/>
        <v>0.75998702065138113</v>
      </c>
      <c r="AK78">
        <f t="shared" ca="1" si="14"/>
        <v>0.76873617213507384</v>
      </c>
      <c r="AL78">
        <f t="shared" ca="1" si="15"/>
        <v>0.83063345652674014</v>
      </c>
      <c r="AM78">
        <f t="shared" ca="1" si="16"/>
        <v>0.87869559419668608</v>
      </c>
      <c r="AN78">
        <f t="shared" ca="1" si="17"/>
        <v>0.89947487338697685</v>
      </c>
      <c r="AP78" s="40"/>
      <c r="AQ78" s="41"/>
    </row>
    <row r="79" spans="2:43" x14ac:dyDescent="0.25">
      <c r="B79" s="1">
        <v>39234</v>
      </c>
      <c r="C79">
        <v>2.0059999999999998</v>
      </c>
      <c r="D79">
        <v>0.75700000000000001</v>
      </c>
      <c r="E79" t="s">
        <v>33</v>
      </c>
      <c r="G79">
        <v>2249.36</v>
      </c>
      <c r="I79" s="14">
        <f t="shared" si="20"/>
        <v>8.8442756375474607E-2</v>
      </c>
      <c r="J79" s="15">
        <f t="shared" si="21"/>
        <v>4.7026279391424675E-2</v>
      </c>
      <c r="K79" s="15"/>
      <c r="L79" s="15"/>
      <c r="M79" s="16">
        <f t="shared" si="22"/>
        <v>3.545008861371346E-2</v>
      </c>
      <c r="O79" s="13">
        <f t="shared" si="24"/>
        <v>6.7734517883449641E-2</v>
      </c>
      <c r="Q79" s="5">
        <f t="shared" si="25"/>
        <v>128.47272252239443</v>
      </c>
      <c r="R79" s="6">
        <f t="shared" si="26"/>
        <v>139.16809483446667</v>
      </c>
      <c r="T79" s="11">
        <f t="shared" si="18"/>
        <v>0.92314781398140255</v>
      </c>
      <c r="V79" s="9">
        <v>39234</v>
      </c>
      <c r="W79">
        <v>8118</v>
      </c>
      <c r="X79">
        <v>7731.1850999999997</v>
      </c>
      <c r="Y79" t="s">
        <v>33</v>
      </c>
      <c r="AC79" s="24">
        <f t="shared" si="27"/>
        <v>6.7838164167137671E-2</v>
      </c>
      <c r="AE79" s="5">
        <f t="shared" si="28"/>
        <v>118.33154349322309</v>
      </c>
      <c r="AF79" s="6">
        <f t="shared" si="29"/>
        <v>139.16809483446667</v>
      </c>
      <c r="AH79" s="1">
        <f t="shared" si="19"/>
        <v>39234</v>
      </c>
      <c r="AI79">
        <f t="shared" si="23"/>
        <v>0.85027781427900129</v>
      </c>
      <c r="AJ79">
        <f t="shared" ca="1" si="13"/>
        <v>0.75998702065138113</v>
      </c>
      <c r="AK79">
        <f t="shared" ca="1" si="14"/>
        <v>0.76873617213507384</v>
      </c>
      <c r="AL79">
        <f t="shared" ca="1" si="15"/>
        <v>0.82350274687978131</v>
      </c>
      <c r="AM79">
        <f t="shared" ca="1" si="16"/>
        <v>0.87494729263703996</v>
      </c>
      <c r="AN79">
        <f t="shared" ca="1" si="17"/>
        <v>0.89947487338697685</v>
      </c>
      <c r="AP79" s="40"/>
      <c r="AQ79" s="41"/>
    </row>
    <row r="80" spans="2:43" x14ac:dyDescent="0.25">
      <c r="B80" s="1">
        <v>39241</v>
      </c>
      <c r="C80">
        <v>2.0019999999999998</v>
      </c>
      <c r="D80">
        <v>0.748</v>
      </c>
      <c r="E80" t="s">
        <v>33</v>
      </c>
      <c r="G80">
        <v>2169.2800000000002</v>
      </c>
      <c r="I80" s="14">
        <f t="shared" si="20"/>
        <v>-1.9940179461614971E-3</v>
      </c>
      <c r="J80" s="15">
        <f t="shared" si="21"/>
        <v>-1.1889035667106973E-2</v>
      </c>
      <c r="K80" s="15"/>
      <c r="L80" s="15"/>
      <c r="M80" s="16">
        <f t="shared" si="22"/>
        <v>-3.5601237685386034E-2</v>
      </c>
      <c r="O80" s="13">
        <f t="shared" si="24"/>
        <v>-6.941526806634235E-3</v>
      </c>
      <c r="Q80" s="5">
        <f t="shared" si="25"/>
        <v>127.58092567508396</v>
      </c>
      <c r="R80" s="6">
        <f t="shared" si="26"/>
        <v>134.21353841204248</v>
      </c>
      <c r="T80" s="11">
        <f t="shared" si="18"/>
        <v>0.95058164164783399</v>
      </c>
      <c r="V80" s="9">
        <v>39241</v>
      </c>
      <c r="W80">
        <v>8104.8</v>
      </c>
      <c r="X80">
        <v>7644.3179</v>
      </c>
      <c r="Y80" t="s">
        <v>33</v>
      </c>
      <c r="AC80" s="24">
        <f t="shared" si="27"/>
        <v>-6.8207780026397083E-3</v>
      </c>
      <c r="AE80" s="5">
        <f t="shared" si="28"/>
        <v>117.52443030434611</v>
      </c>
      <c r="AF80" s="6">
        <f t="shared" si="29"/>
        <v>134.21353841204248</v>
      </c>
      <c r="AH80" s="1">
        <f t="shared" si="19"/>
        <v>39241</v>
      </c>
      <c r="AI80">
        <f t="shared" si="23"/>
        <v>0.87565257346498127</v>
      </c>
      <c r="AJ80">
        <f t="shared" ca="1" si="13"/>
        <v>0.75998702065138113</v>
      </c>
      <c r="AK80">
        <f t="shared" ca="1" si="14"/>
        <v>0.76873617213507384</v>
      </c>
      <c r="AL80">
        <f t="shared" ca="1" si="15"/>
        <v>0.82350274687978131</v>
      </c>
      <c r="AM80">
        <f t="shared" ca="1" si="16"/>
        <v>0.87141991880807845</v>
      </c>
      <c r="AN80">
        <f t="shared" ca="1" si="17"/>
        <v>0.89947487338697685</v>
      </c>
      <c r="AP80" s="40"/>
      <c r="AQ80" s="41"/>
    </row>
    <row r="81" spans="2:43" x14ac:dyDescent="0.25">
      <c r="B81" s="1">
        <v>39248</v>
      </c>
      <c r="C81">
        <v>1.986</v>
      </c>
      <c r="D81">
        <v>0.77700000000000002</v>
      </c>
      <c r="E81" t="s">
        <v>33</v>
      </c>
      <c r="G81">
        <v>2216.58</v>
      </c>
      <c r="I81" s="14">
        <f t="shared" si="20"/>
        <v>-7.9920079920079434E-3</v>
      </c>
      <c r="J81" s="15">
        <f t="shared" si="21"/>
        <v>3.8770053475935873E-2</v>
      </c>
      <c r="K81" s="15"/>
      <c r="L81" s="15"/>
      <c r="M81" s="16">
        <f t="shared" si="22"/>
        <v>2.1804469685794192E-2</v>
      </c>
      <c r="O81" s="13">
        <f t="shared" si="24"/>
        <v>1.5389022741963965E-2</v>
      </c>
      <c r="Q81" s="5">
        <f t="shared" si="25"/>
        <v>129.54427144173863</v>
      </c>
      <c r="R81" s="6">
        <f t="shared" si="26"/>
        <v>137.13999344177103</v>
      </c>
      <c r="T81" s="11">
        <f t="shared" si="18"/>
        <v>0.94461337054637162</v>
      </c>
      <c r="V81" s="9">
        <v>39248</v>
      </c>
      <c r="W81">
        <v>8038.8</v>
      </c>
      <c r="X81">
        <v>7939.6665000000003</v>
      </c>
      <c r="Y81" t="s">
        <v>33</v>
      </c>
      <c r="AC81" s="24">
        <f t="shared" si="27"/>
        <v>1.4705394223788738E-2</v>
      </c>
      <c r="AE81" s="5">
        <f t="shared" si="28"/>
        <v>119.2526733828977</v>
      </c>
      <c r="AF81" s="6">
        <f t="shared" si="29"/>
        <v>137.13999344177103</v>
      </c>
      <c r="AH81" s="1">
        <f t="shared" si="19"/>
        <v>39248</v>
      </c>
      <c r="AI81">
        <f t="shared" si="23"/>
        <v>0.86956890101888318</v>
      </c>
      <c r="AJ81">
        <f t="shared" ca="1" si="13"/>
        <v>0.75998702065138113</v>
      </c>
      <c r="AK81">
        <f t="shared" ca="1" si="14"/>
        <v>0.76873617213507384</v>
      </c>
      <c r="AL81">
        <f t="shared" ca="1" si="15"/>
        <v>0.82350274687978131</v>
      </c>
      <c r="AM81">
        <f t="shared" ca="1" si="16"/>
        <v>0.87141991880807845</v>
      </c>
      <c r="AN81">
        <f t="shared" ca="1" si="17"/>
        <v>0.89947487338697685</v>
      </c>
      <c r="AP81" s="40"/>
      <c r="AQ81" s="41"/>
    </row>
    <row r="82" spans="2:43" x14ac:dyDescent="0.25">
      <c r="B82" s="1">
        <v>39255</v>
      </c>
      <c r="C82">
        <v>2.0219999999999998</v>
      </c>
      <c r="D82">
        <v>0.78200000000000003</v>
      </c>
      <c r="E82" t="s">
        <v>33</v>
      </c>
      <c r="G82">
        <v>2229.9</v>
      </c>
      <c r="I82" s="14">
        <f t="shared" si="20"/>
        <v>1.8126888217522508E-2</v>
      </c>
      <c r="J82" s="15">
        <f t="shared" si="21"/>
        <v>6.4350064350064962E-3</v>
      </c>
      <c r="K82" s="15"/>
      <c r="L82" s="15"/>
      <c r="M82" s="16">
        <f t="shared" si="22"/>
        <v>6.0092575048047436E-3</v>
      </c>
      <c r="O82" s="13">
        <f t="shared" si="24"/>
        <v>1.2280947326264502E-2</v>
      </c>
      <c r="Q82" s="5">
        <f t="shared" si="25"/>
        <v>131.13519781573396</v>
      </c>
      <c r="R82" s="6">
        <f t="shared" si="26"/>
        <v>137.96410297656985</v>
      </c>
      <c r="T82" s="11">
        <f t="shared" si="18"/>
        <v>0.95050230448716344</v>
      </c>
      <c r="V82" s="9">
        <v>39255</v>
      </c>
      <c r="W82">
        <v>8184</v>
      </c>
      <c r="X82">
        <v>7991.7869000000001</v>
      </c>
      <c r="Y82" t="s">
        <v>33</v>
      </c>
      <c r="AC82" s="24">
        <f t="shared" si="27"/>
        <v>1.2317216675475423E-2</v>
      </c>
      <c r="AE82" s="5">
        <f t="shared" si="28"/>
        <v>120.72153440008455</v>
      </c>
      <c r="AF82" s="6">
        <f t="shared" si="29"/>
        <v>137.96410297656985</v>
      </c>
      <c r="AH82" s="1">
        <f t="shared" si="19"/>
        <v>39255</v>
      </c>
      <c r="AI82">
        <f t="shared" si="23"/>
        <v>0.87502134102655993</v>
      </c>
      <c r="AJ82">
        <f t="shared" ca="1" si="13"/>
        <v>0.75998702065138113</v>
      </c>
      <c r="AK82">
        <f t="shared" ca="1" si="14"/>
        <v>0.76873617213507384</v>
      </c>
      <c r="AL82">
        <f t="shared" ca="1" si="15"/>
        <v>0.82350274687978131</v>
      </c>
      <c r="AM82">
        <f t="shared" ca="1" si="16"/>
        <v>0.8702927790028322</v>
      </c>
      <c r="AN82">
        <f t="shared" ca="1" si="17"/>
        <v>0.89947487338697685</v>
      </c>
      <c r="AP82" s="40"/>
      <c r="AQ82" s="41"/>
    </row>
    <row r="83" spans="2:43" x14ac:dyDescent="0.25">
      <c r="B83" s="1">
        <v>39262</v>
      </c>
      <c r="C83">
        <v>2.0190000000000001</v>
      </c>
      <c r="D83">
        <v>0.75700000000000001</v>
      </c>
      <c r="E83" t="s">
        <v>33</v>
      </c>
      <c r="G83">
        <v>2190.87</v>
      </c>
      <c r="I83" s="14">
        <f t="shared" si="20"/>
        <v>-1.4836795252224366E-3</v>
      </c>
      <c r="J83" s="15">
        <f t="shared" si="21"/>
        <v>-3.1969309462915652E-2</v>
      </c>
      <c r="K83" s="15"/>
      <c r="L83" s="15"/>
      <c r="M83" s="16">
        <f t="shared" si="22"/>
        <v>-1.7503027041571473E-2</v>
      </c>
      <c r="O83" s="13">
        <f t="shared" si="24"/>
        <v>-1.6726494494069044E-2</v>
      </c>
      <c r="Q83" s="5">
        <f t="shared" si="25"/>
        <v>128.94176565149044</v>
      </c>
      <c r="R83" s="6">
        <f t="shared" si="26"/>
        <v>135.54931355140479</v>
      </c>
      <c r="T83" s="11">
        <f t="shared" si="18"/>
        <v>0.95125354952529106</v>
      </c>
      <c r="V83" s="9">
        <v>39262</v>
      </c>
      <c r="W83">
        <v>8170.8</v>
      </c>
      <c r="X83">
        <v>7731.1850999999997</v>
      </c>
      <c r="Y83" t="s">
        <v>33</v>
      </c>
      <c r="AC83" s="24">
        <f t="shared" si="27"/>
        <v>-1.6545367681753756E-2</v>
      </c>
      <c r="AE83" s="5">
        <f t="shared" si="28"/>
        <v>118.72415222632966</v>
      </c>
      <c r="AF83" s="6">
        <f t="shared" si="29"/>
        <v>135.54931355140479</v>
      </c>
      <c r="AH83" s="1">
        <f t="shared" si="19"/>
        <v>39262</v>
      </c>
      <c r="AI83">
        <f t="shared" si="23"/>
        <v>0.87587424174822925</v>
      </c>
      <c r="AJ83">
        <f t="shared" ca="1" si="13"/>
        <v>0.75998702065138113</v>
      </c>
      <c r="AK83">
        <f t="shared" ca="1" si="14"/>
        <v>0.76873617213507384</v>
      </c>
      <c r="AL83">
        <f t="shared" ca="1" si="15"/>
        <v>0.82350274687978131</v>
      </c>
      <c r="AM83">
        <f t="shared" ca="1" si="16"/>
        <v>0.8702927790028322</v>
      </c>
      <c r="AN83">
        <f t="shared" ca="1" si="17"/>
        <v>0.89275559387629122</v>
      </c>
      <c r="AP83" s="40"/>
      <c r="AQ83" s="41"/>
    </row>
    <row r="84" spans="2:43" x14ac:dyDescent="0.25">
      <c r="B84" s="1">
        <v>39269</v>
      </c>
      <c r="C84">
        <v>2.1589999999999998</v>
      </c>
      <c r="D84">
        <v>0.75900000000000001</v>
      </c>
      <c r="E84" t="s">
        <v>33</v>
      </c>
      <c r="G84">
        <v>2249.0100000000002</v>
      </c>
      <c r="I84" s="14">
        <f t="shared" si="20"/>
        <v>6.9341258048538634E-2</v>
      </c>
      <c r="J84" s="15">
        <f t="shared" si="21"/>
        <v>2.6420079260238705E-3</v>
      </c>
      <c r="K84" s="15"/>
      <c r="L84" s="15"/>
      <c r="M84" s="16">
        <f t="shared" si="22"/>
        <v>2.6537402949513345E-2</v>
      </c>
      <c r="O84" s="13">
        <f t="shared" si="24"/>
        <v>3.5991632987281252E-2</v>
      </c>
      <c r="Q84" s="5">
        <f t="shared" si="25"/>
        <v>133.58259035755094</v>
      </c>
      <c r="R84" s="6">
        <f t="shared" si="26"/>
        <v>139.14644030464837</v>
      </c>
      <c r="T84" s="11">
        <f t="shared" si="18"/>
        <v>0.96001442843298124</v>
      </c>
      <c r="V84" s="9">
        <v>39269</v>
      </c>
      <c r="W84">
        <v>8738.4</v>
      </c>
      <c r="X84">
        <v>7748.5586000000003</v>
      </c>
      <c r="Y84" t="s">
        <v>33</v>
      </c>
      <c r="AC84" s="24">
        <f t="shared" si="27"/>
        <v>3.6913592855445272E-2</v>
      </c>
      <c r="AE84" s="5">
        <f t="shared" si="28"/>
        <v>123.10668724372032</v>
      </c>
      <c r="AF84" s="6">
        <f t="shared" si="29"/>
        <v>139.14644030464837</v>
      </c>
      <c r="AH84" s="1">
        <f t="shared" si="19"/>
        <v>39269</v>
      </c>
      <c r="AI84">
        <f t="shared" si="23"/>
        <v>0.8847275357830896</v>
      </c>
      <c r="AJ84">
        <f t="shared" ca="1" si="13"/>
        <v>0.75998702065138113</v>
      </c>
      <c r="AK84">
        <f t="shared" ca="1" si="14"/>
        <v>0.76873617213507384</v>
      </c>
      <c r="AL84">
        <f t="shared" ca="1" si="15"/>
        <v>0.82350274687978131</v>
      </c>
      <c r="AM84">
        <f t="shared" ca="1" si="16"/>
        <v>0.8702927790028322</v>
      </c>
      <c r="AN84">
        <f t="shared" ca="1" si="17"/>
        <v>0.88937384204166814</v>
      </c>
      <c r="AP84" s="40"/>
      <c r="AQ84" s="41"/>
    </row>
    <row r="85" spans="2:43" x14ac:dyDescent="0.25">
      <c r="B85" s="1">
        <v>39276</v>
      </c>
      <c r="C85">
        <v>2.149</v>
      </c>
      <c r="D85">
        <v>0.745</v>
      </c>
      <c r="E85" t="s">
        <v>33</v>
      </c>
      <c r="G85">
        <v>2287.8200000000002</v>
      </c>
      <c r="I85" s="14">
        <f t="shared" si="20"/>
        <v>-4.631773969430153E-3</v>
      </c>
      <c r="J85" s="15">
        <f t="shared" si="21"/>
        <v>-1.8445322793148922E-2</v>
      </c>
      <c r="K85" s="15"/>
      <c r="L85" s="15"/>
      <c r="M85" s="16">
        <f t="shared" si="22"/>
        <v>1.7256481740854923E-2</v>
      </c>
      <c r="O85" s="13">
        <f t="shared" si="24"/>
        <v>-1.1538548381289537E-2</v>
      </c>
      <c r="Q85" s="5">
        <f t="shared" si="25"/>
        <v>132.04124117581236</v>
      </c>
      <c r="R85" s="6">
        <f t="shared" si="26"/>
        <v>141.54761831107049</v>
      </c>
      <c r="T85" s="11">
        <f t="shared" si="18"/>
        <v>0.93283972384214509</v>
      </c>
      <c r="V85" s="9">
        <v>39276</v>
      </c>
      <c r="W85">
        <v>8698.7999999999993</v>
      </c>
      <c r="X85">
        <v>7609.5709999999999</v>
      </c>
      <c r="Y85" t="s">
        <v>33</v>
      </c>
      <c r="AC85" s="24">
        <f t="shared" si="27"/>
        <v>-1.1123880556908694E-2</v>
      </c>
      <c r="AE85" s="5">
        <f t="shared" si="28"/>
        <v>121.73726315906445</v>
      </c>
      <c r="AF85" s="6">
        <f t="shared" si="29"/>
        <v>141.54761831107049</v>
      </c>
      <c r="AH85" s="1">
        <f t="shared" si="19"/>
        <v>39276</v>
      </c>
      <c r="AI85">
        <f t="shared" si="23"/>
        <v>0.86004458860996136</v>
      </c>
      <c r="AJ85">
        <f t="shared" ca="1" si="13"/>
        <v>0.75998702065138113</v>
      </c>
      <c r="AK85">
        <f t="shared" ca="1" si="14"/>
        <v>0.76873617213507384</v>
      </c>
      <c r="AL85">
        <f t="shared" ca="1" si="15"/>
        <v>0.82350274687978131</v>
      </c>
      <c r="AM85">
        <f t="shared" ca="1" si="16"/>
        <v>0.8702927790028322</v>
      </c>
      <c r="AN85">
        <f t="shared" ca="1" si="17"/>
        <v>0.88594025968908041</v>
      </c>
      <c r="AP85" s="40"/>
      <c r="AQ85" s="41"/>
    </row>
    <row r="86" spans="2:43" x14ac:dyDescent="0.25">
      <c r="B86" s="1">
        <v>39283</v>
      </c>
      <c r="C86">
        <v>2.0379999999999998</v>
      </c>
      <c r="D86">
        <v>0.748</v>
      </c>
      <c r="E86" t="s">
        <v>33</v>
      </c>
      <c r="G86">
        <v>2277.4699999999998</v>
      </c>
      <c r="I86" s="14">
        <f t="shared" si="20"/>
        <v>-5.165193113075861E-2</v>
      </c>
      <c r="J86" s="15">
        <f t="shared" si="21"/>
        <v>4.0268456375838202E-3</v>
      </c>
      <c r="K86" s="15"/>
      <c r="L86" s="15"/>
      <c r="M86" s="16">
        <f t="shared" si="22"/>
        <v>-4.5239573043335257E-3</v>
      </c>
      <c r="O86" s="13">
        <f t="shared" si="24"/>
        <v>-2.3812542746587395E-2</v>
      </c>
      <c r="Q86" s="5">
        <f t="shared" si="25"/>
        <v>128.89700347600086</v>
      </c>
      <c r="R86" s="6">
        <f t="shared" si="26"/>
        <v>140.90726292930111</v>
      </c>
      <c r="T86" s="11">
        <f t="shared" si="18"/>
        <v>0.91476479491815632</v>
      </c>
      <c r="V86" s="9">
        <v>39283</v>
      </c>
      <c r="W86">
        <v>8250</v>
      </c>
      <c r="X86">
        <v>7644.3179</v>
      </c>
      <c r="Y86" t="s">
        <v>33</v>
      </c>
      <c r="AC86" s="24">
        <f t="shared" si="27"/>
        <v>-2.5671923378184653E-2</v>
      </c>
      <c r="AE86" s="5">
        <f t="shared" si="28"/>
        <v>118.61203346697505</v>
      </c>
      <c r="AF86" s="6">
        <f t="shared" si="29"/>
        <v>140.90726292930111</v>
      </c>
      <c r="AH86" s="1">
        <f t="shared" si="19"/>
        <v>39283</v>
      </c>
      <c r="AI86">
        <f t="shared" si="23"/>
        <v>0.84177373828123758</v>
      </c>
      <c r="AJ86">
        <f t="shared" ca="1" si="13"/>
        <v>0.75998702065138113</v>
      </c>
      <c r="AK86">
        <f t="shared" ca="1" si="14"/>
        <v>0.76873617213507384</v>
      </c>
      <c r="AL86">
        <f t="shared" ca="1" si="15"/>
        <v>0.82350274687978131</v>
      </c>
      <c r="AM86">
        <f t="shared" ca="1" si="16"/>
        <v>0.86972012214630845</v>
      </c>
      <c r="AN86">
        <f t="shared" ca="1" si="17"/>
        <v>0.88454650775149413</v>
      </c>
      <c r="AP86" s="40"/>
      <c r="AQ86" s="41"/>
    </row>
    <row r="87" spans="2:43" x14ac:dyDescent="0.25">
      <c r="B87" s="1">
        <v>39290</v>
      </c>
      <c r="C87">
        <v>1.944</v>
      </c>
      <c r="D87">
        <v>0.69399999999999995</v>
      </c>
      <c r="E87" t="s">
        <v>33</v>
      </c>
      <c r="G87">
        <v>2149.89</v>
      </c>
      <c r="I87" s="14">
        <f t="shared" si="20"/>
        <v>-4.6123650637880265E-2</v>
      </c>
      <c r="J87" s="15">
        <f t="shared" si="21"/>
        <v>-7.2192513368984024E-2</v>
      </c>
      <c r="K87" s="15"/>
      <c r="L87" s="15"/>
      <c r="M87" s="16">
        <f t="shared" si="22"/>
        <v>-5.6018301009453486E-2</v>
      </c>
      <c r="O87" s="13">
        <f t="shared" si="24"/>
        <v>-5.9158082003432144E-2</v>
      </c>
      <c r="Q87" s="5">
        <f t="shared" si="25"/>
        <v>121.27170397437094</v>
      </c>
      <c r="R87" s="6">
        <f t="shared" si="26"/>
        <v>133.01387746010931</v>
      </c>
      <c r="T87" s="11">
        <f t="shared" si="18"/>
        <v>0.91172219237605612</v>
      </c>
      <c r="V87" s="9">
        <v>39290</v>
      </c>
      <c r="W87">
        <v>7867.2</v>
      </c>
      <c r="X87">
        <v>7088.3675000000003</v>
      </c>
      <c r="Y87" t="s">
        <v>33</v>
      </c>
      <c r="AC87" s="24">
        <f t="shared" si="27"/>
        <v>-5.866138111878498E-2</v>
      </c>
      <c r="AE87" s="5">
        <f t="shared" si="28"/>
        <v>111.65408776649475</v>
      </c>
      <c r="AF87" s="6">
        <f t="shared" si="29"/>
        <v>133.01387746010931</v>
      </c>
      <c r="AH87" s="1">
        <f t="shared" si="19"/>
        <v>39290</v>
      </c>
      <c r="AI87">
        <f t="shared" si="23"/>
        <v>0.8394168330291677</v>
      </c>
      <c r="AJ87">
        <f t="shared" ca="1" si="13"/>
        <v>0.75998702065138113</v>
      </c>
      <c r="AK87">
        <f t="shared" ca="1" si="14"/>
        <v>0.76873617213507384</v>
      </c>
      <c r="AL87">
        <f t="shared" ca="1" si="15"/>
        <v>0.82350274687978131</v>
      </c>
      <c r="AM87">
        <f t="shared" ca="1" si="16"/>
        <v>0.86709093022751682</v>
      </c>
      <c r="AN87">
        <f t="shared" ca="1" si="17"/>
        <v>0.88252437369467596</v>
      </c>
      <c r="AP87" s="40"/>
      <c r="AQ87" s="41"/>
    </row>
    <row r="88" spans="2:43" x14ac:dyDescent="0.25">
      <c r="B88" s="1">
        <v>39297</v>
      </c>
      <c r="C88">
        <v>1.98</v>
      </c>
      <c r="D88">
        <v>0.745</v>
      </c>
      <c r="E88" t="s">
        <v>33</v>
      </c>
      <c r="G88">
        <v>2148.42</v>
      </c>
      <c r="I88" s="14">
        <f t="shared" si="20"/>
        <v>1.8518518518518601E-2</v>
      </c>
      <c r="J88" s="15">
        <f t="shared" si="21"/>
        <v>7.3487031700288252E-2</v>
      </c>
      <c r="K88" s="15"/>
      <c r="L88" s="15"/>
      <c r="M88" s="16">
        <f t="shared" si="22"/>
        <v>-6.8375591309310924E-4</v>
      </c>
      <c r="O88" s="13">
        <f t="shared" si="24"/>
        <v>4.6002775109403427E-2</v>
      </c>
      <c r="Q88" s="5">
        <f t="shared" si="25"/>
        <v>126.85053889943806</v>
      </c>
      <c r="R88" s="6">
        <f t="shared" si="26"/>
        <v>132.92292843487252</v>
      </c>
      <c r="T88" s="11">
        <f t="shared" si="18"/>
        <v>0.95431646287863947</v>
      </c>
      <c r="V88" s="9">
        <v>39297</v>
      </c>
      <c r="W88">
        <v>8012.4</v>
      </c>
      <c r="X88">
        <v>7609.5709999999999</v>
      </c>
      <c r="Y88" t="s">
        <v>33</v>
      </c>
      <c r="AC88" s="24">
        <f t="shared" si="27"/>
        <v>4.4571493262604879E-2</v>
      </c>
      <c r="AE88" s="5">
        <f t="shared" si="28"/>
        <v>116.63067718712138</v>
      </c>
      <c r="AF88" s="6">
        <f t="shared" si="29"/>
        <v>132.92292843487252</v>
      </c>
      <c r="AH88" s="1">
        <f t="shared" si="19"/>
        <v>39297</v>
      </c>
      <c r="AI88">
        <f t="shared" si="23"/>
        <v>0.87743084327446352</v>
      </c>
      <c r="AJ88">
        <f t="shared" ca="1" si="13"/>
        <v>0.75998702065138113</v>
      </c>
      <c r="AK88">
        <f t="shared" ca="1" si="14"/>
        <v>0.76873617213507384</v>
      </c>
      <c r="AL88">
        <f t="shared" ca="1" si="15"/>
        <v>0.82350274687978131</v>
      </c>
      <c r="AM88">
        <f t="shared" ca="1" si="16"/>
        <v>0.86622054135204818</v>
      </c>
      <c r="AN88">
        <f t="shared" ca="1" si="17"/>
        <v>0.87867701814311394</v>
      </c>
      <c r="AP88" s="40"/>
      <c r="AQ88" s="41"/>
    </row>
    <row r="89" spans="2:43" x14ac:dyDescent="0.25">
      <c r="B89" s="1">
        <v>39304</v>
      </c>
      <c r="C89">
        <v>1.8520000000000001</v>
      </c>
      <c r="D89">
        <v>0.68899999999999995</v>
      </c>
      <c r="E89" t="s">
        <v>33</v>
      </c>
      <c r="G89">
        <v>2053.13</v>
      </c>
      <c r="I89" s="14">
        <f t="shared" si="20"/>
        <v>-6.4646464646464619E-2</v>
      </c>
      <c r="J89" s="15">
        <f t="shared" si="21"/>
        <v>-7.516778523489942E-2</v>
      </c>
      <c r="K89" s="15"/>
      <c r="L89" s="15"/>
      <c r="M89" s="16">
        <f t="shared" si="22"/>
        <v>-4.4353524915984766E-2</v>
      </c>
      <c r="O89" s="13">
        <f t="shared" si="24"/>
        <v>-6.9907124940682019E-2</v>
      </c>
      <c r="Q89" s="5">
        <f t="shared" si="25"/>
        <v>117.98278242780221</v>
      </c>
      <c r="R89" s="6">
        <f t="shared" si="26"/>
        <v>127.02732801663073</v>
      </c>
      <c r="T89" s="11">
        <f t="shared" si="18"/>
        <v>0.92879842684210134</v>
      </c>
      <c r="V89" s="9">
        <v>39304</v>
      </c>
      <c r="W89">
        <v>7497.6</v>
      </c>
      <c r="X89">
        <v>7036.2470999999996</v>
      </c>
      <c r="Y89" t="s">
        <v>33</v>
      </c>
      <c r="AC89" s="24">
        <f t="shared" si="27"/>
        <v>-6.9771473266148812E-2</v>
      </c>
      <c r="AE89" s="5">
        <f t="shared" si="28"/>
        <v>108.49318301174731</v>
      </c>
      <c r="AF89" s="6">
        <f t="shared" si="29"/>
        <v>127.02732801663073</v>
      </c>
      <c r="AH89" s="1">
        <f t="shared" si="19"/>
        <v>39304</v>
      </c>
      <c r="AI89">
        <f t="shared" si="23"/>
        <v>0.85409324675036158</v>
      </c>
      <c r="AJ89">
        <f t="shared" ca="1" si="13"/>
        <v>0.75998702065138113</v>
      </c>
      <c r="AK89">
        <f t="shared" ca="1" si="14"/>
        <v>0.76873617213507384</v>
      </c>
      <c r="AL89">
        <f t="shared" ca="1" si="15"/>
        <v>0.82350274687978131</v>
      </c>
      <c r="AM89">
        <f t="shared" ca="1" si="16"/>
        <v>0.86622054135204818</v>
      </c>
      <c r="AN89">
        <f t="shared" ca="1" si="17"/>
        <v>0.87727518312184005</v>
      </c>
      <c r="AP89" s="40"/>
      <c r="AQ89" s="41"/>
    </row>
    <row r="90" spans="2:43" x14ac:dyDescent="0.25">
      <c r="B90" s="1">
        <v>39311</v>
      </c>
      <c r="C90">
        <v>1.79</v>
      </c>
      <c r="D90">
        <v>0.68400000000000005</v>
      </c>
      <c r="E90" t="s">
        <v>33</v>
      </c>
      <c r="G90">
        <v>1929.12</v>
      </c>
      <c r="I90" s="14">
        <f t="shared" si="20"/>
        <v>-3.347732181425489E-2</v>
      </c>
      <c r="J90" s="15">
        <f t="shared" si="21"/>
        <v>-7.2568940493467071E-3</v>
      </c>
      <c r="K90" s="15"/>
      <c r="L90" s="15"/>
      <c r="M90" s="16">
        <f t="shared" si="22"/>
        <v>-6.040046173403546E-2</v>
      </c>
      <c r="O90" s="13">
        <f t="shared" si="24"/>
        <v>-2.0367107931800799E-2</v>
      </c>
      <c r="Q90" s="5">
        <f t="shared" si="25"/>
        <v>115.57981436400098</v>
      </c>
      <c r="R90" s="6">
        <f t="shared" si="26"/>
        <v>119.35481875158546</v>
      </c>
      <c r="T90" s="11">
        <f t="shared" si="18"/>
        <v>0.96837157957198672</v>
      </c>
      <c r="V90" s="9">
        <v>39311</v>
      </c>
      <c r="W90">
        <v>7246.8</v>
      </c>
      <c r="X90">
        <v>6984.1268</v>
      </c>
      <c r="Y90" t="s">
        <v>33</v>
      </c>
      <c r="AC90" s="24">
        <f t="shared" si="27"/>
        <v>-2.0783269953643626E-2</v>
      </c>
      <c r="AE90" s="5">
        <f t="shared" si="28"/>
        <v>106.23833990108409</v>
      </c>
      <c r="AF90" s="6">
        <f t="shared" si="29"/>
        <v>119.35481875158546</v>
      </c>
      <c r="AH90" s="1">
        <f t="shared" si="19"/>
        <v>39311</v>
      </c>
      <c r="AI90">
        <f t="shared" si="23"/>
        <v>0.89010515882227736</v>
      </c>
      <c r="AJ90">
        <f t="shared" ca="1" si="13"/>
        <v>0.75998702065138113</v>
      </c>
      <c r="AK90">
        <f t="shared" ca="1" si="14"/>
        <v>0.76873617213507384</v>
      </c>
      <c r="AL90">
        <f t="shared" ca="1" si="15"/>
        <v>0.82350274687978131</v>
      </c>
      <c r="AM90">
        <f t="shared" ca="1" si="16"/>
        <v>0.86561166890270935</v>
      </c>
      <c r="AN90">
        <f t="shared" ca="1" si="17"/>
        <v>0.87585207491990447</v>
      </c>
      <c r="AP90" s="40"/>
      <c r="AQ90" s="41"/>
    </row>
    <row r="91" spans="2:43" x14ac:dyDescent="0.25">
      <c r="B91" s="1">
        <v>39318</v>
      </c>
      <c r="C91">
        <v>2.012</v>
      </c>
      <c r="D91">
        <v>0.69699999999999995</v>
      </c>
      <c r="E91" t="s">
        <v>33</v>
      </c>
      <c r="G91">
        <v>2081.4499999999998</v>
      </c>
      <c r="I91" s="14">
        <f t="shared" si="20"/>
        <v>0.12402234636871512</v>
      </c>
      <c r="J91" s="15">
        <f t="shared" si="21"/>
        <v>1.9005847953216248E-2</v>
      </c>
      <c r="K91" s="15"/>
      <c r="L91" s="15"/>
      <c r="M91" s="16">
        <f t="shared" si="22"/>
        <v>7.8963465206933758E-2</v>
      </c>
      <c r="O91" s="13">
        <f t="shared" si="24"/>
        <v>7.1514097160965684E-2</v>
      </c>
      <c r="Q91" s="5">
        <f t="shared" si="25"/>
        <v>123.84540043827451</v>
      </c>
      <c r="R91" s="6">
        <f t="shared" si="26"/>
        <v>128.77948882935615</v>
      </c>
      <c r="T91" s="11">
        <f t="shared" si="18"/>
        <v>0.96168575884301166</v>
      </c>
      <c r="V91" s="9">
        <v>39318</v>
      </c>
      <c r="W91">
        <v>8144.4</v>
      </c>
      <c r="X91">
        <v>7123.1106</v>
      </c>
      <c r="Y91" t="s">
        <v>33</v>
      </c>
      <c r="AC91" s="24">
        <f t="shared" si="27"/>
        <v>7.2483289824214925E-2</v>
      </c>
      <c r="AE91" s="5">
        <f t="shared" si="28"/>
        <v>113.93884428257782</v>
      </c>
      <c r="AF91" s="6">
        <f t="shared" si="29"/>
        <v>128.77948882935615</v>
      </c>
      <c r="AH91" s="1">
        <f t="shared" si="19"/>
        <v>39318</v>
      </c>
      <c r="AI91">
        <f t="shared" si="23"/>
        <v>0.88475925256666099</v>
      </c>
      <c r="AJ91">
        <f t="shared" ca="1" si="13"/>
        <v>0.75998702065138113</v>
      </c>
      <c r="AK91">
        <f t="shared" ca="1" si="14"/>
        <v>0.76873617213507384</v>
      </c>
      <c r="AL91">
        <f t="shared" ca="1" si="15"/>
        <v>0.82350274687978131</v>
      </c>
      <c r="AM91">
        <f t="shared" ca="1" si="16"/>
        <v>0.86561166890270935</v>
      </c>
      <c r="AN91">
        <f t="shared" ca="1" si="17"/>
        <v>0.87585207491990447</v>
      </c>
      <c r="AP91" s="40"/>
      <c r="AQ91" s="41"/>
    </row>
    <row r="92" spans="2:43" x14ac:dyDescent="0.25">
      <c r="B92" s="1">
        <v>39325</v>
      </c>
      <c r="C92">
        <v>2.0019999999999998</v>
      </c>
      <c r="D92">
        <v>0.68700000000000006</v>
      </c>
      <c r="E92" t="s">
        <v>33</v>
      </c>
      <c r="G92">
        <v>2062.08</v>
      </c>
      <c r="I92" s="14">
        <f t="shared" si="20"/>
        <v>-4.9701789264414709E-3</v>
      </c>
      <c r="J92" s="15">
        <f t="shared" si="21"/>
        <v>-1.4347202295552197E-2</v>
      </c>
      <c r="K92" s="15"/>
      <c r="L92" s="15"/>
      <c r="M92" s="16">
        <f t="shared" si="22"/>
        <v>-9.3060126354224115E-3</v>
      </c>
      <c r="O92" s="13">
        <f t="shared" si="24"/>
        <v>-9.658690610996834E-3</v>
      </c>
      <c r="Q92" s="5">
        <f t="shared" si="25"/>
        <v>122.64921603184621</v>
      </c>
      <c r="R92" s="6">
        <f t="shared" si="26"/>
        <v>127.58106527912693</v>
      </c>
      <c r="T92" s="11">
        <f t="shared" si="18"/>
        <v>0.96134340753080694</v>
      </c>
      <c r="V92" s="9">
        <v>39325</v>
      </c>
      <c r="W92">
        <v>8104.8</v>
      </c>
      <c r="X92">
        <v>7018.87</v>
      </c>
      <c r="Y92" t="s">
        <v>33</v>
      </c>
      <c r="AC92" s="24">
        <f t="shared" si="27"/>
        <v>-9.345062056174509E-3</v>
      </c>
      <c r="AE92" s="5">
        <f t="shared" si="28"/>
        <v>112.87407871214833</v>
      </c>
      <c r="AF92" s="6">
        <f t="shared" si="29"/>
        <v>127.58106527912693</v>
      </c>
      <c r="AH92" s="1">
        <f t="shared" si="19"/>
        <v>39325</v>
      </c>
      <c r="AI92">
        <f t="shared" si="23"/>
        <v>0.88472437869364029</v>
      </c>
      <c r="AJ92">
        <f t="shared" ca="1" si="13"/>
        <v>0.75998702065138113</v>
      </c>
      <c r="AK92">
        <f t="shared" ca="1" si="14"/>
        <v>0.76873617213507384</v>
      </c>
      <c r="AL92">
        <f t="shared" ca="1" si="15"/>
        <v>0.82350274687978131</v>
      </c>
      <c r="AM92">
        <f t="shared" ca="1" si="16"/>
        <v>0.86561166890270935</v>
      </c>
      <c r="AN92">
        <f t="shared" ca="1" si="17"/>
        <v>0.87727518312184005</v>
      </c>
      <c r="AP92" s="40"/>
      <c r="AQ92" s="41"/>
    </row>
    <row r="93" spans="2:43" x14ac:dyDescent="0.25">
      <c r="B93" s="1">
        <v>39332</v>
      </c>
      <c r="C93">
        <v>2.0249999999999999</v>
      </c>
      <c r="D93">
        <v>0.71599999999999997</v>
      </c>
      <c r="E93" t="s">
        <v>33</v>
      </c>
      <c r="G93">
        <v>2041.04</v>
      </c>
      <c r="I93" s="14">
        <f t="shared" si="20"/>
        <v>1.1488511488511488E-2</v>
      </c>
      <c r="J93" s="15">
        <f t="shared" si="21"/>
        <v>4.2212518195050786E-2</v>
      </c>
      <c r="K93" s="15"/>
      <c r="L93" s="15"/>
      <c r="M93" s="16">
        <f t="shared" si="22"/>
        <v>-1.0203289882060762E-2</v>
      </c>
      <c r="O93" s="13">
        <f t="shared" si="24"/>
        <v>2.6850514841781137E-2</v>
      </c>
      <c r="Q93" s="5">
        <f t="shared" si="25"/>
        <v>125.94241062724213</v>
      </c>
      <c r="R93" s="6">
        <f t="shared" si="26"/>
        <v>126.27931868662188</v>
      </c>
      <c r="T93" s="11">
        <f t="shared" si="18"/>
        <v>0.99733204088457406</v>
      </c>
      <c r="V93" s="9">
        <v>39332</v>
      </c>
      <c r="W93">
        <v>8197.2000000000007</v>
      </c>
      <c r="X93">
        <v>7314.2184999999999</v>
      </c>
      <c r="Y93" t="s">
        <v>33</v>
      </c>
      <c r="AC93" s="24">
        <f t="shared" si="27"/>
        <v>2.5747471711283307E-2</v>
      </c>
      <c r="AE93" s="5">
        <f t="shared" si="28"/>
        <v>115.78030086072654</v>
      </c>
      <c r="AF93" s="6">
        <f t="shared" si="29"/>
        <v>126.27931868662188</v>
      </c>
      <c r="AH93" s="1">
        <f t="shared" si="19"/>
        <v>39332</v>
      </c>
      <c r="AI93">
        <f t="shared" si="23"/>
        <v>0.91685877042186159</v>
      </c>
      <c r="AJ93">
        <f t="shared" ca="1" si="13"/>
        <v>0.75998702065138113</v>
      </c>
      <c r="AK93">
        <f t="shared" ca="1" si="14"/>
        <v>0.76873617213507384</v>
      </c>
      <c r="AL93">
        <f t="shared" ca="1" si="15"/>
        <v>0.82350274687978131</v>
      </c>
      <c r="AM93">
        <f t="shared" ca="1" si="16"/>
        <v>0.86561166890270935</v>
      </c>
      <c r="AN93">
        <f t="shared" ca="1" si="17"/>
        <v>0.87727518312184005</v>
      </c>
      <c r="AP93" s="40"/>
      <c r="AQ93" s="41"/>
    </row>
    <row r="94" spans="2:43" x14ac:dyDescent="0.25">
      <c r="B94" s="1">
        <v>39339</v>
      </c>
      <c r="C94">
        <v>1.9990000000000001</v>
      </c>
      <c r="D94">
        <v>0.74199999999999999</v>
      </c>
      <c r="E94" t="s">
        <v>33</v>
      </c>
      <c r="G94">
        <v>2048.91</v>
      </c>
      <c r="I94" s="14">
        <f t="shared" si="20"/>
        <v>-1.2839506172839354E-2</v>
      </c>
      <c r="J94" s="15">
        <f t="shared" si="21"/>
        <v>3.6312849162011274E-2</v>
      </c>
      <c r="K94" s="15"/>
      <c r="L94" s="15"/>
      <c r="M94" s="16">
        <f t="shared" si="22"/>
        <v>3.8558773958372594E-3</v>
      </c>
      <c r="O94" s="13">
        <f t="shared" si="24"/>
        <v>1.173667149458596E-2</v>
      </c>
      <c r="Q94" s="5">
        <f t="shared" si="25"/>
        <v>127.42055532801031</v>
      </c>
      <c r="R94" s="6">
        <f t="shared" si="26"/>
        <v>126.76623625710735</v>
      </c>
      <c r="T94" s="11">
        <f t="shared" si="18"/>
        <v>1.0051616194518536</v>
      </c>
      <c r="V94" s="9">
        <v>39339</v>
      </c>
      <c r="W94">
        <v>8091.6</v>
      </c>
      <c r="X94">
        <v>7574.8200999999999</v>
      </c>
      <c r="Y94" t="s">
        <v>33</v>
      </c>
      <c r="AC94" s="24">
        <f t="shared" si="27"/>
        <v>1.0337682084233211E-2</v>
      </c>
      <c r="AE94" s="5">
        <f t="shared" si="28"/>
        <v>116.97720080264159</v>
      </c>
      <c r="AF94" s="6">
        <f t="shared" si="29"/>
        <v>126.76623625710735</v>
      </c>
      <c r="AH94" s="1">
        <f t="shared" si="19"/>
        <v>39339</v>
      </c>
      <c r="AI94">
        <f t="shared" si="23"/>
        <v>0.92277884282521716</v>
      </c>
      <c r="AJ94">
        <f t="shared" ca="1" si="13"/>
        <v>0.75998702065138113</v>
      </c>
      <c r="AK94">
        <f t="shared" ca="1" si="14"/>
        <v>0.76873617213507384</v>
      </c>
      <c r="AL94">
        <f t="shared" ca="1" si="15"/>
        <v>0.82350274687978131</v>
      </c>
      <c r="AM94">
        <f t="shared" ca="1" si="16"/>
        <v>0.86561166890270935</v>
      </c>
      <c r="AN94">
        <f t="shared" ca="1" si="17"/>
        <v>0.87727518312184005</v>
      </c>
      <c r="AP94" s="40"/>
      <c r="AQ94" s="41"/>
    </row>
    <row r="95" spans="2:43" x14ac:dyDescent="0.25">
      <c r="B95" s="1">
        <v>39346</v>
      </c>
      <c r="C95">
        <v>1.9930000000000001</v>
      </c>
      <c r="D95">
        <v>0.76200000000000001</v>
      </c>
      <c r="E95" t="s">
        <v>33</v>
      </c>
      <c r="G95">
        <v>2121.71</v>
      </c>
      <c r="I95" s="14">
        <f t="shared" si="20"/>
        <v>-3.0015007503751967E-3</v>
      </c>
      <c r="J95" s="15">
        <f t="shared" si="21"/>
        <v>2.695417789757415E-2</v>
      </c>
      <c r="K95" s="15"/>
      <c r="L95" s="15"/>
      <c r="M95" s="16">
        <f t="shared" si="22"/>
        <v>3.5531087261031491E-2</v>
      </c>
      <c r="O95" s="13">
        <f t="shared" si="24"/>
        <v>1.1976338573599477E-2</v>
      </c>
      <c r="Q95" s="5">
        <f t="shared" si="25"/>
        <v>128.94658703985465</v>
      </c>
      <c r="R95" s="6">
        <f t="shared" si="26"/>
        <v>131.27037845931116</v>
      </c>
      <c r="T95" s="11">
        <f t="shared" si="18"/>
        <v>0.98229767106082655</v>
      </c>
      <c r="V95" s="9">
        <v>39346</v>
      </c>
      <c r="W95">
        <v>8065.2</v>
      </c>
      <c r="X95">
        <v>7783.3014000000003</v>
      </c>
      <c r="Y95" t="s">
        <v>33</v>
      </c>
      <c r="AC95" s="24">
        <f t="shared" si="27"/>
        <v>1.1482272522858267E-2</v>
      </c>
      <c r="AE95" s="5">
        <f t="shared" si="28"/>
        <v>118.32036490121864</v>
      </c>
      <c r="AF95" s="6">
        <f t="shared" si="29"/>
        <v>131.27037845931116</v>
      </c>
      <c r="AH95" s="1">
        <f t="shared" si="19"/>
        <v>39346</v>
      </c>
      <c r="AI95">
        <f t="shared" si="23"/>
        <v>0.90134854709734435</v>
      </c>
      <c r="AJ95">
        <f t="shared" ca="1" si="13"/>
        <v>0.75998702065138113</v>
      </c>
      <c r="AK95">
        <f t="shared" ca="1" si="14"/>
        <v>0.76873617213507384</v>
      </c>
      <c r="AL95">
        <f t="shared" ca="1" si="15"/>
        <v>0.82350274687978131</v>
      </c>
      <c r="AM95">
        <f t="shared" ca="1" si="16"/>
        <v>0.86561166890270935</v>
      </c>
      <c r="AN95">
        <f t="shared" ca="1" si="17"/>
        <v>0.88399502515172257</v>
      </c>
      <c r="AP95" s="40"/>
      <c r="AQ95" s="41"/>
    </row>
    <row r="96" spans="2:43" x14ac:dyDescent="0.25">
      <c r="B96" s="1">
        <v>39353</v>
      </c>
      <c r="C96">
        <v>2.0710000000000002</v>
      </c>
      <c r="D96">
        <v>0.79100000000000004</v>
      </c>
      <c r="E96" t="s">
        <v>33</v>
      </c>
      <c r="G96">
        <v>2187.9699999999998</v>
      </c>
      <c r="I96" s="14">
        <f t="shared" si="20"/>
        <v>3.9136979427998098E-2</v>
      </c>
      <c r="J96" s="15">
        <f t="shared" si="21"/>
        <v>3.8057742782152237E-2</v>
      </c>
      <c r="K96" s="15"/>
      <c r="L96" s="15"/>
      <c r="M96" s="16">
        <f t="shared" si="22"/>
        <v>3.1229527126704237E-2</v>
      </c>
      <c r="O96" s="13">
        <f t="shared" si="24"/>
        <v>3.8597361105075167E-2</v>
      </c>
      <c r="Q96" s="5">
        <f t="shared" si="25"/>
        <v>133.92358502309892</v>
      </c>
      <c r="R96" s="6">
        <f t="shared" si="26"/>
        <v>135.36989030433895</v>
      </c>
      <c r="T96" s="11">
        <f t="shared" si="18"/>
        <v>0.98931590120972657</v>
      </c>
      <c r="V96" s="9">
        <v>39353</v>
      </c>
      <c r="W96">
        <v>8382</v>
      </c>
      <c r="X96">
        <v>8078.6499000000003</v>
      </c>
      <c r="Y96" t="s">
        <v>33</v>
      </c>
      <c r="AC96" s="24">
        <f t="shared" si="27"/>
        <v>3.8606959340638708E-2</v>
      </c>
      <c r="AE96" s="5">
        <f t="shared" si="28"/>
        <v>122.88835441812951</v>
      </c>
      <c r="AF96" s="6">
        <f t="shared" si="29"/>
        <v>135.36989030433895</v>
      </c>
      <c r="AH96" s="1">
        <f t="shared" si="19"/>
        <v>39353</v>
      </c>
      <c r="AI96">
        <f t="shared" si="23"/>
        <v>0.90779680874270918</v>
      </c>
      <c r="AJ96">
        <f t="shared" ca="1" si="13"/>
        <v>0.75998702065138113</v>
      </c>
      <c r="AK96">
        <f t="shared" ca="1" si="14"/>
        <v>0.76873617213507384</v>
      </c>
      <c r="AL96">
        <f t="shared" ca="1" si="15"/>
        <v>0.82350274687978131</v>
      </c>
      <c r="AM96">
        <f t="shared" ca="1" si="16"/>
        <v>0.867046531615837</v>
      </c>
      <c r="AN96">
        <f t="shared" ca="1" si="17"/>
        <v>0.88472722007414473</v>
      </c>
      <c r="AP96" s="40"/>
      <c r="AQ96" s="41"/>
    </row>
    <row r="97" spans="2:43" x14ac:dyDescent="0.25">
      <c r="B97" s="1">
        <v>39360</v>
      </c>
      <c r="C97">
        <v>2.11</v>
      </c>
      <c r="D97">
        <v>0.85899999999999999</v>
      </c>
      <c r="E97" t="s">
        <v>33</v>
      </c>
      <c r="G97">
        <v>2277.75</v>
      </c>
      <c r="I97" s="14">
        <f t="shared" si="20"/>
        <v>1.8831482375663677E-2</v>
      </c>
      <c r="J97" s="15">
        <f t="shared" si="21"/>
        <v>8.5967130214917864E-2</v>
      </c>
      <c r="K97" s="15"/>
      <c r="L97" s="15"/>
      <c r="M97" s="16">
        <f t="shared" si="22"/>
        <v>4.1033469380293175E-2</v>
      </c>
      <c r="O97" s="13">
        <f t="shared" si="24"/>
        <v>5.2399306295290771E-2</v>
      </c>
      <c r="Q97" s="5">
        <f t="shared" si="25"/>
        <v>140.94108797488769</v>
      </c>
      <c r="R97" s="6">
        <f t="shared" si="26"/>
        <v>140.92458655315568</v>
      </c>
      <c r="T97" s="11">
        <f t="shared" si="18"/>
        <v>1.0001170939871857</v>
      </c>
      <c r="V97" s="9">
        <v>39360</v>
      </c>
      <c r="W97">
        <v>8540.4</v>
      </c>
      <c r="X97">
        <v>8773.5874999999996</v>
      </c>
      <c r="Y97" t="s">
        <v>33</v>
      </c>
      <c r="AC97" s="24">
        <f t="shared" si="27"/>
        <v>5.1780691428644381E-2</v>
      </c>
      <c r="AE97" s="5">
        <f t="shared" si="28"/>
        <v>129.25159837842855</v>
      </c>
      <c r="AF97" s="6">
        <f t="shared" si="29"/>
        <v>140.92458655315568</v>
      </c>
      <c r="AH97" s="1">
        <f t="shared" si="19"/>
        <v>39360</v>
      </c>
      <c r="AI97">
        <f t="shared" si="23"/>
        <v>0.91716854765918243</v>
      </c>
      <c r="AJ97">
        <f t="shared" ca="1" si="13"/>
        <v>0.75998702065138113</v>
      </c>
      <c r="AK97">
        <f t="shared" ca="1" si="14"/>
        <v>0.76873617213507384</v>
      </c>
      <c r="AL97">
        <f t="shared" ca="1" si="15"/>
        <v>0.82350274687978131</v>
      </c>
      <c r="AM97">
        <f t="shared" ca="1" si="16"/>
        <v>0.86983911562055627</v>
      </c>
      <c r="AN97">
        <f t="shared" ca="1" si="17"/>
        <v>0.88475608088830382</v>
      </c>
      <c r="AP97" s="40"/>
      <c r="AQ97" s="41"/>
    </row>
    <row r="98" spans="2:43" x14ac:dyDescent="0.25">
      <c r="B98" s="1">
        <v>39367</v>
      </c>
      <c r="C98">
        <v>2.12</v>
      </c>
      <c r="D98">
        <v>0.85</v>
      </c>
      <c r="E98" t="s">
        <v>33</v>
      </c>
      <c r="G98">
        <v>2262.11</v>
      </c>
      <c r="I98" s="14">
        <f t="shared" si="20"/>
        <v>4.7393364928911552E-3</v>
      </c>
      <c r="J98" s="15">
        <f t="shared" si="21"/>
        <v>-1.0477299185098987E-2</v>
      </c>
      <c r="K98" s="15"/>
      <c r="L98" s="15"/>
      <c r="M98" s="16">
        <f t="shared" si="22"/>
        <v>-6.8664252003072246E-3</v>
      </c>
      <c r="O98" s="13">
        <f t="shared" si="24"/>
        <v>-2.868981346103916E-3</v>
      </c>
      <c r="Q98" s="5">
        <f t="shared" si="25"/>
        <v>140.53673062258815</v>
      </c>
      <c r="R98" s="6">
        <f t="shared" si="26"/>
        <v>139.9569384207042</v>
      </c>
      <c r="T98" s="11">
        <f t="shared" si="18"/>
        <v>1.004142647077211</v>
      </c>
      <c r="V98" s="9">
        <v>39367</v>
      </c>
      <c r="W98">
        <v>8580</v>
      </c>
      <c r="X98">
        <v>8686.7203000000009</v>
      </c>
      <c r="Y98" t="s">
        <v>33</v>
      </c>
      <c r="AC98" s="24">
        <f t="shared" si="27"/>
        <v>-2.9714513644102511E-3</v>
      </c>
      <c r="AE98" s="5">
        <f t="shared" si="28"/>
        <v>128.86753354007476</v>
      </c>
      <c r="AF98" s="6">
        <f t="shared" si="29"/>
        <v>139.9569384207042</v>
      </c>
      <c r="AH98" s="1">
        <f t="shared" si="19"/>
        <v>39367</v>
      </c>
      <c r="AI98">
        <f t="shared" si="23"/>
        <v>0.92076559400509894</v>
      </c>
      <c r="AJ98">
        <f t="shared" ca="1" si="13"/>
        <v>0.75998702065138113</v>
      </c>
      <c r="AK98">
        <f t="shared" ca="1" si="14"/>
        <v>0.76873617213507384</v>
      </c>
      <c r="AL98">
        <f t="shared" ca="1" si="15"/>
        <v>0.82350274687978131</v>
      </c>
      <c r="AM98">
        <f t="shared" ca="1" si="16"/>
        <v>0.87174265482582181</v>
      </c>
      <c r="AN98">
        <f t="shared" ca="1" si="17"/>
        <v>0.88957056819671576</v>
      </c>
      <c r="AP98" s="40"/>
      <c r="AQ98" s="41"/>
    </row>
    <row r="99" spans="2:43" x14ac:dyDescent="0.25">
      <c r="B99" s="1">
        <v>39374</v>
      </c>
      <c r="C99">
        <v>2.133</v>
      </c>
      <c r="D99">
        <v>0.86699999999999999</v>
      </c>
      <c r="E99" t="s">
        <v>33</v>
      </c>
      <c r="G99">
        <v>2236.87</v>
      </c>
      <c r="I99" s="14">
        <f t="shared" si="20"/>
        <v>6.1320754716980286E-3</v>
      </c>
      <c r="J99" s="15">
        <f t="shared" si="21"/>
        <v>2.0000000000000018E-2</v>
      </c>
      <c r="K99" s="15"/>
      <c r="L99" s="15"/>
      <c r="M99" s="16">
        <f t="shared" si="22"/>
        <v>-1.1157724425425952E-2</v>
      </c>
      <c r="O99" s="13">
        <f t="shared" si="24"/>
        <v>1.3066037735849023E-2</v>
      </c>
      <c r="Q99" s="5">
        <f t="shared" si="25"/>
        <v>142.37298884817571</v>
      </c>
      <c r="R99" s="6">
        <f t="shared" si="26"/>
        <v>138.39533747037967</v>
      </c>
      <c r="T99" s="11">
        <f t="shared" si="18"/>
        <v>1.0287412238771942</v>
      </c>
      <c r="V99" s="9">
        <v>39374</v>
      </c>
      <c r="W99">
        <v>8632.7999999999993</v>
      </c>
      <c r="X99">
        <v>8860.4547000000002</v>
      </c>
      <c r="Y99" t="s">
        <v>33</v>
      </c>
      <c r="AC99" s="24">
        <f t="shared" si="27"/>
        <v>1.3108894428965137E-2</v>
      </c>
      <c r="AE99" s="5">
        <f t="shared" si="28"/>
        <v>130.55684443257275</v>
      </c>
      <c r="AF99" s="6">
        <f t="shared" si="29"/>
        <v>138.39533747037967</v>
      </c>
      <c r="AH99" s="1">
        <f t="shared" si="19"/>
        <v>39374</v>
      </c>
      <c r="AI99">
        <f t="shared" si="23"/>
        <v>0.94336158153099214</v>
      </c>
      <c r="AJ99">
        <f t="shared" ca="1" si="13"/>
        <v>0.75998702065138113</v>
      </c>
      <c r="AK99">
        <f t="shared" ca="1" si="14"/>
        <v>0.76873617213507384</v>
      </c>
      <c r="AL99">
        <f t="shared" ca="1" si="15"/>
        <v>0.82350274687978131</v>
      </c>
      <c r="AM99">
        <f t="shared" ca="1" si="16"/>
        <v>0.87517914913616524</v>
      </c>
      <c r="AN99">
        <f t="shared" ca="1" si="17"/>
        <v>0.90022420826983762</v>
      </c>
      <c r="AP99" s="40"/>
      <c r="AQ99" s="41"/>
    </row>
    <row r="100" spans="2:43" x14ac:dyDescent="0.25">
      <c r="B100" s="1">
        <v>39381</v>
      </c>
      <c r="C100">
        <v>2.1619999999999999</v>
      </c>
      <c r="D100">
        <v>0.92</v>
      </c>
      <c r="E100" t="s">
        <v>33</v>
      </c>
      <c r="G100">
        <v>2327.15</v>
      </c>
      <c r="I100" s="14">
        <f t="shared" si="20"/>
        <v>1.359587435536791E-2</v>
      </c>
      <c r="J100" s="15">
        <f t="shared" si="21"/>
        <v>6.1130334486735993E-2</v>
      </c>
      <c r="K100" s="15"/>
      <c r="L100" s="15"/>
      <c r="M100" s="16">
        <f t="shared" si="22"/>
        <v>4.0359967275702235E-2</v>
      </c>
      <c r="O100" s="13">
        <f t="shared" si="24"/>
        <v>3.7363104421051951E-2</v>
      </c>
      <c r="Q100" s="5">
        <f t="shared" si="25"/>
        <v>147.69248569724735</v>
      </c>
      <c r="R100" s="6">
        <f t="shared" si="26"/>
        <v>143.98096876179397</v>
      </c>
      <c r="T100" s="11">
        <f t="shared" si="18"/>
        <v>1.0257778299963645</v>
      </c>
      <c r="V100" s="9">
        <v>39381</v>
      </c>
      <c r="W100">
        <v>8751.6</v>
      </c>
      <c r="X100">
        <v>9399.0313000000006</v>
      </c>
      <c r="Y100" t="s">
        <v>33</v>
      </c>
      <c r="AC100" s="24">
        <f t="shared" si="27"/>
        <v>3.7672407733855974E-2</v>
      </c>
      <c r="AE100" s="5">
        <f t="shared" si="28"/>
        <v>135.47523510848222</v>
      </c>
      <c r="AF100" s="6">
        <f t="shared" si="29"/>
        <v>143.98096876179397</v>
      </c>
      <c r="AH100" s="1">
        <f t="shared" si="19"/>
        <v>39381</v>
      </c>
      <c r="AI100">
        <f t="shared" si="23"/>
        <v>0.94092459769885373</v>
      </c>
      <c r="AJ100">
        <f t="shared" ca="1" si="13"/>
        <v>0.75998702065138113</v>
      </c>
      <c r="AK100">
        <f t="shared" ca="1" si="14"/>
        <v>0.76873617213507384</v>
      </c>
      <c r="AL100">
        <f t="shared" ca="1" si="15"/>
        <v>0.82350274687978131</v>
      </c>
      <c r="AM100">
        <f t="shared" ca="1" si="16"/>
        <v>0.87570799053579329</v>
      </c>
      <c r="AN100">
        <f t="shared" ca="1" si="17"/>
        <v>0.90715198257817264</v>
      </c>
      <c r="AP100" s="40"/>
      <c r="AQ100" s="41"/>
    </row>
    <row r="101" spans="2:43" x14ac:dyDescent="0.25">
      <c r="B101" s="1">
        <v>39388</v>
      </c>
      <c r="C101">
        <v>2.0379999999999998</v>
      </c>
      <c r="D101">
        <v>0.94599999999999995</v>
      </c>
      <c r="E101" t="s">
        <v>33</v>
      </c>
      <c r="G101">
        <v>2336.6999999999998</v>
      </c>
      <c r="I101" s="14">
        <f t="shared" si="20"/>
        <v>-5.7354301572618005E-2</v>
      </c>
      <c r="J101" s="15">
        <f t="shared" si="21"/>
        <v>2.8260869565217339E-2</v>
      </c>
      <c r="K101" s="15"/>
      <c r="L101" s="15"/>
      <c r="M101" s="16">
        <f t="shared" si="22"/>
        <v>4.1037320327437232E-3</v>
      </c>
      <c r="O101" s="13">
        <f t="shared" si="24"/>
        <v>-1.4546716003700333E-2</v>
      </c>
      <c r="Q101" s="5">
        <f t="shared" si="25"/>
        <v>145.54404505192892</v>
      </c>
      <c r="R101" s="6">
        <f t="shared" si="26"/>
        <v>144.57182807540721</v>
      </c>
      <c r="T101" s="11">
        <f t="shared" si="18"/>
        <v>1.0067248024007458</v>
      </c>
      <c r="V101" s="9">
        <v>39388</v>
      </c>
      <c r="W101">
        <v>8250</v>
      </c>
      <c r="X101">
        <v>9659.6329000000005</v>
      </c>
      <c r="Y101" t="s">
        <v>33</v>
      </c>
      <c r="AC101" s="24">
        <f t="shared" si="27"/>
        <v>-1.3019773479406667E-2</v>
      </c>
      <c r="AE101" s="5">
        <f t="shared" si="28"/>
        <v>133.71137823530043</v>
      </c>
      <c r="AF101" s="6">
        <f t="shared" si="29"/>
        <v>144.57182807540721</v>
      </c>
      <c r="AH101" s="1">
        <f t="shared" si="19"/>
        <v>39388</v>
      </c>
      <c r="AI101">
        <f t="shared" si="23"/>
        <v>0.92487851897091555</v>
      </c>
      <c r="AJ101">
        <f t="shared" ca="1" si="13"/>
        <v>0.75998702065138113</v>
      </c>
      <c r="AK101">
        <f t="shared" ca="1" si="14"/>
        <v>0.76873617213507384</v>
      </c>
      <c r="AL101">
        <f t="shared" ca="1" si="15"/>
        <v>0.82350274687978131</v>
      </c>
      <c r="AM101">
        <f t="shared" ca="1" si="16"/>
        <v>0.87626339212978777</v>
      </c>
      <c r="AN101">
        <f t="shared" ca="1" si="17"/>
        <v>0.91595257425394638</v>
      </c>
      <c r="AP101" s="40"/>
      <c r="AQ101" s="41"/>
    </row>
    <row r="102" spans="2:43" x14ac:dyDescent="0.25">
      <c r="B102" s="1">
        <v>39395</v>
      </c>
      <c r="C102">
        <v>2.048</v>
      </c>
      <c r="D102">
        <v>0.92500000000000004</v>
      </c>
      <c r="E102" t="s">
        <v>33</v>
      </c>
      <c r="G102">
        <v>2314.23</v>
      </c>
      <c r="I102" s="14">
        <f t="shared" si="20"/>
        <v>4.9067713444554961E-3</v>
      </c>
      <c r="J102" s="15">
        <f t="shared" si="21"/>
        <v>-2.2198731501057001E-2</v>
      </c>
      <c r="K102" s="15"/>
      <c r="L102" s="15"/>
      <c r="M102" s="16">
        <f t="shared" si="22"/>
        <v>-9.616125304917067E-3</v>
      </c>
      <c r="O102" s="13">
        <f t="shared" si="24"/>
        <v>-8.6459800783007523E-3</v>
      </c>
      <c r="Q102" s="5">
        <f t="shared" si="25"/>
        <v>144.28567413789463</v>
      </c>
      <c r="R102" s="6">
        <f t="shared" si="26"/>
        <v>143.18160726107317</v>
      </c>
      <c r="T102" s="11">
        <f t="shared" si="18"/>
        <v>1.0077109546256757</v>
      </c>
      <c r="V102" s="9">
        <v>39395</v>
      </c>
      <c r="W102">
        <v>8289.6</v>
      </c>
      <c r="X102">
        <v>9451.1517000000003</v>
      </c>
      <c r="Y102" t="s">
        <v>33</v>
      </c>
      <c r="AC102" s="24">
        <f t="shared" si="27"/>
        <v>-9.7126911827499687E-3</v>
      </c>
      <c r="AE102" s="5">
        <f t="shared" si="28"/>
        <v>132.41268091088108</v>
      </c>
      <c r="AF102" s="6">
        <f t="shared" si="29"/>
        <v>143.18160726107317</v>
      </c>
      <c r="AH102" s="1">
        <f t="shared" si="19"/>
        <v>39395</v>
      </c>
      <c r="AI102">
        <f t="shared" si="23"/>
        <v>0.92478834009345667</v>
      </c>
      <c r="AJ102">
        <f t="shared" ca="1" si="13"/>
        <v>0.75998702065138113</v>
      </c>
      <c r="AK102">
        <f t="shared" ca="1" si="14"/>
        <v>0.76873617213507384</v>
      </c>
      <c r="AL102">
        <f t="shared" ca="1" si="15"/>
        <v>0.82350274687978131</v>
      </c>
      <c r="AM102">
        <f t="shared" ca="1" si="16"/>
        <v>0.87925422712925771</v>
      </c>
      <c r="AN102">
        <f t="shared" ca="1" si="17"/>
        <v>0.91713756993545037</v>
      </c>
      <c r="AP102" s="40"/>
      <c r="AQ102" s="41"/>
    </row>
    <row r="103" spans="2:43" x14ac:dyDescent="0.25">
      <c r="B103" s="1">
        <v>39402</v>
      </c>
      <c r="C103">
        <v>2.0379999999999998</v>
      </c>
      <c r="D103">
        <v>0.89600000000000002</v>
      </c>
      <c r="E103" t="s">
        <v>33</v>
      </c>
      <c r="G103">
        <v>2281.16</v>
      </c>
      <c r="I103" s="14">
        <f t="shared" si="20"/>
        <v>-4.882812500000111E-3</v>
      </c>
      <c r="J103" s="15">
        <f t="shared" si="21"/>
        <v>-3.1351351351351364E-2</v>
      </c>
      <c r="K103" s="15"/>
      <c r="L103" s="15"/>
      <c r="M103" s="16">
        <f t="shared" si="22"/>
        <v>-1.4289850187751529E-2</v>
      </c>
      <c r="O103" s="13">
        <f t="shared" si="24"/>
        <v>-1.8117081925675738E-2</v>
      </c>
      <c r="Q103" s="5">
        <f t="shared" si="25"/>
        <v>141.67163875883705</v>
      </c>
      <c r="R103" s="6">
        <f t="shared" si="26"/>
        <v>141.13556354367097</v>
      </c>
      <c r="T103" s="11">
        <f t="shared" si="18"/>
        <v>1.0037983000294621</v>
      </c>
      <c r="V103" s="9">
        <v>39402</v>
      </c>
      <c r="W103">
        <v>8250</v>
      </c>
      <c r="X103">
        <v>9155.8032000000003</v>
      </c>
      <c r="Y103" t="s">
        <v>33</v>
      </c>
      <c r="AC103" s="24">
        <f t="shared" si="27"/>
        <v>-1.8983577799672528E-2</v>
      </c>
      <c r="AE103" s="5">
        <f t="shared" si="28"/>
        <v>129.89901448114617</v>
      </c>
      <c r="AF103" s="6">
        <f t="shared" si="29"/>
        <v>141.13556354367097</v>
      </c>
      <c r="AH103" s="1">
        <f t="shared" si="19"/>
        <v>39402</v>
      </c>
      <c r="AI103">
        <f t="shared" si="23"/>
        <v>0.92038470828758956</v>
      </c>
      <c r="AJ103">
        <f t="shared" ca="1" si="13"/>
        <v>0.75998702065138113</v>
      </c>
      <c r="AK103">
        <f t="shared" ca="1" si="14"/>
        <v>0.76873617213507384</v>
      </c>
      <c r="AL103">
        <f t="shared" ca="1" si="15"/>
        <v>0.82350274687978131</v>
      </c>
      <c r="AM103">
        <f t="shared" ca="1" si="16"/>
        <v>0.88472516796600265</v>
      </c>
      <c r="AN103">
        <f t="shared" ca="1" si="17"/>
        <v>0.92040588937050727</v>
      </c>
      <c r="AP103" s="40"/>
      <c r="AQ103" s="41"/>
    </row>
    <row r="104" spans="2:43" x14ac:dyDescent="0.25">
      <c r="B104" s="1">
        <v>39409</v>
      </c>
      <c r="C104">
        <v>1.9670000000000001</v>
      </c>
      <c r="D104">
        <v>0.85699999999999998</v>
      </c>
      <c r="E104" t="s">
        <v>33</v>
      </c>
      <c r="G104">
        <v>2212.04</v>
      </c>
      <c r="I104" s="14">
        <f t="shared" si="20"/>
        <v>-3.4838076545632868E-2</v>
      </c>
      <c r="J104" s="15">
        <f t="shared" si="21"/>
        <v>-4.3526785714285698E-2</v>
      </c>
      <c r="K104" s="15"/>
      <c r="L104" s="15"/>
      <c r="M104" s="16">
        <f t="shared" si="22"/>
        <v>-3.0300373494187127E-2</v>
      </c>
      <c r="O104" s="13">
        <f t="shared" si="24"/>
        <v>-3.9182431129959283E-2</v>
      </c>
      <c r="Q104" s="5">
        <f t="shared" si="25"/>
        <v>136.12059953010044</v>
      </c>
      <c r="R104" s="6">
        <f t="shared" si="26"/>
        <v>136.85910325498517</v>
      </c>
      <c r="T104" s="11">
        <f t="shared" si="18"/>
        <v>0.99460391229139644</v>
      </c>
      <c r="V104" s="9">
        <v>39409</v>
      </c>
      <c r="W104">
        <v>7959.6</v>
      </c>
      <c r="X104">
        <v>8756.2139999999999</v>
      </c>
      <c r="Y104" t="s">
        <v>33</v>
      </c>
      <c r="AC104" s="24">
        <f t="shared" si="27"/>
        <v>-3.9408512640775023E-2</v>
      </c>
      <c r="AE104" s="5">
        <f t="shared" si="28"/>
        <v>124.77988752694169</v>
      </c>
      <c r="AF104" s="6">
        <f t="shared" si="29"/>
        <v>136.85910325498517</v>
      </c>
      <c r="AH104" s="1">
        <f t="shared" si="19"/>
        <v>39409</v>
      </c>
      <c r="AI104">
        <f t="shared" si="23"/>
        <v>0.91173977148207352</v>
      </c>
      <c r="AJ104">
        <f t="shared" ca="1" si="13"/>
        <v>0.75998702065138113</v>
      </c>
      <c r="AK104">
        <f t="shared" ca="1" si="14"/>
        <v>0.76873617213507384</v>
      </c>
      <c r="AL104">
        <f t="shared" ca="1" si="15"/>
        <v>0.82350274687978131</v>
      </c>
      <c r="AM104">
        <f t="shared" ca="1" si="16"/>
        <v>0.88473546497898248</v>
      </c>
      <c r="AN104">
        <f t="shared" ca="1" si="17"/>
        <v>0.92072750543334803</v>
      </c>
      <c r="AP104" s="40"/>
      <c r="AQ104" s="41"/>
    </row>
    <row r="105" spans="2:43" x14ac:dyDescent="0.25">
      <c r="B105" s="1">
        <v>39416</v>
      </c>
      <c r="C105">
        <v>1.996</v>
      </c>
      <c r="D105">
        <v>0.88400000000000001</v>
      </c>
      <c r="E105" t="s">
        <v>33</v>
      </c>
      <c r="G105">
        <v>2207.16</v>
      </c>
      <c r="I105" s="14">
        <f t="shared" si="20"/>
        <v>1.4743263853584043E-2</v>
      </c>
      <c r="J105" s="15">
        <f t="shared" si="21"/>
        <v>3.1505250875145885E-2</v>
      </c>
      <c r="K105" s="15"/>
      <c r="L105" s="15"/>
      <c r="M105" s="16">
        <f t="shared" si="22"/>
        <v>-2.2061083886367738E-3</v>
      </c>
      <c r="O105" s="13">
        <f t="shared" si="24"/>
        <v>2.3124257364364964E-2</v>
      </c>
      <c r="Q105" s="5">
        <f t="shared" si="25"/>
        <v>139.26828730622614</v>
      </c>
      <c r="R105" s="6">
        <f t="shared" si="26"/>
        <v>136.55717723923306</v>
      </c>
      <c r="T105" s="11">
        <f t="shared" si="18"/>
        <v>1.0198532960464137</v>
      </c>
      <c r="V105" s="9">
        <v>39416</v>
      </c>
      <c r="W105">
        <v>8078.4</v>
      </c>
      <c r="X105">
        <v>9034.1890999999996</v>
      </c>
      <c r="Y105" t="s">
        <v>33</v>
      </c>
      <c r="AC105" s="24">
        <f t="shared" si="27"/>
        <v>2.3523664582260382E-2</v>
      </c>
      <c r="AE105" s="5">
        <f t="shared" si="28"/>
        <v>127.71516774773764</v>
      </c>
      <c r="AF105" s="6">
        <f t="shared" si="29"/>
        <v>136.55717723923306</v>
      </c>
      <c r="AH105" s="1">
        <f t="shared" si="19"/>
        <v>39416</v>
      </c>
      <c r="AI105">
        <f t="shared" si="23"/>
        <v>0.93525049601746524</v>
      </c>
      <c r="AJ105">
        <f t="shared" ca="1" si="13"/>
        <v>0.75998702065138113</v>
      </c>
      <c r="AK105">
        <f t="shared" ca="1" si="14"/>
        <v>0.76873617213507384</v>
      </c>
      <c r="AL105">
        <f t="shared" ca="1" si="15"/>
        <v>0.83195264400393931</v>
      </c>
      <c r="AM105">
        <f t="shared" ca="1" si="16"/>
        <v>0.88609572913056511</v>
      </c>
      <c r="AN105">
        <f t="shared" ca="1" si="17"/>
        <v>0.92072750543334803</v>
      </c>
      <c r="AP105" s="40"/>
      <c r="AQ105" s="41"/>
    </row>
    <row r="106" spans="2:43" x14ac:dyDescent="0.25">
      <c r="B106" s="1">
        <v>39423</v>
      </c>
      <c r="C106">
        <v>1.986</v>
      </c>
      <c r="D106">
        <v>0.91200000000000003</v>
      </c>
      <c r="E106" t="s">
        <v>33</v>
      </c>
      <c r="G106">
        <v>2238.86</v>
      </c>
      <c r="I106" s="14">
        <f t="shared" si="20"/>
        <v>-5.0100200400801098E-3</v>
      </c>
      <c r="J106" s="15">
        <f t="shared" si="21"/>
        <v>3.167420814479649E-2</v>
      </c>
      <c r="K106" s="15"/>
      <c r="L106" s="15"/>
      <c r="M106" s="16">
        <f t="shared" si="22"/>
        <v>1.4362347994708147E-2</v>
      </c>
      <c r="O106" s="13">
        <f t="shared" si="24"/>
        <v>1.333209405235819E-2</v>
      </c>
      <c r="Q106" s="5">
        <f t="shared" si="25"/>
        <v>141.1250252111036</v>
      </c>
      <c r="R106" s="6">
        <f t="shared" si="26"/>
        <v>138.51845893991796</v>
      </c>
      <c r="T106" s="11">
        <f t="shared" si="18"/>
        <v>1.0188174651316055</v>
      </c>
      <c r="V106" s="9">
        <v>39423</v>
      </c>
      <c r="W106">
        <v>8038.8</v>
      </c>
      <c r="X106">
        <v>9312.1641</v>
      </c>
      <c r="Y106" t="s">
        <v>33</v>
      </c>
      <c r="AC106" s="24">
        <f t="shared" si="27"/>
        <v>1.4356555787403823E-2</v>
      </c>
      <c r="AE106" s="5">
        <f t="shared" si="28"/>
        <v>129.54871767840569</v>
      </c>
      <c r="AF106" s="6">
        <f t="shared" si="29"/>
        <v>138.51845893991796</v>
      </c>
      <c r="AH106" s="1">
        <f t="shared" si="19"/>
        <v>39423</v>
      </c>
      <c r="AI106">
        <f t="shared" si="23"/>
        <v>0.93524515555430143</v>
      </c>
      <c r="AJ106">
        <f t="shared" ca="1" si="13"/>
        <v>0.75998702065138113</v>
      </c>
      <c r="AK106">
        <f t="shared" ca="1" si="14"/>
        <v>0.76873617213507384</v>
      </c>
      <c r="AL106">
        <f t="shared" ca="1" si="15"/>
        <v>0.84059528565520258</v>
      </c>
      <c r="AM106">
        <f t="shared" ca="1" si="16"/>
        <v>0.89291600589104414</v>
      </c>
      <c r="AN106">
        <f t="shared" ca="1" si="17"/>
        <v>0.92257751794320531</v>
      </c>
      <c r="AP106" s="40"/>
      <c r="AQ106" s="41"/>
    </row>
    <row r="107" spans="2:43" x14ac:dyDescent="0.25">
      <c r="B107" s="1">
        <v>39430</v>
      </c>
      <c r="C107">
        <v>1.9890000000000001</v>
      </c>
      <c r="D107">
        <v>0.88400000000000001</v>
      </c>
      <c r="E107" t="s">
        <v>33</v>
      </c>
      <c r="G107">
        <v>2184.4899999999998</v>
      </c>
      <c r="I107" s="14">
        <f t="shared" si="20"/>
        <v>1.5105740181269312E-3</v>
      </c>
      <c r="J107" s="15">
        <f t="shared" si="21"/>
        <v>-3.0701754385964897E-2</v>
      </c>
      <c r="K107" s="15"/>
      <c r="L107" s="15"/>
      <c r="M107" s="16">
        <f t="shared" si="22"/>
        <v>-2.4284680596375119E-2</v>
      </c>
      <c r="O107" s="13">
        <f t="shared" si="24"/>
        <v>-1.4595590183918983E-2</v>
      </c>
      <c r="Q107" s="5">
        <f t="shared" si="25"/>
        <v>139.06522217842709</v>
      </c>
      <c r="R107" s="6">
        <f t="shared" si="26"/>
        <v>135.15458240785995</v>
      </c>
      <c r="T107" s="11">
        <f t="shared" si="18"/>
        <v>1.0289345703334416</v>
      </c>
      <c r="V107" s="9">
        <v>39430</v>
      </c>
      <c r="W107">
        <v>8052</v>
      </c>
      <c r="X107">
        <v>9034.1890999999996</v>
      </c>
      <c r="Y107" t="s">
        <v>33</v>
      </c>
      <c r="AC107" s="24">
        <f t="shared" si="27"/>
        <v>-1.5777600080624978E-2</v>
      </c>
      <c r="AE107" s="5">
        <f t="shared" si="28"/>
        <v>127.50474981991802</v>
      </c>
      <c r="AF107" s="6">
        <f t="shared" si="29"/>
        <v>135.15458240785995</v>
      </c>
      <c r="AH107" s="1">
        <f t="shared" si="19"/>
        <v>39430</v>
      </c>
      <c r="AI107">
        <f t="shared" si="23"/>
        <v>0.94339938423355252</v>
      </c>
      <c r="AJ107">
        <f t="shared" ca="1" si="13"/>
        <v>0.75998702065138113</v>
      </c>
      <c r="AK107">
        <f t="shared" ca="1" si="14"/>
        <v>0.76873617213507384</v>
      </c>
      <c r="AL107">
        <f t="shared" ca="1" si="15"/>
        <v>0.84602577628011943</v>
      </c>
      <c r="AM107">
        <f t="shared" ca="1" si="16"/>
        <v>0.90296061250868553</v>
      </c>
      <c r="AN107">
        <f t="shared" ca="1" si="17"/>
        <v>0.92458739036663273</v>
      </c>
      <c r="AP107" s="40"/>
      <c r="AQ107" s="41"/>
    </row>
    <row r="108" spans="2:43" x14ac:dyDescent="0.25">
      <c r="B108" s="1">
        <v>39437</v>
      </c>
      <c r="C108">
        <v>1.891</v>
      </c>
      <c r="D108">
        <v>0.85</v>
      </c>
      <c r="E108" t="s">
        <v>33</v>
      </c>
      <c r="G108">
        <v>2145.25</v>
      </c>
      <c r="I108" s="14">
        <f t="shared" si="20"/>
        <v>-4.9270990447461083E-2</v>
      </c>
      <c r="J108" s="15">
        <f t="shared" si="21"/>
        <v>-3.8461538461538547E-2</v>
      </c>
      <c r="K108" s="15"/>
      <c r="L108" s="15"/>
      <c r="M108" s="16">
        <f t="shared" si="22"/>
        <v>-1.7963002806146822E-2</v>
      </c>
      <c r="O108" s="13">
        <f t="shared" si="24"/>
        <v>-4.3866264454499815E-2</v>
      </c>
      <c r="Q108" s="5">
        <f t="shared" si="25"/>
        <v>132.96495036592444</v>
      </c>
      <c r="R108" s="6">
        <f t="shared" si="26"/>
        <v>132.72680026480396</v>
      </c>
      <c r="T108" s="11">
        <f t="shared" si="18"/>
        <v>1.0017942879708193</v>
      </c>
      <c r="V108" s="9">
        <v>39437</v>
      </c>
      <c r="W108">
        <v>7656</v>
      </c>
      <c r="X108">
        <v>8686.7203000000009</v>
      </c>
      <c r="Y108" t="s">
        <v>33</v>
      </c>
      <c r="AC108" s="24">
        <f t="shared" si="27"/>
        <v>-4.3555577095972728E-2</v>
      </c>
      <c r="AE108" s="5">
        <f t="shared" si="28"/>
        <v>121.95120685903387</v>
      </c>
      <c r="AF108" s="6">
        <f t="shared" si="29"/>
        <v>132.72680026480396</v>
      </c>
      <c r="AH108" s="1">
        <f t="shared" si="19"/>
        <v>39437</v>
      </c>
      <c r="AI108">
        <f t="shared" si="23"/>
        <v>0.91881373329070215</v>
      </c>
      <c r="AJ108">
        <f t="shared" ca="1" si="13"/>
        <v>0.75998702065138113</v>
      </c>
      <c r="AK108">
        <f t="shared" ca="1" si="14"/>
        <v>0.76873617213507384</v>
      </c>
      <c r="AL108">
        <f t="shared" ca="1" si="15"/>
        <v>0.85218553051468149</v>
      </c>
      <c r="AM108">
        <f t="shared" ca="1" si="16"/>
        <v>0.90878254942755032</v>
      </c>
      <c r="AN108">
        <f t="shared" ca="1" si="17"/>
        <v>0.92486950108316968</v>
      </c>
      <c r="AP108" s="40"/>
      <c r="AQ108" s="41"/>
    </row>
    <row r="109" spans="2:43" x14ac:dyDescent="0.25">
      <c r="B109" s="1">
        <v>39444</v>
      </c>
      <c r="C109">
        <v>1.929</v>
      </c>
      <c r="D109">
        <v>0.83299999999999996</v>
      </c>
      <c r="E109" t="s">
        <v>33</v>
      </c>
      <c r="G109">
        <v>2151.73</v>
      </c>
      <c r="I109" s="14">
        <f t="shared" si="20"/>
        <v>2.0095187731359099E-2</v>
      </c>
      <c r="J109" s="15">
        <f t="shared" si="21"/>
        <v>-2.0000000000000018E-2</v>
      </c>
      <c r="K109" s="15"/>
      <c r="L109" s="15"/>
      <c r="M109" s="16">
        <f t="shared" si="22"/>
        <v>3.0206269665540297E-3</v>
      </c>
      <c r="O109" s="13">
        <f t="shared" si="24"/>
        <v>4.7593865679540492E-5</v>
      </c>
      <c r="Q109" s="5">
        <f t="shared" si="25"/>
        <v>132.97127868191225</v>
      </c>
      <c r="R109" s="6">
        <f t="shared" si="26"/>
        <v>133.12771841686825</v>
      </c>
      <c r="T109" s="11">
        <f t="shared" si="18"/>
        <v>0.9988248898364942</v>
      </c>
      <c r="V109" s="9">
        <v>39444</v>
      </c>
      <c r="W109">
        <v>7788</v>
      </c>
      <c r="X109">
        <v>8512.9858999999997</v>
      </c>
      <c r="Y109" t="s">
        <v>33</v>
      </c>
      <c r="AC109" s="24">
        <f t="shared" si="27"/>
        <v>-1.2167893939122806E-3</v>
      </c>
      <c r="AE109" s="5">
        <f t="shared" si="28"/>
        <v>121.802817923953</v>
      </c>
      <c r="AF109" s="6">
        <f t="shared" si="29"/>
        <v>133.12771841686825</v>
      </c>
      <c r="AH109" s="1">
        <f t="shared" si="19"/>
        <v>39444</v>
      </c>
      <c r="AI109">
        <f t="shared" si="23"/>
        <v>0.91493206202593258</v>
      </c>
      <c r="AJ109">
        <f t="shared" ca="1" si="13"/>
        <v>0.75998702065138113</v>
      </c>
      <c r="AK109">
        <f t="shared" ca="1" si="14"/>
        <v>0.76873617213507384</v>
      </c>
      <c r="AL109">
        <f t="shared" ca="1" si="15"/>
        <v>0.85706891768016147</v>
      </c>
      <c r="AM109">
        <f t="shared" ca="1" si="16"/>
        <v>0.91301952121702057</v>
      </c>
      <c r="AN109">
        <f t="shared" ca="1" si="17"/>
        <v>0.92486950108316968</v>
      </c>
      <c r="AP109" s="40"/>
      <c r="AQ109" s="41"/>
    </row>
    <row r="110" spans="2:43" x14ac:dyDescent="0.25">
      <c r="B110" s="1">
        <v>39451</v>
      </c>
      <c r="C110">
        <v>1.9059999999999999</v>
      </c>
      <c r="D110">
        <v>0.85699999999999998</v>
      </c>
      <c r="E110" t="s">
        <v>33</v>
      </c>
      <c r="G110">
        <v>2128.94</v>
      </c>
      <c r="I110" s="14">
        <f t="shared" si="20"/>
        <v>-1.19232763089685E-2</v>
      </c>
      <c r="J110" s="15">
        <f t="shared" si="21"/>
        <v>2.881152460984393E-2</v>
      </c>
      <c r="K110" s="15"/>
      <c r="L110" s="15"/>
      <c r="M110" s="16">
        <f t="shared" si="22"/>
        <v>-1.0591477555269457E-2</v>
      </c>
      <c r="O110" s="13">
        <f t="shared" si="24"/>
        <v>8.4441241504377151E-3</v>
      </c>
      <c r="Q110" s="5">
        <f t="shared" si="25"/>
        <v>134.0941046675448</v>
      </c>
      <c r="R110" s="6">
        <f t="shared" si="26"/>
        <v>131.71769917527175</v>
      </c>
      <c r="T110" s="11">
        <f t="shared" si="18"/>
        <v>1.0180416565666763</v>
      </c>
      <c r="V110" s="9">
        <v>39451</v>
      </c>
      <c r="W110">
        <v>7695.6</v>
      </c>
      <c r="X110">
        <v>8756.2139999999999</v>
      </c>
      <c r="Y110" t="s">
        <v>33</v>
      </c>
      <c r="AC110" s="24">
        <f t="shared" si="27"/>
        <v>9.3499637262343567E-3</v>
      </c>
      <c r="AE110" s="5">
        <f t="shared" si="28"/>
        <v>122.9416698532951</v>
      </c>
      <c r="AF110" s="6">
        <f t="shared" si="29"/>
        <v>131.71769917527175</v>
      </c>
      <c r="AH110" s="1">
        <f t="shared" si="19"/>
        <v>39451</v>
      </c>
      <c r="AI110">
        <f t="shared" si="23"/>
        <v>0.93337243683327076</v>
      </c>
      <c r="AJ110">
        <f t="shared" ca="1" si="13"/>
        <v>0.75998702065138113</v>
      </c>
      <c r="AK110">
        <f t="shared" ca="1" si="14"/>
        <v>0.76873617213507384</v>
      </c>
      <c r="AL110">
        <f t="shared" ca="1" si="15"/>
        <v>0.86480674481442232</v>
      </c>
      <c r="AM110">
        <f t="shared" ca="1" si="16"/>
        <v>0.91541373912491486</v>
      </c>
      <c r="AN110">
        <f t="shared" ca="1" si="17"/>
        <v>0.92486950108316968</v>
      </c>
      <c r="AP110" s="40"/>
      <c r="AQ110" s="41"/>
    </row>
    <row r="111" spans="2:43" x14ac:dyDescent="0.25">
      <c r="B111" s="1">
        <v>39458</v>
      </c>
      <c r="C111">
        <v>1.9390000000000001</v>
      </c>
      <c r="D111">
        <v>0.878</v>
      </c>
      <c r="E111" t="s">
        <v>33</v>
      </c>
      <c r="G111">
        <v>2082.9299999999998</v>
      </c>
      <c r="I111" s="14">
        <f t="shared" si="20"/>
        <v>1.7313746065057867E-2</v>
      </c>
      <c r="J111" s="15">
        <f t="shared" si="21"/>
        <v>2.4504084014002281E-2</v>
      </c>
      <c r="K111" s="15"/>
      <c r="L111" s="15"/>
      <c r="M111" s="16">
        <f t="shared" si="22"/>
        <v>-2.1611694082501298E-2</v>
      </c>
      <c r="O111" s="13">
        <f t="shared" si="24"/>
        <v>2.0908915039530074E-2</v>
      </c>
      <c r="Q111" s="5">
        <f t="shared" si="25"/>
        <v>136.89786690934034</v>
      </c>
      <c r="R111" s="6">
        <f t="shared" si="26"/>
        <v>128.87105655544485</v>
      </c>
      <c r="T111" s="11">
        <f t="shared" si="18"/>
        <v>1.062285594364178</v>
      </c>
      <c r="V111" s="9">
        <v>39458</v>
      </c>
      <c r="W111">
        <v>7827.6</v>
      </c>
      <c r="X111">
        <v>8964.6952999999994</v>
      </c>
      <c r="Y111" t="s">
        <v>33</v>
      </c>
      <c r="AC111" s="24">
        <f t="shared" si="27"/>
        <v>2.1140688055362303E-2</v>
      </c>
      <c r="AE111" s="5">
        <f t="shared" si="28"/>
        <v>125.54074134466896</v>
      </c>
      <c r="AF111" s="6">
        <f t="shared" si="29"/>
        <v>128.87105655544485</v>
      </c>
      <c r="AH111" s="1">
        <f t="shared" si="19"/>
        <v>39458</v>
      </c>
      <c r="AI111">
        <f t="shared" si="23"/>
        <v>0.97415777211896226</v>
      </c>
      <c r="AJ111">
        <f t="shared" ca="1" si="13"/>
        <v>0.75998702065138113</v>
      </c>
      <c r="AK111">
        <f t="shared" ca="1" si="14"/>
        <v>0.76873617213507384</v>
      </c>
      <c r="AL111">
        <f t="shared" ca="1" si="15"/>
        <v>0.87229512102272155</v>
      </c>
      <c r="AM111">
        <f t="shared" ca="1" si="16"/>
        <v>0.9169362147311918</v>
      </c>
      <c r="AN111">
        <f t="shared" ca="1" si="17"/>
        <v>0.9325230450470352</v>
      </c>
      <c r="AP111" s="40"/>
      <c r="AQ111" s="41"/>
    </row>
    <row r="112" spans="2:43" x14ac:dyDescent="0.25">
      <c r="B112" s="1">
        <v>39465</v>
      </c>
      <c r="C112">
        <v>1.8959999999999999</v>
      </c>
      <c r="D112">
        <v>0.85899999999999999</v>
      </c>
      <c r="E112" t="s">
        <v>33</v>
      </c>
      <c r="G112">
        <v>2002.46</v>
      </c>
      <c r="I112" s="14">
        <f t="shared" si="20"/>
        <v>-2.2176379577101724E-2</v>
      </c>
      <c r="J112" s="15">
        <f t="shared" si="21"/>
        <v>-2.1640091116173155E-2</v>
      </c>
      <c r="K112" s="15"/>
      <c r="L112" s="15"/>
      <c r="M112" s="16">
        <f t="shared" si="22"/>
        <v>-3.8633079364164824E-2</v>
      </c>
      <c r="O112" s="13">
        <f t="shared" si="24"/>
        <v>-2.1908235346637439E-2</v>
      </c>
      <c r="Q112" s="5">
        <f t="shared" si="25"/>
        <v>133.89867622263785</v>
      </c>
      <c r="R112" s="6">
        <f t="shared" si="26"/>
        <v>123.89237079979458</v>
      </c>
      <c r="T112" s="11">
        <f t="shared" si="18"/>
        <v>1.0807661146384315</v>
      </c>
      <c r="V112" s="9">
        <v>39465</v>
      </c>
      <c r="W112">
        <v>7656</v>
      </c>
      <c r="X112">
        <v>8773.5874999999996</v>
      </c>
      <c r="Y112" t="s">
        <v>33</v>
      </c>
      <c r="AC112" s="24">
        <f t="shared" si="27"/>
        <v>-2.1890077879850693E-2</v>
      </c>
      <c r="AE112" s="5">
        <f t="shared" si="28"/>
        <v>122.79264473953997</v>
      </c>
      <c r="AF112" s="6">
        <f t="shared" si="29"/>
        <v>123.89237079979458</v>
      </c>
      <c r="AH112" s="1">
        <f t="shared" si="19"/>
        <v>39465</v>
      </c>
      <c r="AI112">
        <f t="shared" si="23"/>
        <v>0.99112353687999299</v>
      </c>
      <c r="AJ112">
        <f t="shared" ca="1" si="13"/>
        <v>0.75998702065138113</v>
      </c>
      <c r="AK112">
        <f t="shared" ca="1" si="14"/>
        <v>0.76897266017719046</v>
      </c>
      <c r="AL112">
        <f t="shared" ca="1" si="15"/>
        <v>0.87533695724577054</v>
      </c>
      <c r="AM112">
        <f t="shared" ca="1" si="16"/>
        <v>0.91757984406706239</v>
      </c>
      <c r="AN112">
        <f t="shared" ca="1" si="17"/>
        <v>0.93505788368219833</v>
      </c>
      <c r="AP112" s="40"/>
      <c r="AQ112" s="41"/>
    </row>
    <row r="113" spans="2:43" x14ac:dyDescent="0.25">
      <c r="B113" s="1">
        <v>39472</v>
      </c>
      <c r="C113">
        <v>1.8380000000000001</v>
      </c>
      <c r="D113">
        <v>0.90800000000000003</v>
      </c>
      <c r="E113" t="s">
        <v>33</v>
      </c>
      <c r="G113">
        <v>1982.73</v>
      </c>
      <c r="I113" s="14">
        <f t="shared" si="20"/>
        <v>-3.0590717299577963E-2</v>
      </c>
      <c r="J113" s="15">
        <f t="shared" si="21"/>
        <v>5.7043073341094264E-2</v>
      </c>
      <c r="K113" s="15"/>
      <c r="L113" s="15"/>
      <c r="M113" s="16">
        <f t="shared" si="22"/>
        <v>-9.8528809564235598E-3</v>
      </c>
      <c r="O113" s="13">
        <f t="shared" si="24"/>
        <v>1.322617802075815E-2</v>
      </c>
      <c r="Q113" s="5">
        <f t="shared" si="25"/>
        <v>135.6696439511023</v>
      </c>
      <c r="R113" s="6">
        <f t="shared" si="26"/>
        <v>122.67167401889512</v>
      </c>
      <c r="T113" s="11">
        <f t="shared" si="18"/>
        <v>1.1059573861379368</v>
      </c>
      <c r="V113" s="9">
        <v>39472</v>
      </c>
      <c r="W113">
        <v>7418.4</v>
      </c>
      <c r="X113">
        <v>9277.4172999999992</v>
      </c>
      <c r="Y113" t="s">
        <v>33</v>
      </c>
      <c r="AC113" s="24">
        <f t="shared" si="27"/>
        <v>1.6206728475772075E-2</v>
      </c>
      <c r="AE113" s="5">
        <f t="shared" si="28"/>
        <v>124.78271179165563</v>
      </c>
      <c r="AF113" s="6">
        <f t="shared" si="29"/>
        <v>122.67167401889512</v>
      </c>
      <c r="AH113" s="1">
        <f t="shared" si="19"/>
        <v>39472</v>
      </c>
      <c r="AI113">
        <f t="shared" si="23"/>
        <v>1.0172088445816378</v>
      </c>
      <c r="AJ113">
        <f t="shared" ca="1" si="13"/>
        <v>0.76012120086043211</v>
      </c>
      <c r="AK113">
        <f t="shared" ca="1" si="14"/>
        <v>0.77246888411733894</v>
      </c>
      <c r="AL113">
        <f t="shared" ca="1" si="15"/>
        <v>0.8757634076066052</v>
      </c>
      <c r="AM113">
        <f t="shared" ca="1" si="16"/>
        <v>0.91920647703992397</v>
      </c>
      <c r="AN113">
        <f t="shared" ca="1" si="17"/>
        <v>0.93524996197114885</v>
      </c>
      <c r="AP113" s="40"/>
      <c r="AQ113" s="41"/>
    </row>
    <row r="114" spans="2:43" x14ac:dyDescent="0.25">
      <c r="B114" s="1">
        <v>39479</v>
      </c>
      <c r="C114">
        <v>1.7849999999999999</v>
      </c>
      <c r="D114">
        <v>0.91700000000000004</v>
      </c>
      <c r="E114" t="s">
        <v>33</v>
      </c>
      <c r="G114">
        <v>2045.14</v>
      </c>
      <c r="I114" s="14">
        <f t="shared" si="20"/>
        <v>-2.8835690968444072E-2</v>
      </c>
      <c r="J114" s="15">
        <f t="shared" si="21"/>
        <v>9.9118942731277748E-3</v>
      </c>
      <c r="K114" s="15"/>
      <c r="L114" s="15"/>
      <c r="M114" s="16">
        <f t="shared" si="22"/>
        <v>3.1476802186883868E-2</v>
      </c>
      <c r="O114" s="13">
        <f t="shared" si="24"/>
        <v>-9.4618983476581486E-3</v>
      </c>
      <c r="Q114" s="5">
        <f t="shared" si="25"/>
        <v>134.38595157117399</v>
      </c>
      <c r="R114" s="6">
        <f t="shared" si="26"/>
        <v>126.53298603592178</v>
      </c>
      <c r="T114" s="11">
        <f t="shared" si="18"/>
        <v>1.0620625955434484</v>
      </c>
      <c r="V114" s="9">
        <v>39479</v>
      </c>
      <c r="W114">
        <v>7207.2</v>
      </c>
      <c r="X114">
        <v>9364.2844999999998</v>
      </c>
      <c r="Y114" t="s">
        <v>33</v>
      </c>
      <c r="AC114" s="24">
        <f t="shared" si="27"/>
        <v>-7.3046984333626462E-3</v>
      </c>
      <c r="AE114" s="5">
        <f t="shared" si="28"/>
        <v>123.87121171232037</v>
      </c>
      <c r="AF114" s="6">
        <f t="shared" si="29"/>
        <v>126.53298603592178</v>
      </c>
      <c r="AH114" s="1">
        <f t="shared" si="19"/>
        <v>39479</v>
      </c>
      <c r="AI114">
        <f t="shared" si="23"/>
        <v>0.97896379112679965</v>
      </c>
      <c r="AJ114">
        <f t="shared" ca="1" si="13"/>
        <v>0.76239157803411506</v>
      </c>
      <c r="AK114">
        <f t="shared" ca="1" si="14"/>
        <v>0.77939748630592853</v>
      </c>
      <c r="AL114">
        <f t="shared" ca="1" si="15"/>
        <v>0.87665254251134639</v>
      </c>
      <c r="AM114">
        <f t="shared" ca="1" si="16"/>
        <v>0.9204799297169669</v>
      </c>
      <c r="AN114">
        <f t="shared" ca="1" si="17"/>
        <v>0.94035718753071484</v>
      </c>
      <c r="AP114" s="40"/>
      <c r="AQ114" s="41"/>
    </row>
    <row r="115" spans="2:43" x14ac:dyDescent="0.25">
      <c r="B115" s="1">
        <v>39486</v>
      </c>
      <c r="C115">
        <v>1.8180000000000001</v>
      </c>
      <c r="D115">
        <v>0.88300000000000001</v>
      </c>
      <c r="E115" t="s">
        <v>33</v>
      </c>
      <c r="G115">
        <v>1992.62</v>
      </c>
      <c r="I115" s="14">
        <f t="shared" si="20"/>
        <v>1.848739495798335E-2</v>
      </c>
      <c r="J115" s="15">
        <f t="shared" si="21"/>
        <v>-3.7077426390403567E-2</v>
      </c>
      <c r="K115" s="15"/>
      <c r="L115" s="15"/>
      <c r="M115" s="16">
        <f t="shared" si="22"/>
        <v>-2.5680393518292211E-2</v>
      </c>
      <c r="O115" s="13">
        <f t="shared" si="24"/>
        <v>-9.2950157162101088E-3</v>
      </c>
      <c r="Q115" s="5">
        <f t="shared" si="25"/>
        <v>133.13683203928207</v>
      </c>
      <c r="R115" s="6">
        <f t="shared" si="26"/>
        <v>123.28356916147473</v>
      </c>
      <c r="T115" s="11">
        <f t="shared" si="18"/>
        <v>1.0799235692544049</v>
      </c>
      <c r="V115" s="9">
        <v>39486</v>
      </c>
      <c r="W115">
        <v>7339.2</v>
      </c>
      <c r="X115">
        <v>9016.8155999999999</v>
      </c>
      <c r="Y115" t="s">
        <v>33</v>
      </c>
      <c r="AC115" s="24">
        <f t="shared" si="27"/>
        <v>-1.2911409132137166E-2</v>
      </c>
      <c r="AE115" s="5">
        <f t="shared" si="28"/>
        <v>122.27185981820902</v>
      </c>
      <c r="AF115" s="6">
        <f t="shared" si="29"/>
        <v>123.28356916147473</v>
      </c>
      <c r="AH115" s="1">
        <f t="shared" si="19"/>
        <v>39486</v>
      </c>
      <c r="AI115">
        <f t="shared" si="23"/>
        <v>0.99179364005968562</v>
      </c>
      <c r="AJ115">
        <f t="shared" ca="1" si="13"/>
        <v>0.763234946070383</v>
      </c>
      <c r="AK115">
        <f t="shared" ca="1" si="14"/>
        <v>0.78676227194841841</v>
      </c>
      <c r="AL115">
        <f t="shared" ca="1" si="15"/>
        <v>0.88107761098405191</v>
      </c>
      <c r="AM115">
        <f t="shared" ca="1" si="16"/>
        <v>0.92126890621012847</v>
      </c>
      <c r="AN115">
        <f t="shared" ca="1" si="17"/>
        <v>0.94311788314777834</v>
      </c>
      <c r="AP115" s="40"/>
      <c r="AQ115" s="41"/>
    </row>
    <row r="116" spans="2:43" x14ac:dyDescent="0.25">
      <c r="B116" s="1">
        <v>39493</v>
      </c>
      <c r="C116">
        <v>1.893</v>
      </c>
      <c r="D116">
        <v>0.89100000000000001</v>
      </c>
      <c r="E116" t="s">
        <v>33</v>
      </c>
      <c r="G116">
        <v>2039.09</v>
      </c>
      <c r="I116" s="14">
        <f t="shared" si="20"/>
        <v>4.1254125412541143E-2</v>
      </c>
      <c r="J116" s="15">
        <f t="shared" si="21"/>
        <v>9.060022650056565E-3</v>
      </c>
      <c r="K116" s="15"/>
      <c r="L116" s="15"/>
      <c r="M116" s="16">
        <f t="shared" si="22"/>
        <v>2.3321054691812781E-2</v>
      </c>
      <c r="O116" s="13">
        <f t="shared" si="24"/>
        <v>2.5157074031298854E-2</v>
      </c>
      <c r="Q116" s="5">
        <f t="shared" si="25"/>
        <v>136.48616517918691</v>
      </c>
      <c r="R116" s="6">
        <f t="shared" si="26"/>
        <v>126.15867202049137</v>
      </c>
      <c r="T116" s="11">
        <f t="shared" si="18"/>
        <v>1.0818611435369112</v>
      </c>
      <c r="V116" s="9">
        <v>39493</v>
      </c>
      <c r="W116">
        <v>7642.8</v>
      </c>
      <c r="X116">
        <v>9103.6828000000005</v>
      </c>
      <c r="Y116" t="s">
        <v>33</v>
      </c>
      <c r="AC116" s="24">
        <f t="shared" si="27"/>
        <v>2.3506020059989752E-2</v>
      </c>
      <c r="AE116" s="5">
        <f t="shared" si="28"/>
        <v>125.14598460786809</v>
      </c>
      <c r="AF116" s="6">
        <f t="shared" si="29"/>
        <v>126.15867202049137</v>
      </c>
      <c r="AH116" s="1">
        <f t="shared" si="19"/>
        <v>39493</v>
      </c>
      <c r="AI116">
        <f t="shared" si="23"/>
        <v>0.99197290684497064</v>
      </c>
      <c r="AJ116">
        <f t="shared" ca="1" si="13"/>
        <v>0.76343087842647794</v>
      </c>
      <c r="AK116">
        <f t="shared" ca="1" si="14"/>
        <v>0.78957681462127782</v>
      </c>
      <c r="AL116">
        <f t="shared" ca="1" si="15"/>
        <v>0.884725957238365</v>
      </c>
      <c r="AM116">
        <f t="shared" ca="1" si="16"/>
        <v>0.92328121714227707</v>
      </c>
      <c r="AN116">
        <f t="shared" ca="1" si="17"/>
        <v>0.94339560396329647</v>
      </c>
      <c r="AP116" s="40"/>
      <c r="AQ116" s="41"/>
    </row>
    <row r="117" spans="2:43" x14ac:dyDescent="0.25">
      <c r="B117" s="1">
        <v>39500</v>
      </c>
      <c r="C117">
        <v>1.9059999999999999</v>
      </c>
      <c r="D117">
        <v>0.88100000000000001</v>
      </c>
      <c r="E117" t="s">
        <v>33</v>
      </c>
      <c r="G117">
        <v>2088.36</v>
      </c>
      <c r="I117" s="14">
        <f t="shared" si="20"/>
        <v>6.8674062334916908E-3</v>
      </c>
      <c r="J117" s="15">
        <f t="shared" si="21"/>
        <v>-1.122334455667795E-2</v>
      </c>
      <c r="K117" s="15"/>
      <c r="L117" s="15"/>
      <c r="M117" s="16">
        <f t="shared" si="22"/>
        <v>2.4162739261141208E-2</v>
      </c>
      <c r="O117" s="13">
        <f t="shared" si="24"/>
        <v>-2.1779691615931296E-3</v>
      </c>
      <c r="Q117" s="5">
        <f t="shared" si="25"/>
        <v>136.18890252044255</v>
      </c>
      <c r="R117" s="6">
        <f t="shared" si="26"/>
        <v>129.20701111805434</v>
      </c>
      <c r="T117" s="11">
        <f t="shared" si="18"/>
        <v>1.0540364748164399</v>
      </c>
      <c r="V117" s="9">
        <v>39500</v>
      </c>
      <c r="W117">
        <v>7695.6</v>
      </c>
      <c r="X117">
        <v>8999.4421999999995</v>
      </c>
      <c r="Y117" t="s">
        <v>33</v>
      </c>
      <c r="AC117" s="24">
        <f t="shared" si="27"/>
        <v>-2.9670443060301824E-3</v>
      </c>
      <c r="AE117" s="5">
        <f t="shared" si="28"/>
        <v>124.77467092681476</v>
      </c>
      <c r="AF117" s="6">
        <f t="shared" si="29"/>
        <v>129.20701111805434</v>
      </c>
      <c r="AH117" s="1">
        <f t="shared" si="19"/>
        <v>39500</v>
      </c>
      <c r="AI117">
        <f t="shared" si="23"/>
        <v>0.96569582290554001</v>
      </c>
      <c r="AJ117">
        <f t="shared" ca="1" si="13"/>
        <v>0.7645799495714154</v>
      </c>
      <c r="AK117">
        <f t="shared" ca="1" si="14"/>
        <v>0.8158466002974849</v>
      </c>
      <c r="AL117">
        <f t="shared" ca="1" si="15"/>
        <v>0.88474339417487524</v>
      </c>
      <c r="AM117">
        <f t="shared" ca="1" si="16"/>
        <v>0.92481088481282137</v>
      </c>
      <c r="AN117">
        <f t="shared" ca="1" si="17"/>
        <v>0.97108193333042125</v>
      </c>
      <c r="AP117" s="40"/>
      <c r="AQ117" s="41"/>
    </row>
    <row r="118" spans="2:43" x14ac:dyDescent="0.25">
      <c r="B118" s="1">
        <v>39507</v>
      </c>
      <c r="C118">
        <v>1.8959999999999999</v>
      </c>
      <c r="D118">
        <v>0.90500000000000003</v>
      </c>
      <c r="E118" t="s">
        <v>33</v>
      </c>
      <c r="G118">
        <v>2162.1999999999998</v>
      </c>
      <c r="I118" s="14">
        <f t="shared" si="20"/>
        <v>-5.2465897166841247E-3</v>
      </c>
      <c r="J118" s="15">
        <f t="shared" si="21"/>
        <v>2.7241770715096481E-2</v>
      </c>
      <c r="K118" s="15"/>
      <c r="L118" s="15"/>
      <c r="M118" s="16">
        <f t="shared" si="22"/>
        <v>3.5357888486659217E-2</v>
      </c>
      <c r="O118" s="13">
        <f t="shared" si="24"/>
        <v>1.0997590499206178E-2</v>
      </c>
      <c r="Q118" s="5">
        <f t="shared" si="25"/>
        <v>137.68665230089869</v>
      </c>
      <c r="R118" s="6">
        <f t="shared" si="26"/>
        <v>133.77549820886105</v>
      </c>
      <c r="T118" s="11">
        <f t="shared" si="18"/>
        <v>1.0292366998770675</v>
      </c>
      <c r="V118" s="9">
        <v>39507</v>
      </c>
      <c r="W118">
        <v>7656</v>
      </c>
      <c r="X118">
        <v>9242.6704000000009</v>
      </c>
      <c r="Y118" t="s">
        <v>33</v>
      </c>
      <c r="AC118" s="24">
        <f t="shared" si="27"/>
        <v>1.2266221474567407E-2</v>
      </c>
      <c r="AE118" s="5">
        <f t="shared" si="28"/>
        <v>126.30518467481934</v>
      </c>
      <c r="AF118" s="6">
        <f t="shared" si="29"/>
        <v>133.77549820886105</v>
      </c>
      <c r="AH118" s="1">
        <f t="shared" si="19"/>
        <v>39507</v>
      </c>
      <c r="AI118">
        <f t="shared" si="23"/>
        <v>0.94415783432644407</v>
      </c>
      <c r="AJ118">
        <f t="shared" ca="1" si="13"/>
        <v>0.76556201275993707</v>
      </c>
      <c r="AK118">
        <f t="shared" ca="1" si="14"/>
        <v>0.83568473851655356</v>
      </c>
      <c r="AL118">
        <f t="shared" ca="1" si="15"/>
        <v>0.88743220569446923</v>
      </c>
      <c r="AM118">
        <f t="shared" ca="1" si="16"/>
        <v>0.92700199843650433</v>
      </c>
      <c r="AN118">
        <f t="shared" ca="1" si="17"/>
        <v>0.97331157719762007</v>
      </c>
      <c r="AP118" s="40"/>
      <c r="AQ118" s="41"/>
    </row>
    <row r="119" spans="2:43" x14ac:dyDescent="0.25">
      <c r="B119" s="1">
        <v>39514</v>
      </c>
      <c r="C119">
        <v>1.8959999999999999</v>
      </c>
      <c r="D119">
        <v>0.9</v>
      </c>
      <c r="E119" t="s">
        <v>33</v>
      </c>
      <c r="G119">
        <v>2129.84</v>
      </c>
      <c r="I119" s="14">
        <f t="shared" si="20"/>
        <v>0</v>
      </c>
      <c r="J119" s="15">
        <f t="shared" si="21"/>
        <v>-5.5248618784530246E-3</v>
      </c>
      <c r="K119" s="15"/>
      <c r="L119" s="15"/>
      <c r="M119" s="16">
        <f t="shared" si="22"/>
        <v>-1.4966238090833306E-2</v>
      </c>
      <c r="O119" s="13">
        <f t="shared" si="24"/>
        <v>-2.7624309392265123E-3</v>
      </c>
      <c r="Q119" s="5">
        <f t="shared" si="25"/>
        <v>137.30630243266415</v>
      </c>
      <c r="R119" s="6">
        <f t="shared" si="26"/>
        <v>131.7733822519474</v>
      </c>
      <c r="T119" s="11">
        <f t="shared" si="18"/>
        <v>1.0419881472734605</v>
      </c>
      <c r="V119" s="9">
        <v>39514</v>
      </c>
      <c r="W119">
        <v>7656</v>
      </c>
      <c r="X119">
        <v>9190.5501000000004</v>
      </c>
      <c r="Y119" t="s">
        <v>33</v>
      </c>
      <c r="AC119" s="24">
        <f t="shared" si="27"/>
        <v>-3.0218044461099236E-3</v>
      </c>
      <c r="AE119" s="5">
        <f t="shared" si="28"/>
        <v>125.92351510620225</v>
      </c>
      <c r="AF119" s="6">
        <f t="shared" si="29"/>
        <v>131.7733822519474</v>
      </c>
      <c r="AH119" s="1">
        <f t="shared" si="19"/>
        <v>39514</v>
      </c>
      <c r="AI119">
        <f t="shared" si="23"/>
        <v>0.9556066100317564</v>
      </c>
      <c r="AJ119">
        <f t="shared" ca="1" si="13"/>
        <v>0.76667741079366536</v>
      </c>
      <c r="AK119">
        <f t="shared" ca="1" si="14"/>
        <v>0.84118451196822008</v>
      </c>
      <c r="AL119">
        <f t="shared" ca="1" si="15"/>
        <v>0.8957268529598108</v>
      </c>
      <c r="AM119">
        <f t="shared" ca="1" si="16"/>
        <v>0.93384061651352845</v>
      </c>
      <c r="AN119">
        <f t="shared" ca="1" si="17"/>
        <v>0.97331157719762007</v>
      </c>
      <c r="AP119" s="40"/>
      <c r="AQ119" s="41"/>
    </row>
    <row r="120" spans="2:43" x14ac:dyDescent="0.25">
      <c r="B120" s="1">
        <v>39521</v>
      </c>
      <c r="C120">
        <v>1.883</v>
      </c>
      <c r="D120">
        <v>0.90100000000000002</v>
      </c>
      <c r="E120" t="s">
        <v>33</v>
      </c>
      <c r="G120">
        <v>2117.1</v>
      </c>
      <c r="I120" s="14">
        <f t="shared" si="20"/>
        <v>-6.8565400843881852E-3</v>
      </c>
      <c r="J120" s="15">
        <f t="shared" si="21"/>
        <v>1.1111111111110628E-3</v>
      </c>
      <c r="K120" s="15"/>
      <c r="L120" s="15"/>
      <c r="M120" s="16">
        <f t="shared" si="22"/>
        <v>-5.9816699845999244E-3</v>
      </c>
      <c r="O120" s="13">
        <f t="shared" si="24"/>
        <v>-2.8727144866385612E-3</v>
      </c>
      <c r="Q120" s="5">
        <f t="shared" si="25"/>
        <v>136.91186062855908</v>
      </c>
      <c r="R120" s="6">
        <f t="shared" si="26"/>
        <v>130.98515736656171</v>
      </c>
      <c r="T120" s="11">
        <f t="shared" si="18"/>
        <v>1.0452471362492737</v>
      </c>
      <c r="V120" s="9">
        <v>39521</v>
      </c>
      <c r="W120">
        <v>7603.2</v>
      </c>
      <c r="X120">
        <v>9207.9235000000008</v>
      </c>
      <c r="Y120" t="s">
        <v>33</v>
      </c>
      <c r="AC120" s="24">
        <f t="shared" si="27"/>
        <v>-2.5098283210366651E-3</v>
      </c>
      <c r="AE120" s="5">
        <f t="shared" si="28"/>
        <v>125.60746870170422</v>
      </c>
      <c r="AF120" s="6">
        <f t="shared" si="29"/>
        <v>130.98515736656171</v>
      </c>
      <c r="AH120" s="1">
        <f t="shared" si="19"/>
        <v>39521</v>
      </c>
      <c r="AI120">
        <f t="shared" si="23"/>
        <v>0.95894428977316848</v>
      </c>
      <c r="AJ120">
        <f t="shared" ca="1" si="13"/>
        <v>0.77020390649705195</v>
      </c>
      <c r="AK120">
        <f t="shared" ca="1" si="14"/>
        <v>0.84815179527956031</v>
      </c>
      <c r="AL120">
        <f t="shared" ca="1" si="15"/>
        <v>0.90457267792002671</v>
      </c>
      <c r="AM120">
        <f t="shared" ca="1" si="16"/>
        <v>0.93524649067009236</v>
      </c>
      <c r="AN120">
        <f t="shared" ca="1" si="17"/>
        <v>0.97331157719762007</v>
      </c>
      <c r="AP120" s="40"/>
      <c r="AQ120" s="41"/>
    </row>
    <row r="121" spans="2:43" x14ac:dyDescent="0.25">
      <c r="B121" s="1">
        <v>39528</v>
      </c>
      <c r="C121">
        <v>1.821</v>
      </c>
      <c r="D121">
        <v>0.86399999999999999</v>
      </c>
      <c r="E121" t="s">
        <v>33</v>
      </c>
      <c r="G121">
        <v>2014.06</v>
      </c>
      <c r="I121" s="14">
        <f t="shared" si="20"/>
        <v>-3.2926181625066442E-2</v>
      </c>
      <c r="J121" s="15">
        <f t="shared" si="21"/>
        <v>-4.1065482796892372E-2</v>
      </c>
      <c r="K121" s="15"/>
      <c r="L121" s="15"/>
      <c r="M121" s="16">
        <f t="shared" si="22"/>
        <v>-4.8670350951773633E-2</v>
      </c>
      <c r="O121" s="13">
        <f t="shared" si="24"/>
        <v>-3.6995832210979407E-2</v>
      </c>
      <c r="Q121" s="5">
        <f t="shared" si="25"/>
        <v>131.84669240505193</v>
      </c>
      <c r="R121" s="6">
        <f t="shared" si="26"/>
        <v>124.61006378805786</v>
      </c>
      <c r="T121" s="11">
        <f t="shared" si="18"/>
        <v>1.0580741907756539</v>
      </c>
      <c r="V121" s="9">
        <v>39528</v>
      </c>
      <c r="W121">
        <v>7352.4</v>
      </c>
      <c r="X121">
        <v>8825.7078000000001</v>
      </c>
      <c r="Y121" t="s">
        <v>33</v>
      </c>
      <c r="AC121" s="24">
        <f t="shared" si="27"/>
        <v>-3.738430499401519E-2</v>
      </c>
      <c r="AE121" s="5">
        <f t="shared" si="28"/>
        <v>120.91172078223349</v>
      </c>
      <c r="AF121" s="6">
        <f t="shared" si="29"/>
        <v>124.61006378805786</v>
      </c>
      <c r="AH121" s="1">
        <f t="shared" si="19"/>
        <v>39528</v>
      </c>
      <c r="AI121">
        <f t="shared" si="23"/>
        <v>0.97032067159427293</v>
      </c>
      <c r="AJ121">
        <f t="shared" ca="1" si="13"/>
        <v>0.77020390649705195</v>
      </c>
      <c r="AK121">
        <f t="shared" ca="1" si="14"/>
        <v>0.85313938863252148</v>
      </c>
      <c r="AL121">
        <f t="shared" ca="1" si="15"/>
        <v>0.90976829011239135</v>
      </c>
      <c r="AM121">
        <f t="shared" ca="1" si="16"/>
        <v>0.93666902143781239</v>
      </c>
      <c r="AN121">
        <f t="shared" ca="1" si="17"/>
        <v>0.97331157719762007</v>
      </c>
      <c r="AP121" s="40"/>
      <c r="AQ121" s="41"/>
    </row>
    <row r="122" spans="2:43" x14ac:dyDescent="0.25">
      <c r="B122" s="1">
        <v>39535</v>
      </c>
      <c r="C122">
        <v>1.929</v>
      </c>
      <c r="D122">
        <v>0.88100000000000001</v>
      </c>
      <c r="E122" t="s">
        <v>33</v>
      </c>
      <c r="G122">
        <v>2089.71</v>
      </c>
      <c r="I122" s="14">
        <f t="shared" si="20"/>
        <v>5.9308072487644248E-2</v>
      </c>
      <c r="J122" s="15">
        <f t="shared" si="21"/>
        <v>1.9675925925926041E-2</v>
      </c>
      <c r="K122" s="15"/>
      <c r="L122" s="15"/>
      <c r="M122" s="16">
        <f t="shared" si="22"/>
        <v>3.7560946545783125E-2</v>
      </c>
      <c r="O122" s="13">
        <f t="shared" si="24"/>
        <v>3.9491999206785144E-2</v>
      </c>
      <c r="Q122" s="5">
        <f t="shared" si="25"/>
        <v>137.05358187692948</v>
      </c>
      <c r="R122" s="6">
        <f t="shared" si="26"/>
        <v>129.29053573306771</v>
      </c>
      <c r="T122" s="11">
        <f t="shared" si="18"/>
        <v>1.0600434215841545</v>
      </c>
      <c r="V122" s="9">
        <v>39535</v>
      </c>
      <c r="W122">
        <v>7788</v>
      </c>
      <c r="X122">
        <v>8999.4421999999995</v>
      </c>
      <c r="Y122" t="s">
        <v>33</v>
      </c>
      <c r="AC122" s="24">
        <f t="shared" si="27"/>
        <v>3.7687389193612815E-2</v>
      </c>
      <c r="AE122" s="5">
        <f t="shared" si="28"/>
        <v>125.46856786142298</v>
      </c>
      <c r="AF122" s="6">
        <f t="shared" si="29"/>
        <v>129.29053573306771</v>
      </c>
      <c r="AH122" s="1">
        <f t="shared" si="19"/>
        <v>39535</v>
      </c>
      <c r="AI122">
        <f t="shared" si="23"/>
        <v>0.97043891998765053</v>
      </c>
      <c r="AJ122">
        <f t="shared" ca="1" si="13"/>
        <v>0.77486044139268884</v>
      </c>
      <c r="AK122">
        <f t="shared" ca="1" si="14"/>
        <v>0.85855675314506141</v>
      </c>
      <c r="AL122">
        <f t="shared" ca="1" si="15"/>
        <v>0.91333591675400305</v>
      </c>
      <c r="AM122">
        <f t="shared" ca="1" si="16"/>
        <v>0.9415338436568883</v>
      </c>
      <c r="AN122">
        <f t="shared" ca="1" si="17"/>
        <v>0.97377406206649331</v>
      </c>
      <c r="AP122" s="40"/>
      <c r="AQ122" s="41"/>
    </row>
    <row r="123" spans="2:43" x14ac:dyDescent="0.25">
      <c r="B123" s="1">
        <v>39542</v>
      </c>
      <c r="C123">
        <v>1.952</v>
      </c>
      <c r="D123">
        <v>0.88400000000000001</v>
      </c>
      <c r="E123" t="s">
        <v>33</v>
      </c>
      <c r="G123">
        <v>2152.0300000000002</v>
      </c>
      <c r="I123" s="14">
        <f t="shared" si="20"/>
        <v>1.1923276308968278E-2</v>
      </c>
      <c r="J123" s="15">
        <f t="shared" si="21"/>
        <v>3.4052213393871433E-3</v>
      </c>
      <c r="K123" s="15"/>
      <c r="L123" s="15"/>
      <c r="M123" s="16">
        <f t="shared" si="22"/>
        <v>2.9822319843423317E-2</v>
      </c>
      <c r="O123" s="13">
        <f t="shared" si="24"/>
        <v>7.6642488241777107E-3</v>
      </c>
      <c r="Q123" s="5">
        <f t="shared" si="25"/>
        <v>138.1039946306791</v>
      </c>
      <c r="R123" s="6">
        <f t="shared" si="26"/>
        <v>133.14627944242682</v>
      </c>
      <c r="T123" s="11">
        <f t="shared" si="18"/>
        <v>1.0372351011910628</v>
      </c>
      <c r="V123" s="9">
        <v>39542</v>
      </c>
      <c r="W123">
        <v>7880.4</v>
      </c>
      <c r="X123">
        <v>9034.1890999999996</v>
      </c>
      <c r="Y123" t="s">
        <v>33</v>
      </c>
      <c r="AC123" s="24">
        <f t="shared" si="27"/>
        <v>7.3569020845990546E-3</v>
      </c>
      <c r="AE123" s="5">
        <f t="shared" si="28"/>
        <v>126.39162782987435</v>
      </c>
      <c r="AF123" s="6">
        <f t="shared" si="29"/>
        <v>133.14627944242682</v>
      </c>
      <c r="AH123" s="1">
        <f t="shared" si="19"/>
        <v>39542</v>
      </c>
      <c r="AI123">
        <f t="shared" si="23"/>
        <v>0.94926894209257107</v>
      </c>
      <c r="AJ123">
        <f t="shared" ref="AJ123:AJ186" ca="1" si="30">+_xlfn.PERCENTILE.INC(OFFSET(AI123,-52,0,52,1),0.1)</f>
        <v>0.78868183837670247</v>
      </c>
      <c r="AK123">
        <f t="shared" ref="AK123:AK186" ca="1" si="31">+_xlfn.PERCENTILE.INC(OFFSET(AI123,-52,0,52,1),0.25)</f>
        <v>0.86718782291665275</v>
      </c>
      <c r="AL123">
        <f t="shared" ref="AL123:AL186" ca="1" si="32">+_xlfn.PERCENTILE.INC(OFFSET(AI123,-52,0,52,1),0.5)</f>
        <v>0.91589541622389703</v>
      </c>
      <c r="AM123">
        <f t="shared" ref="AM123:AM186" ca="1" si="33">+_xlfn.PERCENTILE.INC(OFFSET(AI123,-52,0,52,1),0.75)</f>
        <v>0.94337103220663221</v>
      </c>
      <c r="AN123">
        <f t="shared" ref="AN123:AN186" ca="1" si="34">+_xlfn.PERCENTILE.INC(OFFSET(AI123,-52,0,52,1),0.9)</f>
        <v>0.97378588690583112</v>
      </c>
      <c r="AP123" s="40"/>
      <c r="AQ123" s="41"/>
    </row>
    <row r="124" spans="2:43" x14ac:dyDescent="0.25">
      <c r="B124" s="1">
        <v>39549</v>
      </c>
      <c r="C124">
        <v>1.88</v>
      </c>
      <c r="D124">
        <v>0.85</v>
      </c>
      <c r="E124" t="s">
        <v>33</v>
      </c>
      <c r="G124">
        <v>2115.12</v>
      </c>
      <c r="I124" s="14">
        <f t="shared" si="20"/>
        <v>-3.688524590163933E-2</v>
      </c>
      <c r="J124" s="15">
        <f t="shared" si="21"/>
        <v>-3.8461538461538547E-2</v>
      </c>
      <c r="K124" s="15"/>
      <c r="L124" s="15"/>
      <c r="M124" s="16">
        <f t="shared" si="22"/>
        <v>-1.7151247891525778E-2</v>
      </c>
      <c r="O124" s="13">
        <f t="shared" si="24"/>
        <v>-3.7673392181588938E-2</v>
      </c>
      <c r="Q124" s="5">
        <f t="shared" si="25"/>
        <v>132.90114867911348</v>
      </c>
      <c r="R124" s="6">
        <f t="shared" si="26"/>
        <v>130.86265459787541</v>
      </c>
      <c r="T124" s="11">
        <f t="shared" si="18"/>
        <v>1.0155773554151266</v>
      </c>
      <c r="V124" s="9">
        <v>39549</v>
      </c>
      <c r="W124">
        <v>7590</v>
      </c>
      <c r="X124">
        <v>8686.7203000000009</v>
      </c>
      <c r="Y124" t="s">
        <v>33</v>
      </c>
      <c r="AC124" s="24">
        <f t="shared" si="27"/>
        <v>-3.7727153735099654E-2</v>
      </c>
      <c r="AE124" s="5">
        <f t="shared" si="28"/>
        <v>121.62323145590719</v>
      </c>
      <c r="AF124" s="6">
        <f t="shared" si="29"/>
        <v>130.86265459787541</v>
      </c>
      <c r="AH124" s="1">
        <f t="shared" si="19"/>
        <v>39549</v>
      </c>
      <c r="AI124">
        <f t="shared" si="23"/>
        <v>0.92939602845166325</v>
      </c>
      <c r="AJ124">
        <f t="shared" ca="1" si="30"/>
        <v>0.79337777812629717</v>
      </c>
      <c r="AK124">
        <f t="shared" ca="1" si="31"/>
        <v>0.8736582310246408</v>
      </c>
      <c r="AL124">
        <f t="shared" ca="1" si="32"/>
        <v>0.91701365904052201</v>
      </c>
      <c r="AM124">
        <f t="shared" ca="1" si="33"/>
        <v>0.94358899675677543</v>
      </c>
      <c r="AN124">
        <f t="shared" ca="1" si="34"/>
        <v>0.97378588690583112</v>
      </c>
      <c r="AP124" s="40"/>
      <c r="AQ124" s="41"/>
    </row>
    <row r="125" spans="2:43" x14ac:dyDescent="0.25">
      <c r="B125" s="1">
        <v>39556</v>
      </c>
      <c r="C125">
        <v>1.913</v>
      </c>
      <c r="D125">
        <v>0.90100000000000002</v>
      </c>
      <c r="E125" t="s">
        <v>33</v>
      </c>
      <c r="G125">
        <v>2186.4699999999998</v>
      </c>
      <c r="I125" s="14">
        <f t="shared" si="20"/>
        <v>1.7553191489361852E-2</v>
      </c>
      <c r="J125" s="15">
        <f t="shared" si="21"/>
        <v>6.0000000000000053E-2</v>
      </c>
      <c r="K125" s="15"/>
      <c r="L125" s="15"/>
      <c r="M125" s="16">
        <f t="shared" si="22"/>
        <v>3.3733310639585401E-2</v>
      </c>
      <c r="O125" s="13">
        <f t="shared" si="24"/>
        <v>3.8776595744680953E-2</v>
      </c>
      <c r="Q125" s="5">
        <f t="shared" si="25"/>
        <v>138.05460279544721</v>
      </c>
      <c r="R125" s="6">
        <f t="shared" si="26"/>
        <v>135.27708517654631</v>
      </c>
      <c r="T125" s="11">
        <f t="shared" si="18"/>
        <v>1.0205320628787651</v>
      </c>
      <c r="V125" s="9">
        <v>39556</v>
      </c>
      <c r="W125">
        <v>7722</v>
      </c>
      <c r="X125">
        <v>9207.9235000000008</v>
      </c>
      <c r="Y125" t="s">
        <v>33</v>
      </c>
      <c r="AC125" s="24">
        <f t="shared" si="27"/>
        <v>4.0206622055443009E-2</v>
      </c>
      <c r="AE125" s="5">
        <f t="shared" si="28"/>
        <v>126.51329075621653</v>
      </c>
      <c r="AF125" s="6">
        <f t="shared" si="29"/>
        <v>135.27708517654631</v>
      </c>
      <c r="AH125" s="1">
        <f t="shared" si="19"/>
        <v>39556</v>
      </c>
      <c r="AI125">
        <f t="shared" si="23"/>
        <v>0.93521597239552878</v>
      </c>
      <c r="AJ125">
        <f t="shared" ca="1" si="30"/>
        <v>0.82598129278375676</v>
      </c>
      <c r="AK125">
        <f t="shared" ca="1" si="31"/>
        <v>0.87549476535537596</v>
      </c>
      <c r="AL125">
        <f t="shared" ca="1" si="32"/>
        <v>0.91799114047494235</v>
      </c>
      <c r="AM125">
        <f t="shared" ca="1" si="33"/>
        <v>0.94358899675677543</v>
      </c>
      <c r="AN125">
        <f t="shared" ca="1" si="34"/>
        <v>0.97378588690583112</v>
      </c>
      <c r="AP125" s="40"/>
      <c r="AQ125" s="41"/>
    </row>
    <row r="126" spans="2:43" x14ac:dyDescent="0.25">
      <c r="B126" s="1">
        <v>39563</v>
      </c>
      <c r="C126">
        <v>1.88</v>
      </c>
      <c r="D126">
        <v>0.90300000000000002</v>
      </c>
      <c r="E126" t="s">
        <v>33</v>
      </c>
      <c r="G126">
        <v>2101.4</v>
      </c>
      <c r="I126" s="14">
        <f t="shared" si="20"/>
        <v>-1.725039205436496E-2</v>
      </c>
      <c r="J126" s="15">
        <f t="shared" si="21"/>
        <v>2.2197558268590711E-3</v>
      </c>
      <c r="K126" s="15"/>
      <c r="L126" s="15"/>
      <c r="M126" s="16">
        <f t="shared" si="22"/>
        <v>-3.8907462713872021E-2</v>
      </c>
      <c r="O126" s="13">
        <f t="shared" si="24"/>
        <v>-7.5153181137529446E-3</v>
      </c>
      <c r="Q126" s="5">
        <f t="shared" si="25"/>
        <v>137.01707853837161</v>
      </c>
      <c r="R126" s="6">
        <f t="shared" si="26"/>
        <v>130.01379702899854</v>
      </c>
      <c r="T126" s="11">
        <f t="shared" si="18"/>
        <v>1.0538656794079404</v>
      </c>
      <c r="V126" s="9">
        <v>39563</v>
      </c>
      <c r="W126">
        <v>7590</v>
      </c>
      <c r="X126">
        <v>9225.2968999999994</v>
      </c>
      <c r="Y126" t="s">
        <v>33</v>
      </c>
      <c r="AC126" s="24">
        <f t="shared" si="27"/>
        <v>-6.6608798085477849E-3</v>
      </c>
      <c r="AE126" s="5">
        <f t="shared" si="28"/>
        <v>125.67060093230552</v>
      </c>
      <c r="AF126" s="6">
        <f t="shared" si="29"/>
        <v>130.01379702899854</v>
      </c>
      <c r="AH126" s="1">
        <f t="shared" si="19"/>
        <v>39563</v>
      </c>
      <c r="AI126">
        <f t="shared" si="23"/>
        <v>0.96659434463156002</v>
      </c>
      <c r="AJ126">
        <f t="shared" ca="1" si="30"/>
        <v>0.8396525235543747</v>
      </c>
      <c r="AK126">
        <f t="shared" ca="1" si="31"/>
        <v>0.87581882467741723</v>
      </c>
      <c r="AL126">
        <f t="shared" ca="1" si="32"/>
        <v>0.91959922078914591</v>
      </c>
      <c r="AM126">
        <f t="shared" ca="1" si="33"/>
        <v>0.94358899675677543</v>
      </c>
      <c r="AN126">
        <f t="shared" ca="1" si="34"/>
        <v>0.97378588690583112</v>
      </c>
      <c r="AP126" s="40"/>
      <c r="AQ126" s="41"/>
    </row>
    <row r="127" spans="2:43" x14ac:dyDescent="0.25">
      <c r="B127" s="1">
        <v>39570</v>
      </c>
      <c r="C127">
        <v>1.877</v>
      </c>
      <c r="D127">
        <v>0.88100000000000001</v>
      </c>
      <c r="E127" t="s">
        <v>33</v>
      </c>
      <c r="G127">
        <v>2107.63</v>
      </c>
      <c r="I127" s="14">
        <f t="shared" si="20"/>
        <v>-1.5957446808509967E-3</v>
      </c>
      <c r="J127" s="15">
        <f t="shared" si="21"/>
        <v>-2.4363233665559259E-2</v>
      </c>
      <c r="K127" s="15"/>
      <c r="L127" s="15"/>
      <c r="M127" s="16">
        <f t="shared" si="22"/>
        <v>2.9646902065290082E-3</v>
      </c>
      <c r="O127" s="13">
        <f t="shared" si="24"/>
        <v>-1.2979489173205128E-2</v>
      </c>
      <c r="Q127" s="5">
        <f t="shared" si="25"/>
        <v>135.23866685093861</v>
      </c>
      <c r="R127" s="6">
        <f t="shared" si="26"/>
        <v>130.39924765976406</v>
      </c>
      <c r="T127" s="11">
        <f t="shared" si="18"/>
        <v>1.0371123244805944</v>
      </c>
      <c r="V127" s="9">
        <v>39570</v>
      </c>
      <c r="W127">
        <v>7576.8</v>
      </c>
      <c r="X127">
        <v>8999.4421999999995</v>
      </c>
      <c r="Y127" t="s">
        <v>33</v>
      </c>
      <c r="AC127" s="24">
        <f t="shared" si="27"/>
        <v>-1.4086564605143457E-2</v>
      </c>
      <c r="AE127" s="5">
        <f t="shared" si="28"/>
        <v>123.9003338933054</v>
      </c>
      <c r="AF127" s="6">
        <f t="shared" si="29"/>
        <v>130.39924765976406</v>
      </c>
      <c r="AH127" s="1">
        <f t="shared" si="19"/>
        <v>39570</v>
      </c>
      <c r="AI127">
        <f t="shared" si="23"/>
        <v>0.95016141670222254</v>
      </c>
      <c r="AJ127">
        <f t="shared" ca="1" si="30"/>
        <v>0.84262414588101398</v>
      </c>
      <c r="AK127">
        <f t="shared" ca="1" si="31"/>
        <v>0.87704169289290501</v>
      </c>
      <c r="AL127">
        <f t="shared" ca="1" si="32"/>
        <v>0.92057515114634425</v>
      </c>
      <c r="AM127">
        <f t="shared" ca="1" si="33"/>
        <v>0.94543561126797582</v>
      </c>
      <c r="AN127">
        <f t="shared" ca="1" si="34"/>
        <v>0.97378588690583112</v>
      </c>
      <c r="AP127" s="40"/>
      <c r="AQ127" s="41"/>
    </row>
    <row r="128" spans="2:43" x14ac:dyDescent="0.25">
      <c r="B128" s="1">
        <v>39577</v>
      </c>
      <c r="C128">
        <v>1.887</v>
      </c>
      <c r="D128">
        <v>0.92100000000000004</v>
      </c>
      <c r="E128" t="s">
        <v>33</v>
      </c>
      <c r="G128">
        <v>2114.44</v>
      </c>
      <c r="I128" s="14">
        <f t="shared" si="20"/>
        <v>5.3276505061268242E-3</v>
      </c>
      <c r="J128" s="15">
        <f t="shared" si="21"/>
        <v>4.5402951191827468E-2</v>
      </c>
      <c r="K128" s="15"/>
      <c r="L128" s="15"/>
      <c r="M128" s="16">
        <f t="shared" si="22"/>
        <v>3.2311174162447109E-3</v>
      </c>
      <c r="O128" s="13">
        <f t="shared" si="24"/>
        <v>2.5365300848977146E-2</v>
      </c>
      <c r="Q128" s="5">
        <f t="shared" si="25"/>
        <v>138.66903632202727</v>
      </c>
      <c r="R128" s="6">
        <f t="shared" si="26"/>
        <v>130.82058293994274</v>
      </c>
      <c r="T128" s="11">
        <f t="shared" si="18"/>
        <v>1.0599940254484848</v>
      </c>
      <c r="V128" s="9">
        <v>39577</v>
      </c>
      <c r="W128">
        <v>7616.4</v>
      </c>
      <c r="X128">
        <v>9242.6704000000009</v>
      </c>
      <c r="Y128" t="s">
        <v>33</v>
      </c>
      <c r="AC128" s="24">
        <f t="shared" si="27"/>
        <v>2.7085015523910124E-2</v>
      </c>
      <c r="AE128" s="5">
        <f t="shared" si="28"/>
        <v>127.25617636022324</v>
      </c>
      <c r="AF128" s="6">
        <f t="shared" si="29"/>
        <v>130.82058293994274</v>
      </c>
      <c r="AH128" s="1">
        <f t="shared" si="19"/>
        <v>39577</v>
      </c>
      <c r="AI128">
        <f t="shared" si="23"/>
        <v>0.97275347273635182</v>
      </c>
      <c r="AJ128">
        <f t="shared" ca="1" si="30"/>
        <v>0.85065935752613731</v>
      </c>
      <c r="AK128">
        <f t="shared" ca="1" si="31"/>
        <v>0.8829009948388461</v>
      </c>
      <c r="AL128">
        <f t="shared" ca="1" si="32"/>
        <v>0.921772218415158</v>
      </c>
      <c r="AM128">
        <f t="shared" ca="1" si="33"/>
        <v>0.94949206074498393</v>
      </c>
      <c r="AN128">
        <f t="shared" ca="1" si="34"/>
        <v>0.97378588690583112</v>
      </c>
      <c r="AP128" s="40"/>
      <c r="AQ128" s="41"/>
    </row>
    <row r="129" spans="2:43" x14ac:dyDescent="0.25">
      <c r="B129" s="1">
        <v>39584</v>
      </c>
      <c r="C129">
        <v>1.91</v>
      </c>
      <c r="D129">
        <v>0.91400000000000003</v>
      </c>
      <c r="E129" t="s">
        <v>33</v>
      </c>
      <c r="G129">
        <v>2137.0100000000002</v>
      </c>
      <c r="I129" s="14">
        <f t="shared" si="20"/>
        <v>1.2188659247482692E-2</v>
      </c>
      <c r="J129" s="15">
        <f t="shared" si="21"/>
        <v>-7.6004343105320338E-3</v>
      </c>
      <c r="K129" s="15"/>
      <c r="L129" s="15"/>
      <c r="M129" s="16">
        <f t="shared" si="22"/>
        <v>1.0674221070354317E-2</v>
      </c>
      <c r="O129" s="13">
        <f t="shared" si="24"/>
        <v>2.2941124684753289E-3</v>
      </c>
      <c r="Q129" s="5">
        <f t="shared" si="25"/>
        <v>138.98715868724511</v>
      </c>
      <c r="R129" s="6">
        <f t="shared" si="26"/>
        <v>132.21699076279631</v>
      </c>
      <c r="T129" s="11">
        <f t="shared" si="18"/>
        <v>1.0512049766477805</v>
      </c>
      <c r="V129" s="9">
        <v>39584</v>
      </c>
      <c r="W129">
        <v>7708.8</v>
      </c>
      <c r="X129">
        <v>9173.1766000000007</v>
      </c>
      <c r="Y129" t="s">
        <v>33</v>
      </c>
      <c r="AC129" s="24">
        <f t="shared" si="27"/>
        <v>1.339658387299239E-3</v>
      </c>
      <c r="AE129" s="5">
        <f t="shared" si="28"/>
        <v>127.42665616421985</v>
      </c>
      <c r="AF129" s="6">
        <f t="shared" si="29"/>
        <v>132.21699076279631</v>
      </c>
      <c r="AH129" s="1">
        <f t="shared" si="19"/>
        <v>39584</v>
      </c>
      <c r="AI129">
        <f t="shared" si="23"/>
        <v>0.96376914516856182</v>
      </c>
      <c r="AJ129">
        <f t="shared" ca="1" si="30"/>
        <v>0.8546883809363216</v>
      </c>
      <c r="AK129">
        <f t="shared" ca="1" si="31"/>
        <v>0.88472674651072725</v>
      </c>
      <c r="AL129">
        <f t="shared" ca="1" si="32"/>
        <v>0.92378359145933686</v>
      </c>
      <c r="AM129">
        <f t="shared" ca="1" si="33"/>
        <v>0.95152271503460595</v>
      </c>
      <c r="AN129">
        <f t="shared" ca="1" si="34"/>
        <v>0.97401734218070124</v>
      </c>
      <c r="AP129" s="40"/>
      <c r="AQ129" s="41"/>
    </row>
    <row r="130" spans="2:43" x14ac:dyDescent="0.25">
      <c r="B130" s="1">
        <v>39591</v>
      </c>
      <c r="C130">
        <v>1.982</v>
      </c>
      <c r="D130">
        <v>1.014</v>
      </c>
      <c r="E130" t="s">
        <v>33</v>
      </c>
      <c r="G130">
        <v>2235.33</v>
      </c>
      <c r="I130" s="14">
        <f t="shared" si="20"/>
        <v>3.7696335078533982E-2</v>
      </c>
      <c r="J130" s="15">
        <f t="shared" si="21"/>
        <v>0.10940919037199115</v>
      </c>
      <c r="K130" s="15"/>
      <c r="L130" s="15"/>
      <c r="M130" s="16">
        <f t="shared" si="22"/>
        <v>4.6008207729490991E-2</v>
      </c>
      <c r="O130" s="13">
        <f t="shared" si="24"/>
        <v>7.3552762725262566E-2</v>
      </c>
      <c r="Q130" s="5">
        <f t="shared" si="25"/>
        <v>149.21004819202648</v>
      </c>
      <c r="R130" s="6">
        <f t="shared" si="26"/>
        <v>138.30005753917925</v>
      </c>
      <c r="T130" s="11">
        <f t="shared" si="18"/>
        <v>1.0788863782631219</v>
      </c>
      <c r="V130" s="9">
        <v>39591</v>
      </c>
      <c r="W130">
        <v>7999.2</v>
      </c>
      <c r="X130">
        <v>10180.8362</v>
      </c>
      <c r="Y130" t="s">
        <v>33</v>
      </c>
      <c r="AC130" s="24">
        <f t="shared" si="27"/>
        <v>7.6663021366745479E-2</v>
      </c>
      <c r="AE130" s="5">
        <f t="shared" si="28"/>
        <v>137.19556862843035</v>
      </c>
      <c r="AF130" s="6">
        <f t="shared" si="29"/>
        <v>138.30005753917925</v>
      </c>
      <c r="AH130" s="1">
        <f t="shared" si="19"/>
        <v>39591</v>
      </c>
      <c r="AI130">
        <f t="shared" si="23"/>
        <v>0.99201382175538133</v>
      </c>
      <c r="AJ130">
        <f t="shared" ca="1" si="30"/>
        <v>0.86099701985085353</v>
      </c>
      <c r="AK130">
        <f t="shared" ca="1" si="31"/>
        <v>0.88475132337076812</v>
      </c>
      <c r="AL130">
        <f t="shared" ca="1" si="32"/>
        <v>0.92483342953218606</v>
      </c>
      <c r="AM130">
        <f t="shared" ca="1" si="33"/>
        <v>0.95644102996710945</v>
      </c>
      <c r="AN130">
        <f t="shared" ca="1" si="34"/>
        <v>0.97401734218070124</v>
      </c>
      <c r="AP130" s="40"/>
      <c r="AQ130" s="41"/>
    </row>
    <row r="131" spans="2:43" x14ac:dyDescent="0.25">
      <c r="B131" s="1">
        <v>39598</v>
      </c>
      <c r="C131">
        <v>1.962</v>
      </c>
      <c r="D131">
        <v>1.0209999999999999</v>
      </c>
      <c r="E131" t="s">
        <v>33</v>
      </c>
      <c r="G131">
        <v>2205.7199999999998</v>
      </c>
      <c r="I131" s="14">
        <f t="shared" si="20"/>
        <v>-1.0090817356205872E-2</v>
      </c>
      <c r="J131" s="15">
        <f t="shared" si="21"/>
        <v>6.9033530571991353E-3</v>
      </c>
      <c r="K131" s="15"/>
      <c r="L131" s="15"/>
      <c r="M131" s="16">
        <f t="shared" si="22"/>
        <v>-1.3246366308330426E-2</v>
      </c>
      <c r="O131" s="13">
        <f t="shared" si="24"/>
        <v>-1.5937321495033685E-3</v>
      </c>
      <c r="Q131" s="5">
        <f t="shared" si="25"/>
        <v>148.97224734119388</v>
      </c>
      <c r="R131" s="6">
        <f t="shared" si="26"/>
        <v>136.46808431655211</v>
      </c>
      <c r="T131" s="11">
        <f t="shared" si="18"/>
        <v>1.0916270136513169</v>
      </c>
      <c r="V131" s="9">
        <v>39598</v>
      </c>
      <c r="W131">
        <v>7920</v>
      </c>
      <c r="X131">
        <v>10250.329900000001</v>
      </c>
      <c r="Y131" t="s">
        <v>33</v>
      </c>
      <c r="AC131" s="24">
        <f t="shared" si="27"/>
        <v>-5.740670356667593E-4</v>
      </c>
      <c r="AE131" s="5">
        <f t="shared" si="28"/>
        <v>137.11680917504123</v>
      </c>
      <c r="AF131" s="6">
        <f t="shared" si="29"/>
        <v>136.46808431655211</v>
      </c>
      <c r="AH131" s="1">
        <f t="shared" si="19"/>
        <v>39598</v>
      </c>
      <c r="AI131">
        <f t="shared" si="23"/>
        <v>1.0047536745440373</v>
      </c>
      <c r="AJ131">
        <f t="shared" ca="1" si="30"/>
        <v>0.8701141450196509</v>
      </c>
      <c r="AK131">
        <f t="shared" ca="1" si="31"/>
        <v>0.88876868225837324</v>
      </c>
      <c r="AL131">
        <f t="shared" ca="1" si="32"/>
        <v>0.9271372737112894</v>
      </c>
      <c r="AM131">
        <f t="shared" ca="1" si="33"/>
        <v>0.96015050362201682</v>
      </c>
      <c r="AN131">
        <f t="shared" ca="1" si="34"/>
        <v>0.97848318922601596</v>
      </c>
      <c r="AP131" s="40"/>
      <c r="AQ131" s="41"/>
    </row>
    <row r="132" spans="2:43" x14ac:dyDescent="0.25">
      <c r="B132" s="1">
        <v>39605</v>
      </c>
      <c r="C132">
        <v>1.89</v>
      </c>
      <c r="D132">
        <v>1.04</v>
      </c>
      <c r="E132" t="s">
        <v>33</v>
      </c>
      <c r="G132">
        <v>2179.7199999999998</v>
      </c>
      <c r="I132" s="14">
        <f t="shared" si="20"/>
        <v>-3.669724770642202E-2</v>
      </c>
      <c r="J132" s="15">
        <f t="shared" si="21"/>
        <v>1.8609206660137323E-2</v>
      </c>
      <c r="K132" s="15"/>
      <c r="L132" s="15"/>
      <c r="M132" s="16">
        <f t="shared" si="22"/>
        <v>-1.1787534229185881E-2</v>
      </c>
      <c r="O132" s="13">
        <f t="shared" si="24"/>
        <v>-9.0440205231423487E-3</v>
      </c>
      <c r="Q132" s="5">
        <f t="shared" si="25"/>
        <v>147.62493927886149</v>
      </c>
      <c r="R132" s="6">
        <f t="shared" si="26"/>
        <v>134.85946210147932</v>
      </c>
      <c r="T132" s="11">
        <f t="shared" si="18"/>
        <v>1.0946576308288727</v>
      </c>
      <c r="V132" s="9">
        <v>39605</v>
      </c>
      <c r="W132">
        <v>7629.6</v>
      </c>
      <c r="X132">
        <v>10441.4378</v>
      </c>
      <c r="Y132" t="s">
        <v>33</v>
      </c>
      <c r="AC132" s="24">
        <f t="shared" si="27"/>
        <v>-5.497516827758734E-3</v>
      </c>
      <c r="AE132" s="5">
        <f t="shared" si="28"/>
        <v>136.36300720923285</v>
      </c>
      <c r="AF132" s="6">
        <f t="shared" si="29"/>
        <v>134.85946210147932</v>
      </c>
      <c r="AH132" s="1">
        <f t="shared" si="19"/>
        <v>39605</v>
      </c>
      <c r="AI132">
        <f t="shared" si="23"/>
        <v>1.0111489774934896</v>
      </c>
      <c r="AJ132">
        <f t="shared" ca="1" si="30"/>
        <v>0.8750844642704021</v>
      </c>
      <c r="AK132">
        <f t="shared" ca="1" si="31"/>
        <v>0.89853770002857758</v>
      </c>
      <c r="AL132">
        <f t="shared" ca="1" si="32"/>
        <v>0.93138423264246706</v>
      </c>
      <c r="AM132">
        <f t="shared" ca="1" si="33"/>
        <v>0.96425081460280637</v>
      </c>
      <c r="AN132">
        <f t="shared" ca="1" si="34"/>
        <v>0.98990756230467369</v>
      </c>
      <c r="AP132" s="40"/>
      <c r="AQ132" s="41"/>
    </row>
    <row r="133" spans="2:43" x14ac:dyDescent="0.25">
      <c r="B133" s="1">
        <v>39612</v>
      </c>
      <c r="C133">
        <v>1.825</v>
      </c>
      <c r="D133">
        <v>1.0209999999999999</v>
      </c>
      <c r="E133" t="s">
        <v>33</v>
      </c>
      <c r="G133">
        <v>2066.44</v>
      </c>
      <c r="I133" s="14">
        <f t="shared" si="20"/>
        <v>-3.4391534391534417E-2</v>
      </c>
      <c r="J133" s="15">
        <f t="shared" si="21"/>
        <v>-1.8269230769230926E-2</v>
      </c>
      <c r="K133" s="15"/>
      <c r="L133" s="15"/>
      <c r="M133" s="16">
        <f t="shared" si="22"/>
        <v>-5.1969977795313094E-2</v>
      </c>
      <c r="O133" s="13">
        <f t="shared" si="24"/>
        <v>-2.6330382580382672E-2</v>
      </c>
      <c r="Q133" s="5">
        <f t="shared" si="25"/>
        <v>143.73791814924331</v>
      </c>
      <c r="R133" s="6">
        <f t="shared" si="26"/>
        <v>127.85081885057758</v>
      </c>
      <c r="T133" s="11">
        <f t="shared" si="18"/>
        <v>1.1242627887838041</v>
      </c>
      <c r="V133" s="9">
        <v>39612</v>
      </c>
      <c r="W133">
        <v>7365.6</v>
      </c>
      <c r="X133">
        <v>10250.329900000001</v>
      </c>
      <c r="Y133" t="s">
        <v>33</v>
      </c>
      <c r="AC133" s="24">
        <f t="shared" si="27"/>
        <v>-2.5076074353871471E-2</v>
      </c>
      <c r="AE133" s="5">
        <f t="shared" si="28"/>
        <v>132.94355830133662</v>
      </c>
      <c r="AF133" s="6">
        <f t="shared" si="29"/>
        <v>127.85081885057758</v>
      </c>
      <c r="AH133" s="1">
        <f t="shared" si="19"/>
        <v>39612</v>
      </c>
      <c r="AI133">
        <f t="shared" si="23"/>
        <v>1.0398334519602181</v>
      </c>
      <c r="AJ133">
        <f t="shared" ca="1" si="30"/>
        <v>0.87510663109872688</v>
      </c>
      <c r="AK133">
        <f t="shared" ca="1" si="31"/>
        <v>0.906184743331368</v>
      </c>
      <c r="AL133">
        <f t="shared" ca="1" si="32"/>
        <v>0.93429420461439983</v>
      </c>
      <c r="AM133">
        <f t="shared" ca="1" si="33"/>
        <v>0.96592045333704502</v>
      </c>
      <c r="AN133">
        <f t="shared" ca="1" si="34"/>
        <v>0.99172662974171633</v>
      </c>
      <c r="AP133" s="40"/>
      <c r="AQ133" s="41"/>
    </row>
    <row r="134" spans="2:43" x14ac:dyDescent="0.25">
      <c r="B134" s="1">
        <v>39619</v>
      </c>
      <c r="C134">
        <v>1.7689999999999999</v>
      </c>
      <c r="D134">
        <v>0.997</v>
      </c>
      <c r="E134" t="s">
        <v>33</v>
      </c>
      <c r="G134">
        <v>2066.2800000000002</v>
      </c>
      <c r="I134" s="14">
        <f t="shared" si="20"/>
        <v>-3.0684931506849367E-2</v>
      </c>
      <c r="J134" s="15">
        <f t="shared" si="21"/>
        <v>-2.3506366307541549E-2</v>
      </c>
      <c r="K134" s="15"/>
      <c r="L134" s="15"/>
      <c r="M134" s="16">
        <f t="shared" si="22"/>
        <v>-7.7427846925104404E-5</v>
      </c>
      <c r="O134" s="13">
        <f t="shared" si="24"/>
        <v>-2.7095648907195458E-2</v>
      </c>
      <c r="Q134" s="5">
        <f t="shared" si="25"/>
        <v>139.84324598442024</v>
      </c>
      <c r="R134" s="6">
        <f t="shared" si="26"/>
        <v>127.84091963694637</v>
      </c>
      <c r="T134" s="11">
        <f t="shared" ref="T134:T197" si="35">+Q134/R134</f>
        <v>1.093884856128688</v>
      </c>
      <c r="V134" s="9">
        <v>39619</v>
      </c>
      <c r="W134">
        <v>7141.2</v>
      </c>
      <c r="X134">
        <v>10007.1018</v>
      </c>
      <c r="Y134" t="s">
        <v>33</v>
      </c>
      <c r="AC134" s="24">
        <f t="shared" si="27"/>
        <v>-2.6507879150302213E-2</v>
      </c>
      <c r="AE134" s="5">
        <f t="shared" si="28"/>
        <v>129.41950652407365</v>
      </c>
      <c r="AF134" s="6">
        <f t="shared" si="29"/>
        <v>127.84091963694637</v>
      </c>
      <c r="AH134" s="1">
        <f t="shared" ref="AH134:AH197" si="36">+B134</f>
        <v>39619</v>
      </c>
      <c r="AI134">
        <f t="shared" si="23"/>
        <v>1.0123480564095619</v>
      </c>
      <c r="AJ134">
        <f t="shared" ca="1" si="30"/>
        <v>0.87602990190085273</v>
      </c>
      <c r="AK134">
        <f t="shared" ca="1" si="31"/>
        <v>0.91075403079723238</v>
      </c>
      <c r="AL134">
        <f t="shared" ca="1" si="32"/>
        <v>0.93523056397491511</v>
      </c>
      <c r="AM134">
        <f t="shared" ca="1" si="33"/>
        <v>0.96752592637223822</v>
      </c>
      <c r="AN134">
        <f t="shared" ca="1" si="34"/>
        <v>0.99195498016644212</v>
      </c>
      <c r="AP134" s="40"/>
      <c r="AQ134" s="41"/>
    </row>
    <row r="135" spans="2:43" x14ac:dyDescent="0.25">
      <c r="B135" s="1">
        <v>39626</v>
      </c>
      <c r="C135">
        <v>1.7330000000000001</v>
      </c>
      <c r="D135">
        <v>1.028</v>
      </c>
      <c r="E135" t="s">
        <v>33</v>
      </c>
      <c r="G135">
        <v>2093.0100000000002</v>
      </c>
      <c r="I135" s="14">
        <f t="shared" ref="I135:I198" si="37">+C135/C134-1</f>
        <v>-2.0350480497456136E-2</v>
      </c>
      <c r="J135" s="15">
        <f t="shared" ref="J135:J198" si="38">+D135/D134-1</f>
        <v>3.1093279839518484E-2</v>
      </c>
      <c r="K135" s="15"/>
      <c r="L135" s="15"/>
      <c r="M135" s="16">
        <f t="shared" ref="M135:M198" si="39">+G135/G134-1</f>
        <v>1.2936291306115288E-2</v>
      </c>
      <c r="O135" s="13">
        <f t="shared" si="24"/>
        <v>5.371399671031174E-3</v>
      </c>
      <c r="Q135" s="5">
        <f t="shared" si="25"/>
        <v>140.59439994989688</v>
      </c>
      <c r="R135" s="6">
        <f t="shared" si="26"/>
        <v>129.49470701421157</v>
      </c>
      <c r="T135" s="11">
        <f t="shared" si="35"/>
        <v>1.0857154179627371</v>
      </c>
      <c r="V135" s="9">
        <v>39626</v>
      </c>
      <c r="W135">
        <v>6996</v>
      </c>
      <c r="X135">
        <v>10319.823700000001</v>
      </c>
      <c r="Y135" t="s">
        <v>33</v>
      </c>
      <c r="AC135" s="24">
        <f t="shared" si="27"/>
        <v>9.6701566869738294E-3</v>
      </c>
      <c r="AE135" s="5">
        <f t="shared" si="28"/>
        <v>130.67101343051229</v>
      </c>
      <c r="AF135" s="6">
        <f t="shared" si="29"/>
        <v>129.49470701421157</v>
      </c>
      <c r="AH135" s="1">
        <f t="shared" si="36"/>
        <v>39626</v>
      </c>
      <c r="AI135">
        <f t="shared" ref="AI135:AI198" si="40">+(AE135/$AE$6)/(AF135/$AF$6)</f>
        <v>1.0090838185082855</v>
      </c>
      <c r="AJ135">
        <f t="shared" ca="1" si="30"/>
        <v>0.87816019681638124</v>
      </c>
      <c r="AK135">
        <f t="shared" ca="1" si="31"/>
        <v>0.91413398938996782</v>
      </c>
      <c r="AL135">
        <f t="shared" ca="1" si="32"/>
        <v>0.93524782578588339</v>
      </c>
      <c r="AM135">
        <f t="shared" ca="1" si="33"/>
        <v>0.9703502336926173</v>
      </c>
      <c r="AN135">
        <f t="shared" ca="1" si="34"/>
        <v>0.99200973026434025</v>
      </c>
      <c r="AP135" s="40"/>
      <c r="AQ135" s="41"/>
    </row>
    <row r="136" spans="2:43" x14ac:dyDescent="0.25">
      <c r="B136" s="1">
        <v>39633</v>
      </c>
      <c r="C136">
        <v>1.609</v>
      </c>
      <c r="D136">
        <v>0.95899999999999996</v>
      </c>
      <c r="E136" t="s">
        <v>33</v>
      </c>
      <c r="G136">
        <v>2006.44</v>
      </c>
      <c r="I136" s="14">
        <f t="shared" si="37"/>
        <v>-7.1552221581073328E-2</v>
      </c>
      <c r="J136" s="15">
        <f t="shared" si="38"/>
        <v>-6.712062256809348E-2</v>
      </c>
      <c r="K136" s="15"/>
      <c r="L136" s="15"/>
      <c r="M136" s="16">
        <f t="shared" si="39"/>
        <v>-4.1361484178288777E-2</v>
      </c>
      <c r="O136" s="13">
        <f t="shared" ref="O136:O199" si="41">+AVERAGE(I136:J136)</f>
        <v>-6.9336422074583404E-2</v>
      </c>
      <c r="Q136" s="5">
        <f t="shared" ref="Q136:Q199" si="42">+Q135*(1+O136)</f>
        <v>130.84608729364805</v>
      </c>
      <c r="R136" s="6">
        <f t="shared" ref="R136:R199" si="43">+R135*(1+M136)</f>
        <v>124.13861373887111</v>
      </c>
      <c r="T136" s="11">
        <f t="shared" si="35"/>
        <v>1.0540321287048227</v>
      </c>
      <c r="V136" s="9">
        <v>39633</v>
      </c>
      <c r="W136">
        <v>6494.4</v>
      </c>
      <c r="X136">
        <v>9624.8860999999997</v>
      </c>
      <c r="Y136" t="s">
        <v>33</v>
      </c>
      <c r="AC136" s="24">
        <f t="shared" ref="AC136:AC199" si="44">+SUMPRODUCT(I136:L136,W135:Z135)/SUM(W135:AA135)</f>
        <v>-6.8911092789548045E-2</v>
      </c>
      <c r="AE136" s="5">
        <f t="shared" ref="AE136:AE199" si="45">+AE135*(1+AC136)</f>
        <v>121.66633109909799</v>
      </c>
      <c r="AF136" s="6">
        <f t="shared" ref="AF136:AF199" si="46">+AF135*(1+M136)</f>
        <v>124.13861373887111</v>
      </c>
      <c r="AH136" s="1">
        <f t="shared" si="36"/>
        <v>39633</v>
      </c>
      <c r="AI136">
        <f t="shared" si="40"/>
        <v>0.98008449937282494</v>
      </c>
      <c r="AJ136">
        <f t="shared" ca="1" si="30"/>
        <v>0.88472469440258528</v>
      </c>
      <c r="AK136">
        <f t="shared" ca="1" si="31"/>
        <v>0.91637709332287931</v>
      </c>
      <c r="AL136">
        <f t="shared" ca="1" si="32"/>
        <v>0.93808754685815954</v>
      </c>
      <c r="AM136">
        <f t="shared" ca="1" si="33"/>
        <v>0.97101755817482582</v>
      </c>
      <c r="AN136">
        <f t="shared" ca="1" si="34"/>
        <v>1.0034796892651716</v>
      </c>
      <c r="AP136" s="40"/>
      <c r="AQ136" s="41"/>
    </row>
    <row r="137" spans="2:43" x14ac:dyDescent="0.25">
      <c r="B137" s="1">
        <v>39640</v>
      </c>
      <c r="C137">
        <v>1.609</v>
      </c>
      <c r="D137">
        <v>0.9</v>
      </c>
      <c r="E137" t="s">
        <v>33</v>
      </c>
      <c r="G137">
        <v>1906.52</v>
      </c>
      <c r="I137" s="14">
        <f t="shared" si="37"/>
        <v>0</v>
      </c>
      <c r="J137" s="15">
        <f t="shared" si="38"/>
        <v>-6.1522419186652688E-2</v>
      </c>
      <c r="K137" s="15"/>
      <c r="L137" s="15"/>
      <c r="M137" s="16">
        <f t="shared" si="39"/>
        <v>-4.9799645142640681E-2</v>
      </c>
      <c r="O137" s="13">
        <f t="shared" si="41"/>
        <v>-3.0761209593326344E-2</v>
      </c>
      <c r="Q137" s="5">
        <f t="shared" si="42"/>
        <v>126.82110337794148</v>
      </c>
      <c r="R137" s="6">
        <f t="shared" si="43"/>
        <v>117.95655482617599</v>
      </c>
      <c r="T137" s="11">
        <f t="shared" si="35"/>
        <v>1.0751509618505604</v>
      </c>
      <c r="V137" s="9">
        <v>39640</v>
      </c>
      <c r="W137">
        <v>6494.4</v>
      </c>
      <c r="X137">
        <v>9034.1890999999996</v>
      </c>
      <c r="Y137" t="s">
        <v>33</v>
      </c>
      <c r="AC137" s="24">
        <f t="shared" si="44"/>
        <v>-3.673526690912117E-2</v>
      </c>
      <c r="AE137" s="5">
        <f t="shared" si="45"/>
        <v>117.19688595231911</v>
      </c>
      <c r="AF137" s="6">
        <f t="shared" si="46"/>
        <v>117.95655482617599</v>
      </c>
      <c r="AH137" s="1">
        <f t="shared" si="36"/>
        <v>39640</v>
      </c>
      <c r="AI137">
        <f t="shared" si="40"/>
        <v>0.99355975702260579</v>
      </c>
      <c r="AJ137">
        <f t="shared" ca="1" si="30"/>
        <v>0.88472786608094234</v>
      </c>
      <c r="AK137">
        <f t="shared" ca="1" si="31"/>
        <v>0.91709110334985222</v>
      </c>
      <c r="AL137">
        <f t="shared" ca="1" si="32"/>
        <v>0.94214308961492299</v>
      </c>
      <c r="AM137">
        <f t="shared" ca="1" si="33"/>
        <v>0.97310454758200438</v>
      </c>
      <c r="AN137">
        <f t="shared" ca="1" si="34"/>
        <v>1.0034796892651716</v>
      </c>
      <c r="AP137" s="40"/>
      <c r="AQ137" s="41"/>
    </row>
    <row r="138" spans="2:43" x14ac:dyDescent="0.25">
      <c r="B138" s="1">
        <v>39647</v>
      </c>
      <c r="C138">
        <v>1.55</v>
      </c>
      <c r="D138">
        <v>0.91600000000000004</v>
      </c>
      <c r="E138" t="s">
        <v>33</v>
      </c>
      <c r="G138">
        <v>1907.11</v>
      </c>
      <c r="I138" s="14">
        <f t="shared" si="37"/>
        <v>-3.6668738346799179E-2</v>
      </c>
      <c r="J138" s="15">
        <f t="shared" si="38"/>
        <v>1.7777777777777892E-2</v>
      </c>
      <c r="K138" s="15"/>
      <c r="L138" s="15"/>
      <c r="M138" s="16">
        <f t="shared" si="39"/>
        <v>3.0946436439172054E-4</v>
      </c>
      <c r="O138" s="13">
        <f t="shared" si="41"/>
        <v>-9.4454802845106434E-3</v>
      </c>
      <c r="Q138" s="5">
        <f t="shared" si="42"/>
        <v>125.62321714632525</v>
      </c>
      <c r="R138" s="6">
        <f t="shared" si="43"/>
        <v>117.99305817644111</v>
      </c>
      <c r="T138" s="11">
        <f t="shared" si="35"/>
        <v>1.0646661683984355</v>
      </c>
      <c r="V138" s="9">
        <v>39647</v>
      </c>
      <c r="W138">
        <v>6256.8</v>
      </c>
      <c r="X138">
        <v>9190.5501000000004</v>
      </c>
      <c r="Y138" t="s">
        <v>33</v>
      </c>
      <c r="AC138" s="24">
        <f t="shared" si="44"/>
        <v>-4.992961536810149E-3</v>
      </c>
      <c r="AE138" s="5">
        <f t="shared" si="45"/>
        <v>116.61172640852524</v>
      </c>
      <c r="AF138" s="6">
        <f t="shared" si="46"/>
        <v>117.99305817644111</v>
      </c>
      <c r="AH138" s="1">
        <f t="shared" si="36"/>
        <v>39647</v>
      </c>
      <c r="AI138">
        <f t="shared" si="40"/>
        <v>0.98829310987219021</v>
      </c>
      <c r="AJ138">
        <f t="shared" ca="1" si="30"/>
        <v>0.8852938431922226</v>
      </c>
      <c r="AK138">
        <f t="shared" ca="1" si="31"/>
        <v>0.91840243688282219</v>
      </c>
      <c r="AL138">
        <f t="shared" ca="1" si="32"/>
        <v>0.94338048288227228</v>
      </c>
      <c r="AM138">
        <f t="shared" ca="1" si="33"/>
        <v>0.97535927687092161</v>
      </c>
      <c r="AN138">
        <f t="shared" ca="1" si="34"/>
        <v>1.003634282791894</v>
      </c>
      <c r="AP138" s="40"/>
      <c r="AQ138" s="41"/>
    </row>
    <row r="139" spans="2:43" x14ac:dyDescent="0.25">
      <c r="B139" s="1">
        <v>39654</v>
      </c>
      <c r="C139">
        <v>1.53</v>
      </c>
      <c r="D139">
        <v>0.89700000000000002</v>
      </c>
      <c r="E139" t="s">
        <v>33</v>
      </c>
      <c r="G139">
        <v>1910.23</v>
      </c>
      <c r="I139" s="14">
        <f t="shared" si="37"/>
        <v>-1.2903225806451646E-2</v>
      </c>
      <c r="J139" s="15">
        <f t="shared" si="38"/>
        <v>-2.0742358078602585E-2</v>
      </c>
      <c r="K139" s="15"/>
      <c r="L139" s="15"/>
      <c r="M139" s="16">
        <f t="shared" si="39"/>
        <v>1.6359832416588116E-3</v>
      </c>
      <c r="O139" s="13">
        <f t="shared" si="41"/>
        <v>-1.6822791942527116E-2</v>
      </c>
      <c r="Q139" s="5">
        <f t="shared" si="42"/>
        <v>123.50988390112171</v>
      </c>
      <c r="R139" s="6">
        <f t="shared" si="43"/>
        <v>118.18609284224983</v>
      </c>
      <c r="T139" s="11">
        <f t="shared" si="35"/>
        <v>1.0450458334888679</v>
      </c>
      <c r="V139" s="9">
        <v>39654</v>
      </c>
      <c r="W139">
        <v>6177.6</v>
      </c>
      <c r="X139">
        <v>8999.4421999999995</v>
      </c>
      <c r="Y139" t="s">
        <v>33</v>
      </c>
      <c r="AC139" s="24">
        <f t="shared" si="44"/>
        <v>-1.7567193245613271E-2</v>
      </c>
      <c r="AE139" s="5">
        <f t="shared" si="45"/>
        <v>114.56318567600209</v>
      </c>
      <c r="AF139" s="6">
        <f t="shared" si="46"/>
        <v>118.18609284224983</v>
      </c>
      <c r="AH139" s="1">
        <f t="shared" si="36"/>
        <v>39654</v>
      </c>
      <c r="AI139">
        <f t="shared" si="40"/>
        <v>0.96934574044102251</v>
      </c>
      <c r="AJ139">
        <f t="shared" ca="1" si="30"/>
        <v>0.8912294976497841</v>
      </c>
      <c r="AK139">
        <f t="shared" ca="1" si="31"/>
        <v>0.91999196453836773</v>
      </c>
      <c r="AL139">
        <f t="shared" ca="1" si="32"/>
        <v>0.94377860927999824</v>
      </c>
      <c r="AM139">
        <f t="shared" ca="1" si="33"/>
        <v>0.97924396818830595</v>
      </c>
      <c r="AN139">
        <f t="shared" ca="1" si="34"/>
        <v>1.003634282791894</v>
      </c>
      <c r="AP139" s="40"/>
      <c r="AQ139" s="41"/>
    </row>
    <row r="140" spans="2:43" x14ac:dyDescent="0.25">
      <c r="B140" s="1">
        <v>39661</v>
      </c>
      <c r="C140">
        <v>1.494</v>
      </c>
      <c r="D140">
        <v>0.93</v>
      </c>
      <c r="E140" t="s">
        <v>33</v>
      </c>
      <c r="G140">
        <v>1884.06</v>
      </c>
      <c r="I140" s="14">
        <f t="shared" si="37"/>
        <v>-2.352941176470591E-2</v>
      </c>
      <c r="J140" s="15">
        <f t="shared" si="38"/>
        <v>3.6789297658862852E-2</v>
      </c>
      <c r="K140" s="15"/>
      <c r="L140" s="15"/>
      <c r="M140" s="16">
        <f t="shared" si="39"/>
        <v>-1.3699920951927291E-2</v>
      </c>
      <c r="O140" s="13">
        <f t="shared" si="41"/>
        <v>6.629942947078471E-3</v>
      </c>
      <c r="Q140" s="5">
        <f t="shared" si="42"/>
        <v>124.32874738478642</v>
      </c>
      <c r="R140" s="6">
        <f t="shared" si="43"/>
        <v>116.56695271269388</v>
      </c>
      <c r="T140" s="11">
        <f t="shared" si="35"/>
        <v>1.0665865795704832</v>
      </c>
      <c r="V140" s="9">
        <v>39661</v>
      </c>
      <c r="W140">
        <v>6032.4</v>
      </c>
      <c r="X140">
        <v>9329.5375999999997</v>
      </c>
      <c r="Y140" t="s">
        <v>33</v>
      </c>
      <c r="AC140" s="24">
        <f t="shared" si="44"/>
        <v>1.2237421580199881E-2</v>
      </c>
      <c r="AE140" s="5">
        <f t="shared" si="45"/>
        <v>115.96514367669005</v>
      </c>
      <c r="AF140" s="6">
        <f t="shared" si="46"/>
        <v>116.56695271269388</v>
      </c>
      <c r="AH140" s="1">
        <f t="shared" si="36"/>
        <v>39661</v>
      </c>
      <c r="AI140">
        <f t="shared" si="40"/>
        <v>0.99483722425611365</v>
      </c>
      <c r="AJ140">
        <f t="shared" ca="1" si="30"/>
        <v>0.90199337326188089</v>
      </c>
      <c r="AK140">
        <f t="shared" ca="1" si="31"/>
        <v>0.9206703725757216</v>
      </c>
      <c r="AL140">
        <f t="shared" ca="1" si="32"/>
        <v>0.94671338820950757</v>
      </c>
      <c r="AM140">
        <f t="shared" ca="1" si="33"/>
        <v>0.97924396818830595</v>
      </c>
      <c r="AN140">
        <f t="shared" ca="1" si="34"/>
        <v>1.003634282791894</v>
      </c>
      <c r="AP140" s="40"/>
      <c r="AQ140" s="41"/>
    </row>
    <row r="141" spans="2:43" x14ac:dyDescent="0.25">
      <c r="B141" s="1">
        <v>39668</v>
      </c>
      <c r="C141">
        <v>1.373</v>
      </c>
      <c r="D141">
        <v>0.9</v>
      </c>
      <c r="E141" t="s">
        <v>33</v>
      </c>
      <c r="G141">
        <v>1776.66</v>
      </c>
      <c r="I141" s="14">
        <f t="shared" si="37"/>
        <v>-8.0990629183400276E-2</v>
      </c>
      <c r="J141" s="15">
        <f t="shared" si="38"/>
        <v>-3.2258064516129115E-2</v>
      </c>
      <c r="K141" s="15"/>
      <c r="L141" s="15"/>
      <c r="M141" s="16">
        <f t="shared" si="39"/>
        <v>-5.700455399509563E-2</v>
      </c>
      <c r="O141" s="13">
        <f t="shared" si="41"/>
        <v>-5.6624346849764695E-2</v>
      </c>
      <c r="Q141" s="5">
        <f t="shared" si="42"/>
        <v>117.2887132694735</v>
      </c>
      <c r="R141" s="6">
        <f t="shared" si="43"/>
        <v>109.92210556273936</v>
      </c>
      <c r="T141" s="11">
        <f t="shared" si="35"/>
        <v>1.0670166175313078</v>
      </c>
      <c r="V141" s="9">
        <v>39668</v>
      </c>
      <c r="W141">
        <v>5544</v>
      </c>
      <c r="X141">
        <v>9034.1890999999996</v>
      </c>
      <c r="Y141" t="s">
        <v>33</v>
      </c>
      <c r="AC141" s="24">
        <f t="shared" si="44"/>
        <v>-5.1394603848175777E-2</v>
      </c>
      <c r="AE141" s="5">
        <f t="shared" si="45"/>
        <v>110.00516105722978</v>
      </c>
      <c r="AF141" s="6">
        <f t="shared" si="46"/>
        <v>109.92210556273936</v>
      </c>
      <c r="AH141" s="1">
        <f t="shared" si="36"/>
        <v>39668</v>
      </c>
      <c r="AI141">
        <f t="shared" si="40"/>
        <v>1.0007555850032643</v>
      </c>
      <c r="AJ141">
        <f t="shared" ca="1" si="30"/>
        <v>0.90819110501664557</v>
      </c>
      <c r="AK141">
        <f t="shared" ca="1" si="31"/>
        <v>0.92227553062018763</v>
      </c>
      <c r="AL141">
        <f t="shared" ca="1" si="32"/>
        <v>0.9497151793973968</v>
      </c>
      <c r="AM141">
        <f t="shared" ca="1" si="33"/>
        <v>0.9821366519976662</v>
      </c>
      <c r="AN141">
        <f t="shared" ca="1" si="34"/>
        <v>1.003762029515245</v>
      </c>
      <c r="AP141" s="40"/>
      <c r="AQ141" s="41"/>
    </row>
    <row r="142" spans="2:43" x14ac:dyDescent="0.25">
      <c r="B142" s="1">
        <v>39675</v>
      </c>
      <c r="C142">
        <v>1.373</v>
      </c>
      <c r="D142">
        <v>0.88600000000000001</v>
      </c>
      <c r="E142" t="s">
        <v>33</v>
      </c>
      <c r="G142">
        <v>1733.79</v>
      </c>
      <c r="I142" s="14">
        <f t="shared" si="37"/>
        <v>0</v>
      </c>
      <c r="J142" s="15">
        <f t="shared" si="38"/>
        <v>-1.5555555555555545E-2</v>
      </c>
      <c r="K142" s="15"/>
      <c r="L142" s="15"/>
      <c r="M142" s="16">
        <f t="shared" si="39"/>
        <v>-2.4129546452332007E-2</v>
      </c>
      <c r="O142" s="13">
        <f t="shared" si="41"/>
        <v>-7.7777777777777724E-3</v>
      </c>
      <c r="Q142" s="5">
        <f t="shared" si="42"/>
        <v>116.37646772182204</v>
      </c>
      <c r="R142" s="6">
        <f t="shared" si="43"/>
        <v>107.26973501042509</v>
      </c>
      <c r="T142" s="11">
        <f t="shared" si="35"/>
        <v>1.0848956391149087</v>
      </c>
      <c r="V142" s="9">
        <v>39675</v>
      </c>
      <c r="W142">
        <v>5544</v>
      </c>
      <c r="X142">
        <v>8895.2016000000003</v>
      </c>
      <c r="Y142" t="s">
        <v>33</v>
      </c>
      <c r="AC142" s="24">
        <f t="shared" si="44"/>
        <v>-9.6398688122686215E-3</v>
      </c>
      <c r="AE142" s="5">
        <f t="shared" si="45"/>
        <v>108.9447257359656</v>
      </c>
      <c r="AF142" s="6">
        <f t="shared" si="46"/>
        <v>107.26973501042509</v>
      </c>
      <c r="AH142" s="1">
        <f t="shared" si="36"/>
        <v>39675</v>
      </c>
      <c r="AI142">
        <f t="shared" si="40"/>
        <v>1.015614755880377</v>
      </c>
      <c r="AJ142">
        <f t="shared" ca="1" si="30"/>
        <v>0.91205900053645939</v>
      </c>
      <c r="AK142">
        <f t="shared" ca="1" si="31"/>
        <v>0.92428596577639677</v>
      </c>
      <c r="AL142">
        <f t="shared" ca="1" si="32"/>
        <v>0.95288401336698947</v>
      </c>
      <c r="AM142">
        <f t="shared" ca="1" si="33"/>
        <v>0.98900071662414091</v>
      </c>
      <c r="AN142">
        <f t="shared" ca="1" si="34"/>
        <v>1.00435386558996</v>
      </c>
      <c r="AP142" s="40"/>
      <c r="AQ142" s="41"/>
    </row>
    <row r="143" spans="2:43" x14ac:dyDescent="0.25">
      <c r="B143" s="1">
        <v>39682</v>
      </c>
      <c r="C143">
        <v>1.367</v>
      </c>
      <c r="D143">
        <v>0.94199999999999995</v>
      </c>
      <c r="E143" t="s">
        <v>33</v>
      </c>
      <c r="G143">
        <v>1760.98</v>
      </c>
      <c r="I143" s="14">
        <f t="shared" si="37"/>
        <v>-4.3699927166788166E-3</v>
      </c>
      <c r="J143" s="15">
        <f t="shared" si="38"/>
        <v>6.3205417607223424E-2</v>
      </c>
      <c r="K143" s="15"/>
      <c r="L143" s="15"/>
      <c r="M143" s="16">
        <f t="shared" si="39"/>
        <v>1.5682406750529232E-2</v>
      </c>
      <c r="O143" s="13">
        <f t="shared" si="41"/>
        <v>2.9417712445272304E-2</v>
      </c>
      <c r="Q143" s="5">
        <f t="shared" si="42"/>
        <v>119.79999718465912</v>
      </c>
      <c r="R143" s="6">
        <f t="shared" si="43"/>
        <v>108.95198262688007</v>
      </c>
      <c r="T143" s="11">
        <f t="shared" si="35"/>
        <v>1.0995669311950886</v>
      </c>
      <c r="V143" s="9">
        <v>39682</v>
      </c>
      <c r="W143">
        <v>5517.6</v>
      </c>
      <c r="X143">
        <v>9451.1517000000003</v>
      </c>
      <c r="Y143" t="s">
        <v>33</v>
      </c>
      <c r="AC143" s="24">
        <f t="shared" si="44"/>
        <v>3.7259518019831142E-2</v>
      </c>
      <c r="AE143" s="5">
        <f t="shared" si="45"/>
        <v>113.00395370769039</v>
      </c>
      <c r="AF143" s="6">
        <f t="shared" si="46"/>
        <v>108.95198262688007</v>
      </c>
      <c r="AH143" s="1">
        <f t="shared" si="36"/>
        <v>39682</v>
      </c>
      <c r="AI143">
        <f t="shared" si="40"/>
        <v>1.0371904299776427</v>
      </c>
      <c r="AJ143">
        <f t="shared" ca="1" si="30"/>
        <v>0.91512473286552554</v>
      </c>
      <c r="AK143">
        <f t="shared" ca="1" si="31"/>
        <v>0.92485597425155086</v>
      </c>
      <c r="AL143">
        <f t="shared" ca="1" si="32"/>
        <v>0.95727544990246249</v>
      </c>
      <c r="AM143">
        <f t="shared" ca="1" si="33"/>
        <v>0.99129106267491618</v>
      </c>
      <c r="AN143">
        <f t="shared" ca="1" si="34"/>
        <v>1.0086508041118607</v>
      </c>
      <c r="AP143" s="40"/>
      <c r="AQ143" s="41"/>
    </row>
    <row r="144" spans="2:43" x14ac:dyDescent="0.25">
      <c r="B144" s="1">
        <v>39689</v>
      </c>
      <c r="C144">
        <v>1.373</v>
      </c>
      <c r="D144">
        <v>0.86899999999999999</v>
      </c>
      <c r="E144" t="s">
        <v>33</v>
      </c>
      <c r="G144">
        <v>1777.14</v>
      </c>
      <c r="I144" s="14">
        <f t="shared" si="37"/>
        <v>4.3891733723482318E-3</v>
      </c>
      <c r="J144" s="15">
        <f t="shared" si="38"/>
        <v>-7.7494692144373656E-2</v>
      </c>
      <c r="K144" s="15"/>
      <c r="L144" s="15"/>
      <c r="M144" s="16">
        <f t="shared" si="39"/>
        <v>9.1767084237186491E-3</v>
      </c>
      <c r="O144" s="13">
        <f t="shared" si="41"/>
        <v>-3.6552759386012712E-2</v>
      </c>
      <c r="Q144" s="5">
        <f t="shared" si="42"/>
        <v>115.42097671312328</v>
      </c>
      <c r="R144" s="6">
        <f t="shared" si="43"/>
        <v>109.95180320363301</v>
      </c>
      <c r="T144" s="11">
        <f t="shared" si="35"/>
        <v>1.0497415535728982</v>
      </c>
      <c r="V144" s="9">
        <v>39689</v>
      </c>
      <c r="W144">
        <v>5544</v>
      </c>
      <c r="X144">
        <v>8721.4671999999991</v>
      </c>
      <c r="Y144" t="s">
        <v>33</v>
      </c>
      <c r="AC144" s="24">
        <f t="shared" si="44"/>
        <v>-4.7311653142192552E-2</v>
      </c>
      <c r="AE144" s="5">
        <f t="shared" si="45"/>
        <v>107.65754984617575</v>
      </c>
      <c r="AF144" s="6">
        <f t="shared" si="46"/>
        <v>109.95180320363301</v>
      </c>
      <c r="AH144" s="1">
        <f t="shared" si="36"/>
        <v>39689</v>
      </c>
      <c r="AI144">
        <f t="shared" si="40"/>
        <v>0.97913400880558321</v>
      </c>
      <c r="AJ144">
        <f t="shared" ca="1" si="30"/>
        <v>0.91688974814559365</v>
      </c>
      <c r="AK144">
        <f t="shared" ca="1" si="31"/>
        <v>0.92826665108147632</v>
      </c>
      <c r="AL144">
        <f t="shared" ca="1" si="32"/>
        <v>0.96135671747086515</v>
      </c>
      <c r="AM144">
        <f t="shared" ca="1" si="33"/>
        <v>0.9918384567560069</v>
      </c>
      <c r="AN144">
        <f t="shared" ca="1" si="34"/>
        <v>1.0109424615949691</v>
      </c>
      <c r="AP144" s="40"/>
      <c r="AQ144" s="41"/>
    </row>
    <row r="145" spans="2:43" x14ac:dyDescent="0.25">
      <c r="B145" s="1">
        <v>39696</v>
      </c>
      <c r="C145">
        <v>1.4550000000000001</v>
      </c>
      <c r="D145">
        <v>0.84799999999999998</v>
      </c>
      <c r="E145" t="s">
        <v>33</v>
      </c>
      <c r="G145">
        <v>1678.74</v>
      </c>
      <c r="I145" s="14">
        <f t="shared" si="37"/>
        <v>5.9723233794610309E-2</v>
      </c>
      <c r="J145" s="15">
        <f t="shared" si="38"/>
        <v>-2.4165707710011475E-2</v>
      </c>
      <c r="K145" s="15"/>
      <c r="L145" s="15"/>
      <c r="M145" s="16">
        <f t="shared" si="39"/>
        <v>-5.5369863938688035E-2</v>
      </c>
      <c r="O145" s="13">
        <f t="shared" si="41"/>
        <v>1.7778763042299417E-2</v>
      </c>
      <c r="Q145" s="5">
        <f t="shared" si="42"/>
        <v>117.47301890821666</v>
      </c>
      <c r="R145" s="6">
        <f t="shared" si="43"/>
        <v>103.86378682043444</v>
      </c>
      <c r="T145" s="11">
        <f t="shared" si="35"/>
        <v>1.1310296158497535</v>
      </c>
      <c r="V145" s="9">
        <v>39696</v>
      </c>
      <c r="W145">
        <v>5874</v>
      </c>
      <c r="X145">
        <v>8512.9858999999997</v>
      </c>
      <c r="Y145" t="s">
        <v>33</v>
      </c>
      <c r="AC145" s="24">
        <f t="shared" si="44"/>
        <v>8.4361191479005622E-3</v>
      </c>
      <c r="AE145" s="5">
        <f t="shared" si="45"/>
        <v>108.56576176384914</v>
      </c>
      <c r="AF145" s="6">
        <f t="shared" si="46"/>
        <v>103.86378682043444</v>
      </c>
      <c r="AH145" s="1">
        <f t="shared" si="36"/>
        <v>39696</v>
      </c>
      <c r="AI145">
        <f t="shared" si="40"/>
        <v>1.0452705903313897</v>
      </c>
      <c r="AJ145">
        <f t="shared" ca="1" si="30"/>
        <v>0.91733306622233446</v>
      </c>
      <c r="AK145">
        <f t="shared" ca="1" si="31"/>
        <v>0.93237833473786891</v>
      </c>
      <c r="AL145">
        <f t="shared" ca="1" si="32"/>
        <v>0.96473248403705092</v>
      </c>
      <c r="AM145">
        <f t="shared" ca="1" si="33"/>
        <v>0.9918384567560069</v>
      </c>
      <c r="AN145">
        <f t="shared" ca="1" si="34"/>
        <v>1.0109424615949691</v>
      </c>
      <c r="AP145" s="40"/>
      <c r="AQ145" s="41"/>
    </row>
    <row r="146" spans="2:43" x14ac:dyDescent="0.25">
      <c r="B146" s="1">
        <v>39703</v>
      </c>
      <c r="C146">
        <v>1.357</v>
      </c>
      <c r="D146">
        <v>0.85699999999999998</v>
      </c>
      <c r="E146" t="s">
        <v>33</v>
      </c>
      <c r="G146">
        <v>1647.65</v>
      </c>
      <c r="I146" s="14">
        <f t="shared" si="37"/>
        <v>-6.7353951890034458E-2</v>
      </c>
      <c r="J146" s="15">
        <f t="shared" si="38"/>
        <v>1.0613207547169878E-2</v>
      </c>
      <c r="K146" s="15"/>
      <c r="L146" s="15"/>
      <c r="M146" s="16">
        <f t="shared" si="39"/>
        <v>-1.8519842262649355E-2</v>
      </c>
      <c r="O146" s="13">
        <f t="shared" si="41"/>
        <v>-2.837037217143229E-2</v>
      </c>
      <c r="Q146" s="5">
        <f t="shared" si="42"/>
        <v>114.14026564168884</v>
      </c>
      <c r="R146" s="6">
        <f t="shared" si="43"/>
        <v>101.94024587171856</v>
      </c>
      <c r="T146" s="11">
        <f t="shared" si="35"/>
        <v>1.1196781473857025</v>
      </c>
      <c r="V146" s="9">
        <v>39703</v>
      </c>
      <c r="W146">
        <v>5478</v>
      </c>
      <c r="X146">
        <v>8599.8531000000003</v>
      </c>
      <c r="Y146" t="s">
        <v>33</v>
      </c>
      <c r="AC146" s="24">
        <f t="shared" si="44"/>
        <v>-2.1219665419928691E-2</v>
      </c>
      <c r="AE146" s="5">
        <f t="shared" si="45"/>
        <v>106.26203262316056</v>
      </c>
      <c r="AF146" s="6">
        <f t="shared" si="46"/>
        <v>101.94024587171856</v>
      </c>
      <c r="AH146" s="1">
        <f t="shared" si="36"/>
        <v>39703</v>
      </c>
      <c r="AI146">
        <f t="shared" si="40"/>
        <v>1.0423952945618804</v>
      </c>
      <c r="AJ146">
        <f t="shared" ca="1" si="30"/>
        <v>0.91897083079039088</v>
      </c>
      <c r="AK146">
        <f t="shared" ca="1" si="31"/>
        <v>0.93475508850496425</v>
      </c>
      <c r="AL146">
        <f t="shared" ca="1" si="32"/>
        <v>0.96614508376855002</v>
      </c>
      <c r="AM146">
        <f t="shared" ca="1" si="33"/>
        <v>0.99198313557257334</v>
      </c>
      <c r="AN146">
        <f t="shared" ca="1" si="34"/>
        <v>1.0122281485179547</v>
      </c>
      <c r="AP146" s="40"/>
      <c r="AQ146" s="41"/>
    </row>
    <row r="147" spans="2:43" x14ac:dyDescent="0.25">
      <c r="B147" s="1">
        <v>39710</v>
      </c>
      <c r="C147">
        <v>1.373</v>
      </c>
      <c r="D147">
        <v>0.873</v>
      </c>
      <c r="E147" t="s">
        <v>33</v>
      </c>
      <c r="G147">
        <v>1662.52</v>
      </c>
      <c r="I147" s="14">
        <f t="shared" si="37"/>
        <v>1.179071481208549E-2</v>
      </c>
      <c r="J147" s="15">
        <f t="shared" si="38"/>
        <v>1.8669778296382722E-2</v>
      </c>
      <c r="K147" s="15"/>
      <c r="L147" s="15"/>
      <c r="M147" s="16">
        <f t="shared" si="39"/>
        <v>9.0249749643431798E-3</v>
      </c>
      <c r="O147" s="13">
        <f t="shared" si="41"/>
        <v>1.5230246554234106E-2</v>
      </c>
      <c r="Q147" s="5">
        <f t="shared" si="42"/>
        <v>115.87865002917755</v>
      </c>
      <c r="R147" s="6">
        <f t="shared" si="43"/>
        <v>102.86025403856981</v>
      </c>
      <c r="T147" s="11">
        <f t="shared" si="35"/>
        <v>1.1265639105433882</v>
      </c>
      <c r="V147" s="9">
        <v>39710</v>
      </c>
      <c r="W147">
        <v>5544</v>
      </c>
      <c r="X147">
        <v>8756.2139999999999</v>
      </c>
      <c r="Y147" t="s">
        <v>33</v>
      </c>
      <c r="AC147" s="24">
        <f t="shared" si="44"/>
        <v>1.5992984505504182E-2</v>
      </c>
      <c r="AE147" s="5">
        <f t="shared" si="45"/>
        <v>107.96147966442615</v>
      </c>
      <c r="AF147" s="6">
        <f t="shared" si="46"/>
        <v>102.86025403856981</v>
      </c>
      <c r="AH147" s="1">
        <f t="shared" si="36"/>
        <v>39710</v>
      </c>
      <c r="AI147">
        <f t="shared" si="40"/>
        <v>1.049593749048525</v>
      </c>
      <c r="AJ147">
        <f t="shared" ca="1" si="30"/>
        <v>0.91897083079039088</v>
      </c>
      <c r="AK147">
        <f t="shared" ca="1" si="31"/>
        <v>0.93523785976460827</v>
      </c>
      <c r="AL147">
        <f t="shared" ca="1" si="32"/>
        <v>0.96797004253629126</v>
      </c>
      <c r="AM147">
        <f t="shared" ca="1" si="33"/>
        <v>0.9924003055721875</v>
      </c>
      <c r="AN147">
        <f t="shared" ca="1" si="34"/>
        <v>1.0152880859332956</v>
      </c>
      <c r="AP147" s="40"/>
      <c r="AQ147" s="41"/>
    </row>
    <row r="148" spans="2:43" x14ac:dyDescent="0.25">
      <c r="B148" s="1">
        <v>39717</v>
      </c>
      <c r="C148">
        <v>1.373</v>
      </c>
      <c r="D148">
        <v>0.88300000000000001</v>
      </c>
      <c r="E148" t="s">
        <v>33</v>
      </c>
      <c r="G148">
        <v>1692.4</v>
      </c>
      <c r="I148" s="14">
        <f t="shared" si="37"/>
        <v>0</v>
      </c>
      <c r="J148" s="15">
        <f t="shared" si="38"/>
        <v>1.1454753722794919E-2</v>
      </c>
      <c r="K148" s="15"/>
      <c r="L148" s="15"/>
      <c r="M148" s="16">
        <f t="shared" si="39"/>
        <v>1.7972716117701015E-2</v>
      </c>
      <c r="O148" s="13">
        <f t="shared" si="41"/>
        <v>5.7273768613974596E-3</v>
      </c>
      <c r="Q148" s="5">
        <f t="shared" si="42"/>
        <v>116.54233072808464</v>
      </c>
      <c r="R148" s="6">
        <f t="shared" si="43"/>
        <v>104.70893218419963</v>
      </c>
      <c r="T148" s="11">
        <f t="shared" si="35"/>
        <v>1.113012312293169</v>
      </c>
      <c r="V148" s="9">
        <v>39717</v>
      </c>
      <c r="W148">
        <v>5544</v>
      </c>
      <c r="X148">
        <v>8860.4547000000002</v>
      </c>
      <c r="Y148" t="s">
        <v>33</v>
      </c>
      <c r="AC148" s="24">
        <f t="shared" si="44"/>
        <v>7.0139002754846178E-3</v>
      </c>
      <c r="AE148" s="5">
        <f t="shared" si="45"/>
        <v>108.71871071638618</v>
      </c>
      <c r="AF148" s="6">
        <f t="shared" si="46"/>
        <v>104.70893218419963</v>
      </c>
      <c r="AH148" s="1">
        <f t="shared" si="36"/>
        <v>39717</v>
      </c>
      <c r="AI148">
        <f t="shared" si="40"/>
        <v>1.0382945222393514</v>
      </c>
      <c r="AJ148">
        <f t="shared" ca="1" si="30"/>
        <v>0.92042279685934048</v>
      </c>
      <c r="AK148">
        <f t="shared" ca="1" si="31"/>
        <v>0.93524916090167431</v>
      </c>
      <c r="AL148">
        <f t="shared" ca="1" si="32"/>
        <v>0.96983320601764778</v>
      </c>
      <c r="AM148">
        <f t="shared" ca="1" si="33"/>
        <v>0.99387912383098276</v>
      </c>
      <c r="AN148">
        <f t="shared" ca="1" si="34"/>
        <v>1.0170494357115119</v>
      </c>
      <c r="AP148" s="40"/>
      <c r="AQ148" s="41"/>
    </row>
    <row r="149" spans="2:43" x14ac:dyDescent="0.25">
      <c r="B149" s="1">
        <v>39724</v>
      </c>
      <c r="C149">
        <v>1.3009999999999999</v>
      </c>
      <c r="D149">
        <v>0.80300000000000005</v>
      </c>
      <c r="E149" t="s">
        <v>33</v>
      </c>
      <c r="G149">
        <v>1512.71</v>
      </c>
      <c r="I149" s="14">
        <f t="shared" si="37"/>
        <v>-5.2439912600145688E-2</v>
      </c>
      <c r="J149" s="15">
        <f t="shared" si="38"/>
        <v>-9.0600226500566206E-2</v>
      </c>
      <c r="K149" s="15"/>
      <c r="L149" s="15"/>
      <c r="M149" s="16">
        <f t="shared" si="39"/>
        <v>-0.10617466320018909</v>
      </c>
      <c r="O149" s="13">
        <f t="shared" si="41"/>
        <v>-7.1520069550355947E-2</v>
      </c>
      <c r="Q149" s="5">
        <f t="shared" si="42"/>
        <v>108.20721512885144</v>
      </c>
      <c r="R149" s="6">
        <f t="shared" si="43"/>
        <v>93.591496575490794</v>
      </c>
      <c r="T149" s="11">
        <f t="shared" si="35"/>
        <v>1.156165026611917</v>
      </c>
      <c r="V149" s="9">
        <v>39724</v>
      </c>
      <c r="W149">
        <v>5253.6</v>
      </c>
      <c r="X149">
        <v>8061.2763999999997</v>
      </c>
      <c r="Y149" t="s">
        <v>33</v>
      </c>
      <c r="AC149" s="24">
        <f t="shared" si="44"/>
        <v>-7.5913049188402401E-2</v>
      </c>
      <c r="AE149" s="5">
        <f t="shared" si="45"/>
        <v>100.46554188207347</v>
      </c>
      <c r="AF149" s="6">
        <f t="shared" si="46"/>
        <v>93.591496575490794</v>
      </c>
      <c r="AH149" s="1">
        <f t="shared" si="36"/>
        <v>39724</v>
      </c>
      <c r="AI149">
        <f t="shared" si="40"/>
        <v>1.0734473275682483</v>
      </c>
      <c r="AJ149">
        <f t="shared" ca="1" si="30"/>
        <v>0.92116786861393474</v>
      </c>
      <c r="AK149">
        <f t="shared" ca="1" si="31"/>
        <v>0.93950607227850658</v>
      </c>
      <c r="AL149">
        <f t="shared" ca="1" si="32"/>
        <v>0.97037979579096167</v>
      </c>
      <c r="AM149">
        <f t="shared" ca="1" si="33"/>
        <v>0.99631681444290132</v>
      </c>
      <c r="AN149">
        <f t="shared" ca="1" si="34"/>
        <v>1.0351922714380422</v>
      </c>
      <c r="AP149" s="40"/>
      <c r="AQ149" s="41"/>
    </row>
    <row r="150" spans="2:43" x14ac:dyDescent="0.25">
      <c r="B150" s="1">
        <v>39731</v>
      </c>
      <c r="C150">
        <v>1.0529999999999999</v>
      </c>
      <c r="D150">
        <v>0.65400000000000003</v>
      </c>
      <c r="E150" t="s">
        <v>33</v>
      </c>
      <c r="G150">
        <v>1215.99</v>
      </c>
      <c r="I150" s="14">
        <f t="shared" si="37"/>
        <v>-0.19062259800153725</v>
      </c>
      <c r="J150" s="15">
        <f t="shared" si="38"/>
        <v>-0.18555417185554168</v>
      </c>
      <c r="K150" s="15"/>
      <c r="L150" s="15"/>
      <c r="M150" s="16">
        <f t="shared" si="39"/>
        <v>-0.19615127816964262</v>
      </c>
      <c r="O150" s="13">
        <f t="shared" si="41"/>
        <v>-0.18808838492853946</v>
      </c>
      <c r="Q150" s="5">
        <f t="shared" si="42"/>
        <v>87.854694797650751</v>
      </c>
      <c r="R150" s="6">
        <f t="shared" si="43"/>
        <v>75.23340489639854</v>
      </c>
      <c r="T150" s="11">
        <f t="shared" si="35"/>
        <v>1.1677617797391009</v>
      </c>
      <c r="V150" s="9">
        <v>39731</v>
      </c>
      <c r="W150">
        <v>4250.3999999999996</v>
      </c>
      <c r="X150">
        <v>6567.1605</v>
      </c>
      <c r="Y150" t="s">
        <v>33</v>
      </c>
      <c r="AC150" s="24">
        <f t="shared" si="44"/>
        <v>-0.18755400142967144</v>
      </c>
      <c r="AE150" s="5">
        <f t="shared" si="45"/>
        <v>81.622827496290341</v>
      </c>
      <c r="AF150" s="6">
        <f t="shared" si="46"/>
        <v>75.23340489639854</v>
      </c>
      <c r="AH150" s="1">
        <f t="shared" si="36"/>
        <v>39731</v>
      </c>
      <c r="AI150">
        <f t="shared" si="40"/>
        <v>1.0849279998518009</v>
      </c>
      <c r="AJ150">
        <f t="shared" ca="1" si="30"/>
        <v>0.92479735798120255</v>
      </c>
      <c r="AK150">
        <f t="shared" ca="1" si="31"/>
        <v>0.94275233557295757</v>
      </c>
      <c r="AL150">
        <f t="shared" ca="1" si="32"/>
        <v>0.97159619636200123</v>
      </c>
      <c r="AM150">
        <f t="shared" ca="1" si="33"/>
        <v>1.0017551073884576</v>
      </c>
      <c r="AN150">
        <f t="shared" ca="1" si="34"/>
        <v>1.0381841130131806</v>
      </c>
      <c r="AP150" s="40"/>
      <c r="AQ150" s="41"/>
    </row>
    <row r="151" spans="2:43" x14ac:dyDescent="0.25">
      <c r="B151" s="1">
        <v>39738</v>
      </c>
      <c r="C151">
        <v>1.1180000000000001</v>
      </c>
      <c r="D151">
        <v>0.623</v>
      </c>
      <c r="E151" t="s">
        <v>33</v>
      </c>
      <c r="G151">
        <v>1216.02</v>
      </c>
      <c r="I151" s="14">
        <f t="shared" si="37"/>
        <v>6.1728395061728669E-2</v>
      </c>
      <c r="J151" s="15">
        <f t="shared" si="38"/>
        <v>-4.7400611620795119E-2</v>
      </c>
      <c r="K151" s="15"/>
      <c r="L151" s="15"/>
      <c r="M151" s="16">
        <f t="shared" si="39"/>
        <v>2.4671255520081203E-5</v>
      </c>
      <c r="O151" s="13">
        <f t="shared" si="41"/>
        <v>7.1638917204667751E-3</v>
      </c>
      <c r="Q151" s="5">
        <f t="shared" si="42"/>
        <v>88.484076318315786</v>
      </c>
      <c r="R151" s="6">
        <f t="shared" si="43"/>
        <v>75.235260998954388</v>
      </c>
      <c r="T151" s="11">
        <f t="shared" si="35"/>
        <v>1.1760984828582641</v>
      </c>
      <c r="V151" s="9">
        <v>39738</v>
      </c>
      <c r="W151">
        <v>4514.3999999999996</v>
      </c>
      <c r="X151">
        <v>6254.4386000000004</v>
      </c>
      <c r="Y151" t="s">
        <v>33</v>
      </c>
      <c r="AC151" s="24">
        <f t="shared" si="44"/>
        <v>-4.5220041932333213E-3</v>
      </c>
      <c r="AE151" s="5">
        <f t="shared" si="45"/>
        <v>81.253728728088561</v>
      </c>
      <c r="AF151" s="6">
        <f t="shared" si="46"/>
        <v>75.235260998954388</v>
      </c>
      <c r="AH151" s="1">
        <f t="shared" si="36"/>
        <v>39738</v>
      </c>
      <c r="AI151">
        <f t="shared" si="40"/>
        <v>1.0799953060469587</v>
      </c>
      <c r="AJ151">
        <f t="shared" ca="1" si="30"/>
        <v>0.92533026991899037</v>
      </c>
      <c r="AK151">
        <f t="shared" ca="1" si="31"/>
        <v>0.94338993355791245</v>
      </c>
      <c r="AL151">
        <f t="shared" ca="1" si="32"/>
        <v>0.97345562242765704</v>
      </c>
      <c r="AM151">
        <f t="shared" ca="1" si="33"/>
        <v>1.0058362105350993</v>
      </c>
      <c r="AN151">
        <f t="shared" ca="1" si="34"/>
        <v>1.0396795589881314</v>
      </c>
      <c r="AP151" s="40"/>
      <c r="AQ151" s="41"/>
    </row>
    <row r="152" spans="2:43" x14ac:dyDescent="0.25">
      <c r="B152" s="1">
        <v>39745</v>
      </c>
      <c r="C152">
        <v>0.84699999999999998</v>
      </c>
      <c r="D152">
        <v>0.55100000000000005</v>
      </c>
      <c r="E152" t="s">
        <v>33</v>
      </c>
      <c r="G152">
        <v>890.27</v>
      </c>
      <c r="I152" s="14">
        <f t="shared" si="37"/>
        <v>-0.24239713774597504</v>
      </c>
      <c r="J152" s="15">
        <f t="shared" si="38"/>
        <v>-0.11556982343499189</v>
      </c>
      <c r="K152" s="15"/>
      <c r="L152" s="15"/>
      <c r="M152" s="16">
        <f t="shared" si="39"/>
        <v>-0.26788210720218419</v>
      </c>
      <c r="O152" s="13">
        <f t="shared" si="41"/>
        <v>-0.17898348059048347</v>
      </c>
      <c r="Q152" s="5">
        <f t="shared" si="42"/>
        <v>72.646888362029657</v>
      </c>
      <c r="R152" s="6">
        <f t="shared" si="43"/>
        <v>55.081080746648183</v>
      </c>
      <c r="T152" s="11">
        <f t="shared" si="35"/>
        <v>1.3189081872989645</v>
      </c>
      <c r="V152" s="9">
        <v>39745</v>
      </c>
      <c r="W152">
        <v>3418.8</v>
      </c>
      <c r="X152">
        <v>5524.7541000000001</v>
      </c>
      <c r="Y152" t="s">
        <v>33</v>
      </c>
      <c r="AC152" s="24">
        <f t="shared" si="44"/>
        <v>-0.16873704498899517</v>
      </c>
      <c r="AE152" s="5">
        <f t="shared" si="45"/>
        <v>67.543214648173475</v>
      </c>
      <c r="AF152" s="6">
        <f t="shared" si="46"/>
        <v>55.081080746648183</v>
      </c>
      <c r="AH152" s="1">
        <f t="shared" si="36"/>
        <v>39745</v>
      </c>
      <c r="AI152">
        <f t="shared" si="40"/>
        <v>1.226250714993163</v>
      </c>
      <c r="AJ152">
        <f t="shared" ca="1" si="30"/>
        <v>0.92533026991899037</v>
      </c>
      <c r="AK152">
        <f t="shared" ca="1" si="31"/>
        <v>0.94396822180322115</v>
      </c>
      <c r="AL152">
        <f t="shared" ca="1" si="32"/>
        <v>0.97656078162288096</v>
      </c>
      <c r="AM152">
        <f t="shared" ca="1" si="33"/>
        <v>1.0096001082545865</v>
      </c>
      <c r="AN152">
        <f t="shared" ca="1" si="34"/>
        <v>1.0421391103017141</v>
      </c>
      <c r="AP152" s="40"/>
      <c r="AQ152" s="41"/>
    </row>
    <row r="153" spans="2:43" x14ac:dyDescent="0.25">
      <c r="B153" s="1">
        <v>39752</v>
      </c>
      <c r="C153">
        <v>1.0660000000000001</v>
      </c>
      <c r="D153">
        <v>0.58899999999999997</v>
      </c>
      <c r="E153" t="s">
        <v>33</v>
      </c>
      <c r="G153">
        <v>1010.79</v>
      </c>
      <c r="I153" s="14">
        <f t="shared" si="37"/>
        <v>0.25855962219598583</v>
      </c>
      <c r="J153" s="15">
        <f t="shared" si="38"/>
        <v>6.8965517241379226E-2</v>
      </c>
      <c r="K153" s="15"/>
      <c r="L153" s="15"/>
      <c r="M153" s="16">
        <f t="shared" si="39"/>
        <v>0.13537466161950862</v>
      </c>
      <c r="O153" s="13">
        <f t="shared" si="41"/>
        <v>0.16376256971868253</v>
      </c>
      <c r="Q153" s="5">
        <f t="shared" si="42"/>
        <v>84.543729482261895</v>
      </c>
      <c r="R153" s="6">
        <f t="shared" si="43"/>
        <v>62.537663414362513</v>
      </c>
      <c r="T153" s="11">
        <f t="shared" si="35"/>
        <v>1.3518850060337468</v>
      </c>
      <c r="V153" s="9">
        <v>39752</v>
      </c>
      <c r="W153">
        <v>4303.2</v>
      </c>
      <c r="X153">
        <v>5906.9697999999999</v>
      </c>
      <c r="Y153" t="s">
        <v>33</v>
      </c>
      <c r="AC153" s="24">
        <f t="shared" si="44"/>
        <v>0.14144054436944334</v>
      </c>
      <c r="AE153" s="5">
        <f t="shared" si="45"/>
        <v>77.096563696473282</v>
      </c>
      <c r="AF153" s="6">
        <f t="shared" si="46"/>
        <v>62.537663414362513</v>
      </c>
      <c r="AH153" s="1">
        <f t="shared" si="36"/>
        <v>39752</v>
      </c>
      <c r="AI153">
        <f t="shared" si="40"/>
        <v>1.232802114553694</v>
      </c>
      <c r="AJ153">
        <f t="shared" ca="1" si="30"/>
        <v>0.92533026991899037</v>
      </c>
      <c r="AK153">
        <f t="shared" ca="1" si="31"/>
        <v>0.94799116515103932</v>
      </c>
      <c r="AL153">
        <f t="shared" ca="1" si="32"/>
        <v>0.97904889996619149</v>
      </c>
      <c r="AM153">
        <f t="shared" ca="1" si="33"/>
        <v>1.0114487472225078</v>
      </c>
      <c r="AN153">
        <f t="shared" ca="1" si="34"/>
        <v>1.0449830607544388</v>
      </c>
      <c r="AP153" s="40"/>
      <c r="AQ153" s="41"/>
    </row>
    <row r="154" spans="2:43" x14ac:dyDescent="0.25">
      <c r="B154" s="1">
        <v>39759</v>
      </c>
      <c r="C154">
        <v>0.98399999999999999</v>
      </c>
      <c r="D154">
        <v>0.67500000000000004</v>
      </c>
      <c r="E154" t="s">
        <v>33</v>
      </c>
      <c r="G154">
        <v>1096.5999999999999</v>
      </c>
      <c r="I154" s="14">
        <f t="shared" si="37"/>
        <v>-7.6923076923076983E-2</v>
      </c>
      <c r="J154" s="15">
        <f t="shared" si="38"/>
        <v>0.14601018675721567</v>
      </c>
      <c r="K154" s="15"/>
      <c r="L154" s="15"/>
      <c r="M154" s="16">
        <f t="shared" si="39"/>
        <v>8.4893993806824275E-2</v>
      </c>
      <c r="O154" s="13">
        <f t="shared" si="41"/>
        <v>3.4543554917069341E-2</v>
      </c>
      <c r="Q154" s="5">
        <f t="shared" si="42"/>
        <v>87.464170444526275</v>
      </c>
      <c r="R154" s="6">
        <f t="shared" si="43"/>
        <v>67.846735424954659</v>
      </c>
      <c r="T154" s="11">
        <f t="shared" si="35"/>
        <v>1.2891433890915869</v>
      </c>
      <c r="V154" s="9">
        <v>39759</v>
      </c>
      <c r="W154">
        <v>3973.2</v>
      </c>
      <c r="X154">
        <v>6775.6418000000003</v>
      </c>
      <c r="Y154" t="s">
        <v>33</v>
      </c>
      <c r="AC154" s="24">
        <f t="shared" si="44"/>
        <v>5.2052256667841898E-2</v>
      </c>
      <c r="AE154" s="5">
        <f t="shared" si="45"/>
        <v>81.109613818210732</v>
      </c>
      <c r="AF154" s="6">
        <f t="shared" si="46"/>
        <v>67.846735424954659</v>
      </c>
      <c r="AH154" s="1">
        <f t="shared" si="36"/>
        <v>39759</v>
      </c>
      <c r="AI154">
        <f t="shared" si="40"/>
        <v>1.1954829264840039</v>
      </c>
      <c r="AJ154">
        <f t="shared" ca="1" si="30"/>
        <v>0.92979366928982399</v>
      </c>
      <c r="AK154">
        <f t="shared" ca="1" si="31"/>
        <v>0.94993829804980967</v>
      </c>
      <c r="AL154">
        <f t="shared" ca="1" si="32"/>
        <v>0.97960925408920407</v>
      </c>
      <c r="AM154">
        <f t="shared" ca="1" si="33"/>
        <v>1.0131647312772656</v>
      </c>
      <c r="AN154">
        <f t="shared" ca="1" si="34"/>
        <v>1.0491614331768115</v>
      </c>
      <c r="AP154" s="40"/>
      <c r="AQ154" s="41"/>
    </row>
    <row r="155" spans="2:43" x14ac:dyDescent="0.25">
      <c r="B155" s="1">
        <v>39766</v>
      </c>
      <c r="C155">
        <v>0.86699999999999999</v>
      </c>
      <c r="D155">
        <v>0.63700000000000001</v>
      </c>
      <c r="E155" t="s">
        <v>33</v>
      </c>
      <c r="G155">
        <v>1022.81</v>
      </c>
      <c r="I155" s="14">
        <f t="shared" si="37"/>
        <v>-0.11890243902439024</v>
      </c>
      <c r="J155" s="15">
        <f t="shared" si="38"/>
        <v>-5.6296296296296289E-2</v>
      </c>
      <c r="K155" s="15"/>
      <c r="L155" s="15"/>
      <c r="M155" s="16">
        <f t="shared" si="39"/>
        <v>-6.7289804851358714E-2</v>
      </c>
      <c r="O155" s="13">
        <f t="shared" si="41"/>
        <v>-8.7599367660343264E-2</v>
      </c>
      <c r="Q155" s="5">
        <f t="shared" si="42"/>
        <v>79.802364420649283</v>
      </c>
      <c r="R155" s="6">
        <f t="shared" si="43"/>
        <v>63.281341838407691</v>
      </c>
      <c r="T155" s="11">
        <f t="shared" si="35"/>
        <v>1.2610725705600383</v>
      </c>
      <c r="V155" s="9">
        <v>39766</v>
      </c>
      <c r="W155">
        <v>3498</v>
      </c>
      <c r="X155">
        <v>6393.4260999999997</v>
      </c>
      <c r="Y155" t="s">
        <v>33</v>
      </c>
      <c r="AC155" s="24">
        <f t="shared" si="44"/>
        <v>-7.943801992714021E-2</v>
      </c>
      <c r="AE155" s="5">
        <f t="shared" si="45"/>
        <v>74.666426699437068</v>
      </c>
      <c r="AF155" s="6">
        <f t="shared" si="46"/>
        <v>63.281341838407691</v>
      </c>
      <c r="AH155" s="1">
        <f t="shared" si="36"/>
        <v>39766</v>
      </c>
      <c r="AI155">
        <f t="shared" si="40"/>
        <v>1.179912191023095</v>
      </c>
      <c r="AJ155">
        <f t="shared" ca="1" si="30"/>
        <v>0.93355679038949657</v>
      </c>
      <c r="AK155">
        <f t="shared" ca="1" si="31"/>
        <v>0.95424531169937299</v>
      </c>
      <c r="AL155">
        <f t="shared" ca="1" si="32"/>
        <v>0.98418880462250757</v>
      </c>
      <c r="AM155">
        <f t="shared" ca="1" si="33"/>
        <v>1.0160132780556923</v>
      </c>
      <c r="AN155">
        <f t="shared" ca="1" si="34"/>
        <v>1.071061969716276</v>
      </c>
      <c r="AP155" s="40"/>
      <c r="AQ155" s="41"/>
    </row>
    <row r="156" spans="2:43" x14ac:dyDescent="0.25">
      <c r="B156" s="1">
        <v>39773</v>
      </c>
      <c r="C156">
        <v>0.81699999999999995</v>
      </c>
      <c r="D156">
        <v>0.51900000000000002</v>
      </c>
      <c r="E156" t="s">
        <v>33</v>
      </c>
      <c r="G156">
        <v>828.99</v>
      </c>
      <c r="I156" s="14">
        <f t="shared" si="37"/>
        <v>-5.7670126874279193E-2</v>
      </c>
      <c r="J156" s="15">
        <f t="shared" si="38"/>
        <v>-0.18524332810047095</v>
      </c>
      <c r="K156" s="15"/>
      <c r="L156" s="15"/>
      <c r="M156" s="16">
        <f t="shared" si="39"/>
        <v>-0.18949756064176138</v>
      </c>
      <c r="O156" s="13">
        <f t="shared" si="41"/>
        <v>-0.12145672748737507</v>
      </c>
      <c r="Q156" s="5">
        <f t="shared" si="42"/>
        <v>70.109830392362298</v>
      </c>
      <c r="R156" s="6">
        <f t="shared" si="43"/>
        <v>51.289681925891998</v>
      </c>
      <c r="T156" s="11">
        <f t="shared" si="35"/>
        <v>1.3669382955749922</v>
      </c>
      <c r="V156" s="9">
        <v>39773</v>
      </c>
      <c r="W156">
        <v>3300</v>
      </c>
      <c r="X156">
        <v>5212.0321999999996</v>
      </c>
      <c r="Y156" t="s">
        <v>33</v>
      </c>
      <c r="AC156" s="24">
        <f t="shared" si="44"/>
        <v>-0.14012839185389486</v>
      </c>
      <c r="AE156" s="5">
        <f t="shared" si="45"/>
        <v>64.20354040056823</v>
      </c>
      <c r="AF156" s="6">
        <f t="shared" si="46"/>
        <v>51.289681925891998</v>
      </c>
      <c r="AH156" s="1">
        <f t="shared" si="36"/>
        <v>39773</v>
      </c>
      <c r="AI156">
        <f t="shared" si="40"/>
        <v>1.2517827755948137</v>
      </c>
      <c r="AJ156">
        <f t="shared" ca="1" si="30"/>
        <v>0.93521889071140607</v>
      </c>
      <c r="AK156">
        <f t="shared" ca="1" si="31"/>
        <v>0.95810986983781543</v>
      </c>
      <c r="AL156">
        <f t="shared" ca="1" si="32"/>
        <v>0.9897083233760916</v>
      </c>
      <c r="AM156">
        <f t="shared" ca="1" si="33"/>
        <v>1.0222042409306391</v>
      </c>
      <c r="AN156">
        <f t="shared" ca="1" si="34"/>
        <v>1.0793405081990877</v>
      </c>
      <c r="AP156" s="40"/>
      <c r="AQ156" s="41"/>
    </row>
    <row r="157" spans="2:43" x14ac:dyDescent="0.25">
      <c r="B157" s="1">
        <v>39780</v>
      </c>
      <c r="C157">
        <v>0.88900000000000001</v>
      </c>
      <c r="D157">
        <v>0.51900000000000002</v>
      </c>
      <c r="E157" t="s">
        <v>33</v>
      </c>
      <c r="G157">
        <v>993.99</v>
      </c>
      <c r="I157" s="14">
        <f t="shared" si="37"/>
        <v>8.8127294981640292E-2</v>
      </c>
      <c r="J157" s="15">
        <f t="shared" si="38"/>
        <v>0</v>
      </c>
      <c r="K157" s="15"/>
      <c r="L157" s="15"/>
      <c r="M157" s="16">
        <f t="shared" si="39"/>
        <v>0.19903738283935879</v>
      </c>
      <c r="O157" s="13">
        <f t="shared" si="41"/>
        <v>4.4063647490820146E-2</v>
      </c>
      <c r="Q157" s="5">
        <f t="shared" si="42"/>
        <v>73.199125244412528</v>
      </c>
      <c r="R157" s="6">
        <f t="shared" si="43"/>
        <v>61.498245983084708</v>
      </c>
      <c r="T157" s="11">
        <f t="shared" si="35"/>
        <v>1.1902636258039976</v>
      </c>
      <c r="V157" s="9">
        <v>39780</v>
      </c>
      <c r="W157">
        <v>3590.4</v>
      </c>
      <c r="X157">
        <v>5212.0321999999996</v>
      </c>
      <c r="Y157" t="s">
        <v>33</v>
      </c>
      <c r="AC157" s="24">
        <f t="shared" si="44"/>
        <v>3.4165762840912772E-2</v>
      </c>
      <c r="AE157" s="5">
        <f t="shared" si="45"/>
        <v>66.397103335441017</v>
      </c>
      <c r="AF157" s="6">
        <f t="shared" si="46"/>
        <v>61.498245983084708</v>
      </c>
      <c r="AH157" s="1">
        <f t="shared" si="36"/>
        <v>39780</v>
      </c>
      <c r="AI157">
        <f t="shared" si="40"/>
        <v>1.0796584890194065</v>
      </c>
      <c r="AJ157">
        <f t="shared" ca="1" si="30"/>
        <v>0.93524568960061782</v>
      </c>
      <c r="AK157">
        <f t="shared" ca="1" si="31"/>
        <v>0.96256293131971349</v>
      </c>
      <c r="AL157">
        <f t="shared" ca="1" si="32"/>
        <v>0.99145858846983925</v>
      </c>
      <c r="AM157">
        <f t="shared" ca="1" si="33"/>
        <v>1.0374664530430699</v>
      </c>
      <c r="AN157">
        <f t="shared" ca="1" si="34"/>
        <v>1.0844347304713167</v>
      </c>
      <c r="AP157" s="40"/>
      <c r="AQ157" s="41"/>
    </row>
    <row r="158" spans="2:43" x14ac:dyDescent="0.25">
      <c r="B158" s="1">
        <v>39787</v>
      </c>
      <c r="C158">
        <v>0.88900000000000001</v>
      </c>
      <c r="D158">
        <v>0.48499999999999999</v>
      </c>
      <c r="E158" t="s">
        <v>33</v>
      </c>
      <c r="G158">
        <v>1005.34</v>
      </c>
      <c r="I158" s="14">
        <f t="shared" si="37"/>
        <v>0</v>
      </c>
      <c r="J158" s="15">
        <f t="shared" si="38"/>
        <v>-6.5510597302504858E-2</v>
      </c>
      <c r="K158" s="15"/>
      <c r="L158" s="15"/>
      <c r="M158" s="16">
        <f t="shared" si="39"/>
        <v>1.1418625941910898E-2</v>
      </c>
      <c r="O158" s="13">
        <f t="shared" si="41"/>
        <v>-3.2755298651252429E-2</v>
      </c>
      <c r="Q158" s="5">
        <f t="shared" si="42"/>
        <v>70.801466036021367</v>
      </c>
      <c r="R158" s="6">
        <f t="shared" si="43"/>
        <v>62.200471450049179</v>
      </c>
      <c r="T158" s="11">
        <f t="shared" si="35"/>
        <v>1.1382786076288718</v>
      </c>
      <c r="V158" s="9">
        <v>39787</v>
      </c>
      <c r="W158">
        <v>3590.4</v>
      </c>
      <c r="X158">
        <v>4864.5634</v>
      </c>
      <c r="Y158" t="s">
        <v>33</v>
      </c>
      <c r="AC158" s="24">
        <f t="shared" si="44"/>
        <v>-3.8789658906079216E-2</v>
      </c>
      <c r="AE158" s="5">
        <f t="shared" si="45"/>
        <v>63.821582344707565</v>
      </c>
      <c r="AF158" s="6">
        <f t="shared" si="46"/>
        <v>62.200471450049179</v>
      </c>
      <c r="AH158" s="1">
        <f t="shared" si="36"/>
        <v>39787</v>
      </c>
      <c r="AI158">
        <f t="shared" si="40"/>
        <v>1.0260626785756799</v>
      </c>
      <c r="AJ158">
        <f t="shared" ca="1" si="30"/>
        <v>0.93606057842222656</v>
      </c>
      <c r="AK158">
        <f t="shared" ca="1" si="31"/>
        <v>0.96521415347129547</v>
      </c>
      <c r="AL158">
        <f t="shared" ca="1" si="32"/>
        <v>0.99188327345232818</v>
      </c>
      <c r="AM158">
        <f t="shared" ca="1" si="33"/>
        <v>1.038679254669568</v>
      </c>
      <c r="AN158">
        <f t="shared" ca="1" si="34"/>
        <v>1.0844347304713167</v>
      </c>
      <c r="AP158" s="40"/>
      <c r="AQ158" s="41"/>
    </row>
    <row r="159" spans="2:43" x14ac:dyDescent="0.25">
      <c r="B159" s="1">
        <v>39794</v>
      </c>
      <c r="C159">
        <v>0.95799999999999996</v>
      </c>
      <c r="D159">
        <v>0.55700000000000005</v>
      </c>
      <c r="E159" t="s">
        <v>33</v>
      </c>
      <c r="G159">
        <v>1098.2</v>
      </c>
      <c r="I159" s="14">
        <f t="shared" si="37"/>
        <v>7.7615298087738926E-2</v>
      </c>
      <c r="J159" s="15">
        <f t="shared" si="38"/>
        <v>0.14845360824742282</v>
      </c>
      <c r="K159" s="15"/>
      <c r="L159" s="15"/>
      <c r="M159" s="16">
        <f t="shared" si="39"/>
        <v>9.2366761493624105E-2</v>
      </c>
      <c r="O159" s="13">
        <f t="shared" si="41"/>
        <v>0.11303445316758087</v>
      </c>
      <c r="Q159" s="5">
        <f t="shared" si="42"/>
        <v>78.80447103286609</v>
      </c>
      <c r="R159" s="6">
        <f t="shared" si="43"/>
        <v>67.94572756126685</v>
      </c>
      <c r="T159" s="11">
        <f t="shared" si="35"/>
        <v>1.1598149561620028</v>
      </c>
      <c r="V159" s="9">
        <v>39794</v>
      </c>
      <c r="W159">
        <v>3867.6</v>
      </c>
      <c r="X159">
        <v>5594.2479000000003</v>
      </c>
      <c r="Y159" t="s">
        <v>33</v>
      </c>
      <c r="AC159" s="24">
        <f t="shared" si="44"/>
        <v>0.11837212157920979</v>
      </c>
      <c r="AE159" s="5">
        <f t="shared" si="45"/>
        <v>71.376278449392828</v>
      </c>
      <c r="AF159" s="6">
        <f t="shared" si="46"/>
        <v>67.94572756126685</v>
      </c>
      <c r="AH159" s="1">
        <f t="shared" si="36"/>
        <v>39794</v>
      </c>
      <c r="AI159">
        <f t="shared" si="40"/>
        <v>1.050489574712886</v>
      </c>
      <c r="AJ159">
        <f t="shared" ca="1" si="30"/>
        <v>0.94347522924284166</v>
      </c>
      <c r="AK159">
        <f t="shared" ca="1" si="31"/>
        <v>0.96636971420005502</v>
      </c>
      <c r="AL159">
        <f t="shared" ca="1" si="32"/>
        <v>0.99199336430017593</v>
      </c>
      <c r="AM159">
        <f t="shared" ca="1" si="33"/>
        <v>1.038679254669568</v>
      </c>
      <c r="AN159">
        <f t="shared" ca="1" si="34"/>
        <v>1.0844347304713167</v>
      </c>
      <c r="AP159" s="40"/>
      <c r="AQ159" s="41"/>
    </row>
    <row r="160" spans="2:43" x14ac:dyDescent="0.25">
      <c r="B160" s="1">
        <v>39801</v>
      </c>
      <c r="C160">
        <v>0.91600000000000004</v>
      </c>
      <c r="D160">
        <v>0.53700000000000003</v>
      </c>
      <c r="E160" t="s">
        <v>33</v>
      </c>
      <c r="G160">
        <v>1095.93</v>
      </c>
      <c r="I160" s="14">
        <f t="shared" si="37"/>
        <v>-4.3841336116910101E-2</v>
      </c>
      <c r="J160" s="15">
        <f t="shared" si="38"/>
        <v>-3.590664272890487E-2</v>
      </c>
      <c r="K160" s="15"/>
      <c r="L160" s="15"/>
      <c r="M160" s="16">
        <f t="shared" si="39"/>
        <v>-2.0670187579675536E-3</v>
      </c>
      <c r="O160" s="13">
        <f t="shared" si="41"/>
        <v>-3.9873989422907485E-2</v>
      </c>
      <c r="Q160" s="5">
        <f t="shared" si="42"/>
        <v>75.662222388423771</v>
      </c>
      <c r="R160" s="6">
        <f t="shared" si="43"/>
        <v>67.805282467873951</v>
      </c>
      <c r="T160" s="11">
        <f t="shared" si="35"/>
        <v>1.115875041509818</v>
      </c>
      <c r="V160" s="9">
        <v>39801</v>
      </c>
      <c r="W160">
        <v>3696</v>
      </c>
      <c r="X160">
        <v>5385.7665999999999</v>
      </c>
      <c r="Y160" t="s">
        <v>33</v>
      </c>
      <c r="AC160" s="24">
        <f t="shared" si="44"/>
        <v>-3.9150007077157496E-2</v>
      </c>
      <c r="AE160" s="5">
        <f t="shared" si="45"/>
        <v>68.581896642957929</v>
      </c>
      <c r="AF160" s="6">
        <f t="shared" si="46"/>
        <v>67.805282467873951</v>
      </c>
      <c r="AH160" s="1">
        <f t="shared" si="36"/>
        <v>39801</v>
      </c>
      <c r="AI160">
        <f t="shared" si="40"/>
        <v>1.0114535939799667</v>
      </c>
      <c r="AJ160">
        <f t="shared" ca="1" si="30"/>
        <v>0.94466894510305677</v>
      </c>
      <c r="AK160">
        <f t="shared" ca="1" si="31"/>
        <v>0.96865789148865689</v>
      </c>
      <c r="AL160">
        <f t="shared" ca="1" si="32"/>
        <v>0.99278678938899356</v>
      </c>
      <c r="AM160">
        <f t="shared" ca="1" si="33"/>
        <v>1.0404739126106337</v>
      </c>
      <c r="AN160">
        <f t="shared" ca="1" si="34"/>
        <v>1.0844347304713167</v>
      </c>
      <c r="AP160" s="40"/>
      <c r="AQ160" s="41"/>
    </row>
    <row r="161" spans="2:43" x14ac:dyDescent="0.25">
      <c r="B161" s="1">
        <v>39808</v>
      </c>
      <c r="C161">
        <v>0.91200000000000003</v>
      </c>
      <c r="D161">
        <v>0.49199999999999999</v>
      </c>
      <c r="E161" t="s">
        <v>33</v>
      </c>
      <c r="G161">
        <v>1058.57</v>
      </c>
      <c r="I161" s="14">
        <f t="shared" si="37"/>
        <v>-4.366812227074246E-3</v>
      </c>
      <c r="J161" s="15">
        <f t="shared" si="38"/>
        <v>-8.3798882681564324E-2</v>
      </c>
      <c r="K161" s="15"/>
      <c r="L161" s="15"/>
      <c r="M161" s="16">
        <f t="shared" si="39"/>
        <v>-3.4089768507112761E-2</v>
      </c>
      <c r="O161" s="13">
        <f t="shared" si="41"/>
        <v>-4.4082847454319285E-2</v>
      </c>
      <c r="Q161" s="5">
        <f t="shared" si="42"/>
        <v>72.326816180820103</v>
      </c>
      <c r="R161" s="6">
        <f t="shared" si="43"/>
        <v>65.493816084984743</v>
      </c>
      <c r="T161" s="11">
        <f t="shared" si="35"/>
        <v>1.1043304620846777</v>
      </c>
      <c r="V161" s="9">
        <v>39808</v>
      </c>
      <c r="W161">
        <v>3682.8</v>
      </c>
      <c r="X161">
        <v>4934.0571</v>
      </c>
      <c r="Y161" t="s">
        <v>33</v>
      </c>
      <c r="AC161" s="24">
        <f t="shared" si="44"/>
        <v>-5.147247028512647E-2</v>
      </c>
      <c r="AE161" s="5">
        <f t="shared" si="45"/>
        <v>65.051817005905662</v>
      </c>
      <c r="AF161" s="6">
        <f t="shared" si="46"/>
        <v>65.493816084984743</v>
      </c>
      <c r="AH161" s="1">
        <f t="shared" si="36"/>
        <v>39808</v>
      </c>
      <c r="AI161">
        <f t="shared" si="40"/>
        <v>0.99325128530446993</v>
      </c>
      <c r="AJ161">
        <f t="shared" ca="1" si="30"/>
        <v>0.94935818955353624</v>
      </c>
      <c r="AK161">
        <f t="shared" ca="1" si="31"/>
        <v>0.97007693880596035</v>
      </c>
      <c r="AL161">
        <f t="shared" ca="1" si="32"/>
        <v>0.99419849063935972</v>
      </c>
      <c r="AM161">
        <f t="shared" ca="1" si="33"/>
        <v>1.0404739126106337</v>
      </c>
      <c r="AN161">
        <f t="shared" ca="1" si="34"/>
        <v>1.0844347304713167</v>
      </c>
      <c r="AP161" s="40"/>
      <c r="AQ161" s="41"/>
    </row>
    <row r="162" spans="2:43" x14ac:dyDescent="0.25">
      <c r="B162" s="1">
        <v>39815</v>
      </c>
      <c r="C162">
        <v>0.93600000000000005</v>
      </c>
      <c r="D162">
        <v>0.499</v>
      </c>
      <c r="E162" t="s">
        <v>33</v>
      </c>
      <c r="G162">
        <v>1143.33</v>
      </c>
      <c r="I162" s="14">
        <f t="shared" si="37"/>
        <v>2.6315789473684292E-2</v>
      </c>
      <c r="J162" s="15">
        <f t="shared" si="38"/>
        <v>1.4227642276422703E-2</v>
      </c>
      <c r="K162" s="15"/>
      <c r="L162" s="15"/>
      <c r="M162" s="16">
        <f t="shared" si="39"/>
        <v>8.0070283495659256E-2</v>
      </c>
      <c r="O162" s="13">
        <f t="shared" si="41"/>
        <v>2.0271715875053498E-2</v>
      </c>
      <c r="Q162" s="5">
        <f t="shared" si="42"/>
        <v>73.793004848584914</v>
      </c>
      <c r="R162" s="6">
        <f t="shared" si="43"/>
        <v>70.737924506122042</v>
      </c>
      <c r="T162" s="11">
        <f t="shared" si="35"/>
        <v>1.0431887189763176</v>
      </c>
      <c r="V162" s="9">
        <v>39815</v>
      </c>
      <c r="W162">
        <v>3762</v>
      </c>
      <c r="X162">
        <v>5003.5509000000002</v>
      </c>
      <c r="Y162" t="s">
        <v>33</v>
      </c>
      <c r="AC162" s="24">
        <f t="shared" si="44"/>
        <v>1.9394053646767346E-2</v>
      </c>
      <c r="AE162" s="5">
        <f t="shared" si="45"/>
        <v>66.313435434737897</v>
      </c>
      <c r="AF162" s="6">
        <f t="shared" si="46"/>
        <v>70.737924506122042</v>
      </c>
      <c r="AH162" s="1">
        <f t="shared" si="36"/>
        <v>39815</v>
      </c>
      <c r="AI162">
        <f t="shared" si="40"/>
        <v>0.93745237646884561</v>
      </c>
      <c r="AJ162">
        <f t="shared" ca="1" si="30"/>
        <v>0.95070593603517595</v>
      </c>
      <c r="AK162">
        <f t="shared" ca="1" si="31"/>
        <v>0.97040935788930616</v>
      </c>
      <c r="AL162">
        <f t="shared" ca="1" si="32"/>
        <v>0.99419849063935972</v>
      </c>
      <c r="AM162">
        <f t="shared" ca="1" si="33"/>
        <v>1.0404739126106337</v>
      </c>
      <c r="AN162">
        <f t="shared" ca="1" si="34"/>
        <v>1.0844347304713167</v>
      </c>
      <c r="AP162" s="40"/>
      <c r="AQ162" s="41"/>
    </row>
    <row r="163" spans="2:43" x14ac:dyDescent="0.25">
      <c r="B163" s="1">
        <v>39822</v>
      </c>
      <c r="C163">
        <v>0.93300000000000005</v>
      </c>
      <c r="D163">
        <v>0.45700000000000002</v>
      </c>
      <c r="E163" t="s">
        <v>33</v>
      </c>
      <c r="G163">
        <v>1179.55</v>
      </c>
      <c r="I163" s="14">
        <f t="shared" si="37"/>
        <v>-3.2051282051281937E-3</v>
      </c>
      <c r="J163" s="15">
        <f t="shared" si="38"/>
        <v>-8.4168336673346666E-2</v>
      </c>
      <c r="K163" s="15"/>
      <c r="L163" s="15"/>
      <c r="M163" s="16">
        <f t="shared" si="39"/>
        <v>3.1679392651290605E-2</v>
      </c>
      <c r="O163" s="13">
        <f t="shared" si="41"/>
        <v>-4.368673243923743E-2</v>
      </c>
      <c r="Q163" s="5">
        <f t="shared" si="42"/>
        <v>70.569229589877438</v>
      </c>
      <c r="R163" s="6">
        <f t="shared" si="43"/>
        <v>72.978858991888828</v>
      </c>
      <c r="T163" s="11">
        <f t="shared" si="35"/>
        <v>0.96698181589439203</v>
      </c>
      <c r="V163" s="9">
        <v>39822</v>
      </c>
      <c r="W163">
        <v>3748.8</v>
      </c>
      <c r="X163">
        <v>4586.5883000000003</v>
      </c>
      <c r="Y163" t="s">
        <v>33</v>
      </c>
      <c r="AC163" s="24">
        <f t="shared" si="44"/>
        <v>-4.9420538875784632E-2</v>
      </c>
      <c r="AE163" s="5">
        <f t="shared" si="45"/>
        <v>63.036189720848597</v>
      </c>
      <c r="AF163" s="6">
        <f t="shared" si="46"/>
        <v>72.978858991888828</v>
      </c>
      <c r="AH163" s="1">
        <f t="shared" si="36"/>
        <v>39822</v>
      </c>
      <c r="AI163">
        <f t="shared" si="40"/>
        <v>0.86375959547209014</v>
      </c>
      <c r="AJ163">
        <f t="shared" ca="1" si="30"/>
        <v>0.95070593603517595</v>
      </c>
      <c r="AK163">
        <f t="shared" ca="1" si="31"/>
        <v>0.97040935788930616</v>
      </c>
      <c r="AL163">
        <f t="shared" ca="1" si="32"/>
        <v>0.99419849063935972</v>
      </c>
      <c r="AM163">
        <f t="shared" ca="1" si="33"/>
        <v>1.0404739126106337</v>
      </c>
      <c r="AN163">
        <f t="shared" ca="1" si="34"/>
        <v>1.0844347304713167</v>
      </c>
      <c r="AP163" s="40"/>
      <c r="AQ163" s="41"/>
    </row>
    <row r="164" spans="2:43" x14ac:dyDescent="0.25">
      <c r="B164" s="1">
        <v>39829</v>
      </c>
      <c r="C164">
        <v>0.877</v>
      </c>
      <c r="D164">
        <v>0.42799999999999999</v>
      </c>
      <c r="E164" t="s">
        <v>33</v>
      </c>
      <c r="G164">
        <v>1097.96</v>
      </c>
      <c r="I164" s="14">
        <f t="shared" si="37"/>
        <v>-6.0021436227224112E-2</v>
      </c>
      <c r="J164" s="15">
        <f t="shared" si="38"/>
        <v>-6.3457330415754964E-2</v>
      </c>
      <c r="K164" s="15"/>
      <c r="L164" s="15"/>
      <c r="M164" s="16">
        <f t="shared" si="39"/>
        <v>-6.9170446356661364E-2</v>
      </c>
      <c r="O164" s="13">
        <f t="shared" si="41"/>
        <v>-6.1739383321489538E-2</v>
      </c>
      <c r="Q164" s="5">
        <f t="shared" si="42"/>
        <v>66.212328873525792</v>
      </c>
      <c r="R164" s="6">
        <f t="shared" si="43"/>
        <v>67.930878740820035</v>
      </c>
      <c r="T164" s="11">
        <f t="shared" si="35"/>
        <v>0.97470149217631774</v>
      </c>
      <c r="V164" s="9">
        <v>39829</v>
      </c>
      <c r="W164">
        <v>3521.76</v>
      </c>
      <c r="X164">
        <v>4291.2398000000003</v>
      </c>
      <c r="Y164" t="s">
        <v>33</v>
      </c>
      <c r="AC164" s="24">
        <f t="shared" si="44"/>
        <v>-6.1912053858697087E-2</v>
      </c>
      <c r="AE164" s="5">
        <f t="shared" si="45"/>
        <v>59.133489747804369</v>
      </c>
      <c r="AF164" s="6">
        <f t="shared" si="46"/>
        <v>67.930878740820035</v>
      </c>
      <c r="AH164" s="1">
        <f t="shared" si="36"/>
        <v>39829</v>
      </c>
      <c r="AI164">
        <f t="shared" si="40"/>
        <v>0.87049499202592728</v>
      </c>
      <c r="AJ164">
        <f t="shared" ca="1" si="30"/>
        <v>0.94935818955353624</v>
      </c>
      <c r="AK164">
        <f t="shared" ca="1" si="31"/>
        <v>0.97007693880596035</v>
      </c>
      <c r="AL164">
        <f t="shared" ca="1" si="32"/>
        <v>0.99419849063935972</v>
      </c>
      <c r="AM164">
        <f t="shared" ca="1" si="33"/>
        <v>1.0404739126106337</v>
      </c>
      <c r="AN164">
        <f t="shared" ca="1" si="34"/>
        <v>1.0844347304713167</v>
      </c>
      <c r="AP164" s="40"/>
      <c r="AQ164" s="41"/>
    </row>
    <row r="165" spans="2:43" x14ac:dyDescent="0.25">
      <c r="B165" s="1">
        <v>39836</v>
      </c>
      <c r="C165">
        <v>0.85</v>
      </c>
      <c r="D165">
        <v>0.40899999999999997</v>
      </c>
      <c r="E165" t="s">
        <v>33</v>
      </c>
      <c r="G165">
        <v>1066.51</v>
      </c>
      <c r="I165" s="14">
        <f t="shared" si="37"/>
        <v>-3.0786773090079822E-2</v>
      </c>
      <c r="J165" s="15">
        <f t="shared" si="38"/>
        <v>-4.439252336448607E-2</v>
      </c>
      <c r="K165" s="15"/>
      <c r="L165" s="15"/>
      <c r="M165" s="16">
        <f t="shared" si="39"/>
        <v>-2.8644030747932536E-2</v>
      </c>
      <c r="O165" s="13">
        <f t="shared" si="41"/>
        <v>-3.7589648227282946E-2</v>
      </c>
      <c r="Q165" s="5">
        <f t="shared" si="42"/>
        <v>63.72343072286079</v>
      </c>
      <c r="R165" s="6">
        <f t="shared" si="43"/>
        <v>65.985064561433916</v>
      </c>
      <c r="T165" s="11">
        <f t="shared" si="35"/>
        <v>0.96572506439745187</v>
      </c>
      <c r="V165" s="9">
        <v>39836</v>
      </c>
      <c r="W165">
        <v>3415.5</v>
      </c>
      <c r="X165">
        <v>4100.1319999999996</v>
      </c>
      <c r="Y165" t="s">
        <v>33</v>
      </c>
      <c r="AC165" s="24">
        <f t="shared" si="44"/>
        <v>-3.8259643764720443E-2</v>
      </c>
      <c r="AE165" s="5">
        <f t="shared" si="45"/>
        <v>56.87106349548862</v>
      </c>
      <c r="AF165" s="6">
        <f t="shared" si="46"/>
        <v>65.985064561433916</v>
      </c>
      <c r="AH165" s="1">
        <f t="shared" si="36"/>
        <v>39836</v>
      </c>
      <c r="AI165">
        <f t="shared" si="40"/>
        <v>0.8618778184651178</v>
      </c>
      <c r="AJ165">
        <f t="shared" ca="1" si="30"/>
        <v>0.94466894510305677</v>
      </c>
      <c r="AK165">
        <f t="shared" ca="1" si="31"/>
        <v>0.96865789148865689</v>
      </c>
      <c r="AL165">
        <f t="shared" ca="1" si="32"/>
        <v>0.99419849063935972</v>
      </c>
      <c r="AM165">
        <f t="shared" ca="1" si="33"/>
        <v>1.0404739126106337</v>
      </c>
      <c r="AN165">
        <f t="shared" ca="1" si="34"/>
        <v>1.0844347304713167</v>
      </c>
      <c r="AP165" s="40"/>
      <c r="AQ165" s="41"/>
    </row>
    <row r="166" spans="2:43" x14ac:dyDescent="0.25">
      <c r="B166" s="1">
        <v>39843</v>
      </c>
      <c r="C166">
        <v>0.85799999999999998</v>
      </c>
      <c r="D166">
        <v>0.41499999999999998</v>
      </c>
      <c r="E166" t="s">
        <v>33</v>
      </c>
      <c r="G166">
        <v>1077.0899999999999</v>
      </c>
      <c r="I166" s="14">
        <f t="shared" si="37"/>
        <v>9.4117647058824527E-3</v>
      </c>
      <c r="J166" s="15">
        <f t="shared" si="38"/>
        <v>1.4669926650366705E-2</v>
      </c>
      <c r="K166" s="15"/>
      <c r="L166" s="15"/>
      <c r="M166" s="16">
        <f t="shared" si="39"/>
        <v>9.920207030407413E-3</v>
      </c>
      <c r="O166" s="13">
        <f t="shared" si="41"/>
        <v>1.2040845678124579E-2</v>
      </c>
      <c r="Q166" s="5">
        <f t="shared" si="42"/>
        <v>64.490714718275427</v>
      </c>
      <c r="R166" s="6">
        <f t="shared" si="43"/>
        <v>66.63965006279814</v>
      </c>
      <c r="T166" s="11">
        <f t="shared" si="35"/>
        <v>0.96775290172595962</v>
      </c>
      <c r="V166" s="9">
        <v>39843</v>
      </c>
      <c r="W166">
        <v>3445.86</v>
      </c>
      <c r="X166">
        <v>4169.6256999999996</v>
      </c>
      <c r="Y166" t="s">
        <v>33</v>
      </c>
      <c r="AC166" s="24">
        <f t="shared" si="44"/>
        <v>1.2280340236158828E-2</v>
      </c>
      <c r="AE166" s="5">
        <f t="shared" si="45"/>
        <v>57.569459504805415</v>
      </c>
      <c r="AF166" s="6">
        <f t="shared" si="46"/>
        <v>66.63965006279814</v>
      </c>
      <c r="AH166" s="1">
        <f t="shared" si="36"/>
        <v>39843</v>
      </c>
      <c r="AI166">
        <f t="shared" si="40"/>
        <v>0.86389198398482903</v>
      </c>
      <c r="AJ166">
        <f t="shared" ca="1" si="30"/>
        <v>0.93812292225460547</v>
      </c>
      <c r="AK166">
        <f t="shared" ca="1" si="31"/>
        <v>0.96636971420005502</v>
      </c>
      <c r="AL166">
        <f t="shared" ca="1" si="32"/>
        <v>0.99340552116353786</v>
      </c>
      <c r="AM166">
        <f t="shared" ca="1" si="33"/>
        <v>1.0404739126106337</v>
      </c>
      <c r="AN166">
        <f t="shared" ca="1" si="34"/>
        <v>1.0844347304713167</v>
      </c>
      <c r="AP166" s="40"/>
      <c r="AQ166" s="41"/>
    </row>
    <row r="167" spans="2:43" x14ac:dyDescent="0.25">
      <c r="B167" s="1">
        <v>39850</v>
      </c>
      <c r="C167">
        <v>0.81599999999999995</v>
      </c>
      <c r="D167">
        <v>0.39800000000000002</v>
      </c>
      <c r="E167" t="s">
        <v>33</v>
      </c>
      <c r="G167">
        <v>1143.82</v>
      </c>
      <c r="I167" s="14">
        <f t="shared" si="37"/>
        <v>-4.8951048951048959E-2</v>
      </c>
      <c r="J167" s="15">
        <f t="shared" si="38"/>
        <v>-4.0963855421686679E-2</v>
      </c>
      <c r="K167" s="15"/>
      <c r="L167" s="15"/>
      <c r="M167" s="16">
        <f t="shared" si="39"/>
        <v>6.195396856344404E-2</v>
      </c>
      <c r="O167" s="13">
        <f t="shared" si="41"/>
        <v>-4.4957452186367819E-2</v>
      </c>
      <c r="Q167" s="5">
        <f t="shared" si="42"/>
        <v>61.591376494863873</v>
      </c>
      <c r="R167" s="6">
        <f t="shared" si="43"/>
        <v>70.768240847867645</v>
      </c>
      <c r="T167" s="11">
        <f t="shared" si="35"/>
        <v>0.87032510285607467</v>
      </c>
      <c r="V167" s="9">
        <v>39850</v>
      </c>
      <c r="W167">
        <v>3278.88</v>
      </c>
      <c r="X167">
        <v>3995.8912999999998</v>
      </c>
      <c r="Y167" t="s">
        <v>33</v>
      </c>
      <c r="AC167" s="24">
        <f t="shared" si="44"/>
        <v>-4.4577906025850808E-2</v>
      </c>
      <c r="AE167" s="5">
        <f t="shared" si="45"/>
        <v>55.003133549041181</v>
      </c>
      <c r="AF167" s="6">
        <f t="shared" si="46"/>
        <v>70.768240847867645</v>
      </c>
      <c r="AH167" s="1">
        <f t="shared" si="36"/>
        <v>39850</v>
      </c>
      <c r="AI167">
        <f t="shared" si="40"/>
        <v>0.77722906334895159</v>
      </c>
      <c r="AJ167">
        <f t="shared" ca="1" si="30"/>
        <v>0.93543961280286048</v>
      </c>
      <c r="AK167">
        <f t="shared" ca="1" si="31"/>
        <v>0.96521415347129547</v>
      </c>
      <c r="AL167">
        <f t="shared" ca="1" si="32"/>
        <v>0.99340552116353786</v>
      </c>
      <c r="AM167">
        <f t="shared" ca="1" si="33"/>
        <v>1.0404739126106337</v>
      </c>
      <c r="AN167">
        <f t="shared" ca="1" si="34"/>
        <v>1.0844347304713167</v>
      </c>
      <c r="AP167" s="40"/>
      <c r="AQ167" s="41"/>
    </row>
    <row r="168" spans="2:43" x14ac:dyDescent="0.25">
      <c r="B168" s="1">
        <v>39857</v>
      </c>
      <c r="C168">
        <v>0.79</v>
      </c>
      <c r="D168">
        <v>0.39500000000000002</v>
      </c>
      <c r="E168" t="s">
        <v>33</v>
      </c>
      <c r="G168">
        <v>1134.8900000000001</v>
      </c>
      <c r="I168" s="14">
        <f t="shared" si="37"/>
        <v>-3.1862745098039102E-2</v>
      </c>
      <c r="J168" s="15">
        <f t="shared" si="38"/>
        <v>-7.5376884422110324E-3</v>
      </c>
      <c r="K168" s="15"/>
      <c r="L168" s="15"/>
      <c r="M168" s="16">
        <f t="shared" si="39"/>
        <v>-7.8071724572046364E-3</v>
      </c>
      <c r="O168" s="13">
        <f t="shared" si="41"/>
        <v>-1.9700216770125067E-2</v>
      </c>
      <c r="Q168" s="5">
        <f t="shared" si="42"/>
        <v>60.378013026744675</v>
      </c>
      <c r="R168" s="6">
        <f t="shared" si="43"/>
        <v>70.21574098707535</v>
      </c>
      <c r="T168" s="11">
        <f t="shared" si="35"/>
        <v>0.8598928413766721</v>
      </c>
      <c r="V168" s="9">
        <v>39857</v>
      </c>
      <c r="W168">
        <v>3172.62</v>
      </c>
      <c r="X168">
        <v>3961.1444000000001</v>
      </c>
      <c r="Y168" t="s">
        <v>33</v>
      </c>
      <c r="AC168" s="24">
        <f t="shared" si="44"/>
        <v>-1.8501461525725224E-2</v>
      </c>
      <c r="AE168" s="5">
        <f t="shared" si="45"/>
        <v>53.985495189889271</v>
      </c>
      <c r="AF168" s="6">
        <f t="shared" si="46"/>
        <v>70.21574098707535</v>
      </c>
      <c r="AH168" s="1">
        <f t="shared" si="36"/>
        <v>39857</v>
      </c>
      <c r="AI168">
        <f t="shared" si="40"/>
        <v>0.76885174792681321</v>
      </c>
      <c r="AJ168">
        <f t="shared" ca="1" si="30"/>
        <v>0.9299780228460498</v>
      </c>
      <c r="AK168">
        <f t="shared" ca="1" si="31"/>
        <v>0.96256293131971349</v>
      </c>
      <c r="AL168">
        <f t="shared" ca="1" si="32"/>
        <v>0.99340552116353786</v>
      </c>
      <c r="AM168">
        <f t="shared" ca="1" si="33"/>
        <v>1.0404739126106337</v>
      </c>
      <c r="AN168">
        <f t="shared" ca="1" si="34"/>
        <v>1.0844347304713167</v>
      </c>
      <c r="AP168" s="40"/>
      <c r="AQ168" s="41"/>
    </row>
    <row r="169" spans="2:43" x14ac:dyDescent="0.25">
      <c r="B169" s="1">
        <v>39864</v>
      </c>
      <c r="C169">
        <v>0.64200000000000002</v>
      </c>
      <c r="D169">
        <v>0.36699999999999999</v>
      </c>
      <c r="E169" t="s">
        <v>33</v>
      </c>
      <c r="G169">
        <v>1048.6300000000001</v>
      </c>
      <c r="I169" s="14">
        <f t="shared" si="37"/>
        <v>-0.18734177215189873</v>
      </c>
      <c r="J169" s="15">
        <f t="shared" si="38"/>
        <v>-7.0886075949367133E-2</v>
      </c>
      <c r="K169" s="15"/>
      <c r="L169" s="15"/>
      <c r="M169" s="16">
        <f t="shared" si="39"/>
        <v>-7.6007366352686123E-2</v>
      </c>
      <c r="O169" s="13">
        <f t="shared" si="41"/>
        <v>-0.12911392405063293</v>
      </c>
      <c r="Q169" s="5">
        <f t="shared" si="42"/>
        <v>52.582370838481438</v>
      </c>
      <c r="R169" s="6">
        <f t="shared" si="43"/>
        <v>64.878827438145393</v>
      </c>
      <c r="T169" s="11">
        <f t="shared" si="35"/>
        <v>0.810470424864148</v>
      </c>
      <c r="V169" s="9">
        <v>39864</v>
      </c>
      <c r="W169">
        <v>2580.6</v>
      </c>
      <c r="X169">
        <v>3683.1694000000002</v>
      </c>
      <c r="Y169" t="s">
        <v>33</v>
      </c>
      <c r="AC169" s="24">
        <f t="shared" si="44"/>
        <v>-0.12267775985836694</v>
      </c>
      <c r="AE169" s="5">
        <f t="shared" si="45"/>
        <v>47.362675575149012</v>
      </c>
      <c r="AF169" s="6">
        <f t="shared" si="46"/>
        <v>64.878827438145393</v>
      </c>
      <c r="AH169" s="1">
        <f t="shared" si="36"/>
        <v>39864</v>
      </c>
      <c r="AI169">
        <f t="shared" si="40"/>
        <v>0.73001744090248788</v>
      </c>
      <c r="AJ169">
        <f t="shared" ca="1" si="30"/>
        <v>0.87638509566850087</v>
      </c>
      <c r="AK169">
        <f t="shared" ca="1" si="31"/>
        <v>0.95810986983781543</v>
      </c>
      <c r="AL169">
        <f t="shared" ca="1" si="32"/>
        <v>0.99340552116353786</v>
      </c>
      <c r="AM169">
        <f t="shared" ca="1" si="33"/>
        <v>1.0404739126106337</v>
      </c>
      <c r="AN169">
        <f t="shared" ca="1" si="34"/>
        <v>1.0844347304713167</v>
      </c>
      <c r="AP169" s="40"/>
      <c r="AQ169" s="41"/>
    </row>
    <row r="170" spans="2:43" x14ac:dyDescent="0.25">
      <c r="B170" s="1">
        <v>39871</v>
      </c>
      <c r="C170">
        <v>0.66500000000000004</v>
      </c>
      <c r="D170">
        <v>0.31900000000000001</v>
      </c>
      <c r="E170" t="s">
        <v>33</v>
      </c>
      <c r="G170">
        <v>1019.29</v>
      </c>
      <c r="I170" s="14">
        <f t="shared" si="37"/>
        <v>3.5825545171339623E-2</v>
      </c>
      <c r="J170" s="15">
        <f t="shared" si="38"/>
        <v>-0.13079019073569476</v>
      </c>
      <c r="K170" s="15"/>
      <c r="L170" s="15"/>
      <c r="M170" s="16">
        <f t="shared" si="39"/>
        <v>-2.7979363550537539E-2</v>
      </c>
      <c r="O170" s="13">
        <f t="shared" si="41"/>
        <v>-4.7482322782177566E-2</v>
      </c>
      <c r="Q170" s="5">
        <f t="shared" si="42"/>
        <v>50.085637733676499</v>
      </c>
      <c r="R170" s="6">
        <f t="shared" si="43"/>
        <v>63.06355913852093</v>
      </c>
      <c r="T170" s="11">
        <f t="shared" si="35"/>
        <v>0.79420886511752298</v>
      </c>
      <c r="V170" s="9">
        <v>39871</v>
      </c>
      <c r="W170">
        <v>2671.68</v>
      </c>
      <c r="X170">
        <v>3196.7130999999999</v>
      </c>
      <c r="Y170" t="s">
        <v>33</v>
      </c>
      <c r="AC170" s="24">
        <f t="shared" si="44"/>
        <v>-6.2146449144298857E-2</v>
      </c>
      <c r="AE170" s="5">
        <f t="shared" si="45"/>
        <v>44.419253466180088</v>
      </c>
      <c r="AF170" s="6">
        <f t="shared" si="46"/>
        <v>63.06355913852093</v>
      </c>
      <c r="AH170" s="1">
        <f t="shared" si="36"/>
        <v>39871</v>
      </c>
      <c r="AI170">
        <f t="shared" si="40"/>
        <v>0.70435690711036325</v>
      </c>
      <c r="AJ170">
        <f t="shared" ca="1" si="30"/>
        <v>0.86455228478893886</v>
      </c>
      <c r="AK170">
        <f t="shared" ca="1" si="31"/>
        <v>0.95424531169937299</v>
      </c>
      <c r="AL170">
        <f t="shared" ca="1" si="32"/>
        <v>0.99340552116353786</v>
      </c>
      <c r="AM170">
        <f t="shared" ca="1" si="33"/>
        <v>1.0404739126106337</v>
      </c>
      <c r="AN170">
        <f t="shared" ca="1" si="34"/>
        <v>1.0844347304713167</v>
      </c>
      <c r="AP170" s="40"/>
      <c r="AQ170" s="41"/>
    </row>
    <row r="171" spans="2:43" x14ac:dyDescent="0.25">
      <c r="B171" s="1">
        <v>39878</v>
      </c>
      <c r="C171">
        <v>0.60399999999999998</v>
      </c>
      <c r="D171">
        <v>0.28699999999999998</v>
      </c>
      <c r="E171" t="s">
        <v>33</v>
      </c>
      <c r="G171">
        <v>965.02</v>
      </c>
      <c r="I171" s="14">
        <f t="shared" si="37"/>
        <v>-9.1729323308270772E-2</v>
      </c>
      <c r="J171" s="15">
        <f t="shared" si="38"/>
        <v>-0.10031347962382453</v>
      </c>
      <c r="K171" s="15"/>
      <c r="L171" s="15"/>
      <c r="M171" s="16">
        <f t="shared" si="39"/>
        <v>-5.3242943617616167E-2</v>
      </c>
      <c r="O171" s="13">
        <f t="shared" si="41"/>
        <v>-9.6021401466047651E-2</v>
      </c>
      <c r="Q171" s="5">
        <f t="shared" si="42"/>
        <v>45.27634460516812</v>
      </c>
      <c r="R171" s="6">
        <f t="shared" si="43"/>
        <v>59.705869614982454</v>
      </c>
      <c r="T171" s="11">
        <f t="shared" si="35"/>
        <v>0.75832317487603562</v>
      </c>
      <c r="V171" s="9">
        <v>39878</v>
      </c>
      <c r="W171">
        <v>2428.8000000000002</v>
      </c>
      <c r="X171">
        <v>2883.9911000000002</v>
      </c>
      <c r="Y171" t="s">
        <v>33</v>
      </c>
      <c r="AC171" s="24">
        <f t="shared" si="44"/>
        <v>-9.6405404899733774E-2</v>
      </c>
      <c r="AE171" s="5">
        <f t="shared" si="45"/>
        <v>40.136997350429091</v>
      </c>
      <c r="AF171" s="6">
        <f t="shared" si="46"/>
        <v>59.705869614982454</v>
      </c>
      <c r="AH171" s="1">
        <f t="shared" si="36"/>
        <v>39878</v>
      </c>
      <c r="AI171">
        <f t="shared" si="40"/>
        <v>0.67224541924027525</v>
      </c>
      <c r="AJ171">
        <f t="shared" ca="1" si="30"/>
        <v>0.86377283432336405</v>
      </c>
      <c r="AK171">
        <f t="shared" ca="1" si="31"/>
        <v>0.95424531169937299</v>
      </c>
      <c r="AL171">
        <f t="shared" ca="1" si="32"/>
        <v>0.99340552116353786</v>
      </c>
      <c r="AM171">
        <f t="shared" ca="1" si="33"/>
        <v>1.0404739126106337</v>
      </c>
      <c r="AN171">
        <f t="shared" ca="1" si="34"/>
        <v>1.0844347304713167</v>
      </c>
      <c r="AP171" s="40"/>
      <c r="AQ171" s="41"/>
    </row>
    <row r="172" spans="2:43" x14ac:dyDescent="0.25">
      <c r="B172" s="1">
        <v>39885</v>
      </c>
      <c r="C172">
        <v>0.61599999999999999</v>
      </c>
      <c r="D172">
        <v>0.27900000000000003</v>
      </c>
      <c r="E172" t="s">
        <v>33</v>
      </c>
      <c r="G172">
        <v>1043.33</v>
      </c>
      <c r="I172" s="14">
        <f t="shared" si="37"/>
        <v>1.9867549668874274E-2</v>
      </c>
      <c r="J172" s="15">
        <f t="shared" si="38"/>
        <v>-2.7874564459930196E-2</v>
      </c>
      <c r="K172" s="15"/>
      <c r="L172" s="15"/>
      <c r="M172" s="16">
        <f t="shared" si="39"/>
        <v>8.1148577231559882E-2</v>
      </c>
      <c r="O172" s="13">
        <f t="shared" si="41"/>
        <v>-4.003507395527961E-3</v>
      </c>
      <c r="Q172" s="5">
        <f t="shared" si="42"/>
        <v>45.095080424698857</v>
      </c>
      <c r="R172" s="6">
        <f t="shared" si="43"/>
        <v>64.550915986611301</v>
      </c>
      <c r="T172" s="11">
        <f t="shared" si="35"/>
        <v>0.69859706458777693</v>
      </c>
      <c r="V172" s="9">
        <v>39885</v>
      </c>
      <c r="W172">
        <v>2474.34</v>
      </c>
      <c r="X172">
        <v>2797.1239</v>
      </c>
      <c r="Y172" t="s">
        <v>33</v>
      </c>
      <c r="AC172" s="24">
        <f t="shared" si="44"/>
        <v>-6.0487398390373665E-3</v>
      </c>
      <c r="AE172" s="5">
        <f t="shared" si="45"/>
        <v>39.894219095536208</v>
      </c>
      <c r="AF172" s="6">
        <f t="shared" si="46"/>
        <v>64.550915986611301</v>
      </c>
      <c r="AH172" s="1">
        <f t="shared" si="36"/>
        <v>39885</v>
      </c>
      <c r="AI172">
        <f t="shared" si="40"/>
        <v>0.61802715710201217</v>
      </c>
      <c r="AJ172">
        <f t="shared" ca="1" si="30"/>
        <v>0.86206599616581503</v>
      </c>
      <c r="AK172">
        <f t="shared" ca="1" si="31"/>
        <v>0.94993829804980967</v>
      </c>
      <c r="AL172">
        <f t="shared" ca="1" si="32"/>
        <v>0.99340552116353786</v>
      </c>
      <c r="AM172">
        <f t="shared" ca="1" si="33"/>
        <v>1.0404739126106337</v>
      </c>
      <c r="AN172">
        <f t="shared" ca="1" si="34"/>
        <v>1.0844347304713167</v>
      </c>
      <c r="AP172" s="40"/>
      <c r="AQ172" s="41"/>
    </row>
    <row r="173" spans="2:43" x14ac:dyDescent="0.25">
      <c r="B173" s="1">
        <v>39892</v>
      </c>
      <c r="C173">
        <v>0.63100000000000001</v>
      </c>
      <c r="D173">
        <v>0.28000000000000003</v>
      </c>
      <c r="E173" t="s">
        <v>33</v>
      </c>
      <c r="G173">
        <v>1069.53</v>
      </c>
      <c r="I173" s="14">
        <f t="shared" si="37"/>
        <v>2.4350649350649345E-2</v>
      </c>
      <c r="J173" s="15">
        <f t="shared" si="38"/>
        <v>3.5842293906809264E-3</v>
      </c>
      <c r="K173" s="15"/>
      <c r="L173" s="15"/>
      <c r="M173" s="16">
        <f t="shared" si="39"/>
        <v>2.5111901315978624E-2</v>
      </c>
      <c r="O173" s="13">
        <f t="shared" si="41"/>
        <v>1.3967439370665136E-2</v>
      </c>
      <c r="Q173" s="5">
        <f t="shared" si="42"/>
        <v>45.724943226446108</v>
      </c>
      <c r="R173" s="6">
        <f t="shared" si="43"/>
        <v>66.171912218723108</v>
      </c>
      <c r="T173" s="11">
        <f t="shared" si="35"/>
        <v>0.69100229528365353</v>
      </c>
      <c r="V173" s="9">
        <v>39892</v>
      </c>
      <c r="W173">
        <v>2535.06</v>
      </c>
      <c r="X173">
        <v>2814.4974000000002</v>
      </c>
      <c r="Y173" t="s">
        <v>33</v>
      </c>
      <c r="AC173" s="24">
        <f t="shared" si="44"/>
        <v>1.333165146137902E-2</v>
      </c>
      <c r="AE173" s="5">
        <f t="shared" si="45"/>
        <v>40.426074919841788</v>
      </c>
      <c r="AF173" s="6">
        <f t="shared" si="46"/>
        <v>66.171912218723108</v>
      </c>
      <c r="AH173" s="1">
        <f t="shared" si="36"/>
        <v>39892</v>
      </c>
      <c r="AI173">
        <f t="shared" si="40"/>
        <v>0.61092499165232483</v>
      </c>
      <c r="AJ173">
        <f t="shared" ca="1" si="30"/>
        <v>0.78569393886056826</v>
      </c>
      <c r="AK173">
        <f t="shared" ca="1" si="31"/>
        <v>0.94631480068663976</v>
      </c>
      <c r="AL173">
        <f t="shared" ca="1" si="32"/>
        <v>0.99340552116353786</v>
      </c>
      <c r="AM173">
        <f t="shared" ca="1" si="33"/>
        <v>1.0404739126106337</v>
      </c>
      <c r="AN173">
        <f t="shared" ca="1" si="34"/>
        <v>1.0844347304713167</v>
      </c>
      <c r="AP173" s="40"/>
      <c r="AQ173" s="41"/>
    </row>
    <row r="174" spans="2:43" x14ac:dyDescent="0.25">
      <c r="B174" s="1">
        <v>39899</v>
      </c>
      <c r="C174">
        <v>0.69499999999999995</v>
      </c>
      <c r="D174">
        <v>0.308</v>
      </c>
      <c r="E174" t="s">
        <v>33</v>
      </c>
      <c r="G174">
        <v>1165.27</v>
      </c>
      <c r="I174" s="14">
        <f t="shared" si="37"/>
        <v>0.10142630744849446</v>
      </c>
      <c r="J174" s="15">
        <f t="shared" si="38"/>
        <v>9.9999999999999867E-2</v>
      </c>
      <c r="K174" s="15"/>
      <c r="L174" s="15"/>
      <c r="M174" s="16">
        <f t="shared" si="39"/>
        <v>8.9515955606668252E-2</v>
      </c>
      <c r="O174" s="13">
        <f t="shared" si="41"/>
        <v>0.10071315372424716</v>
      </c>
      <c r="Q174" s="5">
        <f t="shared" si="42"/>
        <v>50.330046462643651</v>
      </c>
      <c r="R174" s="6">
        <f t="shared" si="43"/>
        <v>72.095354175302674</v>
      </c>
      <c r="T174" s="11">
        <f t="shared" si="35"/>
        <v>0.69810387976268451</v>
      </c>
      <c r="V174" s="9">
        <v>39899</v>
      </c>
      <c r="W174">
        <v>2793.12</v>
      </c>
      <c r="X174">
        <v>3092.4724000000001</v>
      </c>
      <c r="Y174" t="s">
        <v>33</v>
      </c>
      <c r="AC174" s="24">
        <f t="shared" si="44"/>
        <v>0.10067590170364001</v>
      </c>
      <c r="AE174" s="5">
        <f t="shared" si="45"/>
        <v>44.496006464735771</v>
      </c>
      <c r="AF174" s="6">
        <f t="shared" si="46"/>
        <v>72.095354175302674</v>
      </c>
      <c r="AH174" s="1">
        <f t="shared" si="36"/>
        <v>39899</v>
      </c>
      <c r="AI174">
        <f t="shared" si="40"/>
        <v>0.61718271549844939</v>
      </c>
      <c r="AJ174">
        <f t="shared" ca="1" si="30"/>
        <v>0.7696894794690271</v>
      </c>
      <c r="AK174">
        <f t="shared" ca="1" si="31"/>
        <v>0.93689327545051637</v>
      </c>
      <c r="AL174">
        <f t="shared" ca="1" si="32"/>
        <v>0.99340552116353786</v>
      </c>
      <c r="AM174">
        <f t="shared" ca="1" si="33"/>
        <v>1.0404739126106337</v>
      </c>
      <c r="AN174">
        <f t="shared" ca="1" si="34"/>
        <v>1.0844347304713167</v>
      </c>
      <c r="AP174" s="40"/>
      <c r="AQ174" s="41"/>
    </row>
    <row r="175" spans="2:43" x14ac:dyDescent="0.25">
      <c r="B175" s="1">
        <v>39906</v>
      </c>
      <c r="C175">
        <v>0.67200000000000004</v>
      </c>
      <c r="D175">
        <v>0.308</v>
      </c>
      <c r="E175" t="s">
        <v>33</v>
      </c>
      <c r="G175">
        <v>1196.97</v>
      </c>
      <c r="I175" s="14">
        <f t="shared" si="37"/>
        <v>-3.3093525179855976E-2</v>
      </c>
      <c r="J175" s="15">
        <f t="shared" si="38"/>
        <v>0</v>
      </c>
      <c r="K175" s="15"/>
      <c r="L175" s="15"/>
      <c r="M175" s="16">
        <f t="shared" si="39"/>
        <v>2.7203995640495471E-2</v>
      </c>
      <c r="O175" s="13">
        <f t="shared" si="41"/>
        <v>-1.6546762589927988E-2</v>
      </c>
      <c r="Q175" s="5">
        <f t="shared" si="42"/>
        <v>49.49724713268624</v>
      </c>
      <c r="R175" s="6">
        <f t="shared" si="43"/>
        <v>74.056635875987581</v>
      </c>
      <c r="T175" s="11">
        <f t="shared" si="35"/>
        <v>0.66837018110804336</v>
      </c>
      <c r="V175" s="9">
        <v>39906</v>
      </c>
      <c r="W175">
        <v>2702.04</v>
      </c>
      <c r="X175">
        <v>3092.4724000000001</v>
      </c>
      <c r="Y175" t="s">
        <v>33</v>
      </c>
      <c r="AC175" s="24">
        <f t="shared" si="44"/>
        <v>-1.5705162839743936E-2</v>
      </c>
      <c r="AE175" s="5">
        <f t="shared" si="45"/>
        <v>43.797189437488797</v>
      </c>
      <c r="AF175" s="6">
        <f t="shared" si="46"/>
        <v>74.056635875987581</v>
      </c>
      <c r="AH175" s="1">
        <f t="shared" si="36"/>
        <v>39906</v>
      </c>
      <c r="AI175">
        <f t="shared" si="40"/>
        <v>0.59140128253773094</v>
      </c>
      <c r="AJ175">
        <f t="shared" ca="1" si="30"/>
        <v>0.73390087160492046</v>
      </c>
      <c r="AK175">
        <f t="shared" ca="1" si="31"/>
        <v>0.9337609864095624</v>
      </c>
      <c r="AL175">
        <f t="shared" ca="1" si="32"/>
        <v>0.99340552116353786</v>
      </c>
      <c r="AM175">
        <f t="shared" ca="1" si="33"/>
        <v>1.0404739126106337</v>
      </c>
      <c r="AN175">
        <f t="shared" ca="1" si="34"/>
        <v>1.0844347304713167</v>
      </c>
      <c r="AP175" s="40"/>
      <c r="AQ175" s="41"/>
    </row>
    <row r="176" spans="2:43" x14ac:dyDescent="0.25">
      <c r="B176" s="1">
        <v>39913</v>
      </c>
      <c r="C176">
        <v>0.68</v>
      </c>
      <c r="D176">
        <v>0.29799999999999999</v>
      </c>
      <c r="E176" t="s">
        <v>33</v>
      </c>
      <c r="G176">
        <v>1163.0999999999999</v>
      </c>
      <c r="I176" s="14">
        <f t="shared" si="37"/>
        <v>1.1904761904761862E-2</v>
      </c>
      <c r="J176" s="15">
        <f t="shared" si="38"/>
        <v>-3.2467532467532534E-2</v>
      </c>
      <c r="K176" s="15"/>
      <c r="L176" s="15"/>
      <c r="M176" s="16">
        <f t="shared" si="39"/>
        <v>-2.829644853254476E-2</v>
      </c>
      <c r="O176" s="13">
        <f t="shared" si="41"/>
        <v>-1.0281385281385336E-2</v>
      </c>
      <c r="Q176" s="5">
        <f t="shared" si="42"/>
        <v>48.988346864547147</v>
      </c>
      <c r="R176" s="6">
        <f t="shared" si="43"/>
        <v>71.961096090429294</v>
      </c>
      <c r="T176" s="11">
        <f t="shared" si="35"/>
        <v>0.68076154375117304</v>
      </c>
      <c r="V176" s="9">
        <v>39913</v>
      </c>
      <c r="W176">
        <v>2732.4</v>
      </c>
      <c r="X176">
        <v>2988.2318</v>
      </c>
      <c r="Y176" t="s">
        <v>33</v>
      </c>
      <c r="AC176" s="24">
        <f t="shared" si="44"/>
        <v>-1.1776280812653975E-2</v>
      </c>
      <c r="AE176" s="5">
        <f t="shared" si="45"/>
        <v>43.281421435867927</v>
      </c>
      <c r="AF176" s="6">
        <f t="shared" si="46"/>
        <v>71.961096090429294</v>
      </c>
      <c r="AH176" s="1">
        <f t="shared" si="36"/>
        <v>39913</v>
      </c>
      <c r="AI176">
        <f t="shared" si="40"/>
        <v>0.60145583915896317</v>
      </c>
      <c r="AJ176">
        <f t="shared" ca="1" si="30"/>
        <v>0.7069229604895757</v>
      </c>
      <c r="AK176">
        <f t="shared" ca="1" si="31"/>
        <v>0.91467076934522928</v>
      </c>
      <c r="AL176">
        <f t="shared" ca="1" si="32"/>
        <v>0.99340552116353786</v>
      </c>
      <c r="AM176">
        <f t="shared" ca="1" si="33"/>
        <v>1.0404739126106337</v>
      </c>
      <c r="AN176">
        <f t="shared" ca="1" si="34"/>
        <v>1.0844347304713167</v>
      </c>
      <c r="AP176" s="40"/>
      <c r="AQ176" s="41"/>
    </row>
    <row r="177" spans="2:43" x14ac:dyDescent="0.25">
      <c r="B177" s="1">
        <v>39920</v>
      </c>
      <c r="C177">
        <v>0.74</v>
      </c>
      <c r="D177">
        <v>0.30299999999999999</v>
      </c>
      <c r="E177" t="s">
        <v>33</v>
      </c>
      <c r="G177">
        <v>1258.47</v>
      </c>
      <c r="I177" s="14">
        <f t="shared" si="37"/>
        <v>8.8235294117646967E-2</v>
      </c>
      <c r="J177" s="15">
        <f t="shared" si="38"/>
        <v>1.6778523489932917E-2</v>
      </c>
      <c r="K177" s="15"/>
      <c r="L177" s="15"/>
      <c r="M177" s="16">
        <f t="shared" si="39"/>
        <v>8.1996388960536626E-2</v>
      </c>
      <c r="O177" s="13">
        <f t="shared" si="41"/>
        <v>5.2506908803789942E-2</v>
      </c>
      <c r="Q177" s="5">
        <f t="shared" si="42"/>
        <v>51.560573525812352</v>
      </c>
      <c r="R177" s="6">
        <f t="shared" si="43"/>
        <v>77.861646115486693</v>
      </c>
      <c r="T177" s="11">
        <f t="shared" si="35"/>
        <v>0.66220759639908189</v>
      </c>
      <c r="V177" s="9">
        <v>39920</v>
      </c>
      <c r="W177">
        <v>2975.28</v>
      </c>
      <c r="X177">
        <v>3040.3521000000001</v>
      </c>
      <c r="Y177" t="s">
        <v>33</v>
      </c>
      <c r="AC177" s="24">
        <f t="shared" si="44"/>
        <v>5.0909103273649441E-2</v>
      </c>
      <c r="AE177" s="5">
        <f t="shared" si="45"/>
        <v>45.484839789576874</v>
      </c>
      <c r="AF177" s="6">
        <f t="shared" si="46"/>
        <v>77.861646115486693</v>
      </c>
      <c r="AH177" s="1">
        <f t="shared" si="36"/>
        <v>39920</v>
      </c>
      <c r="AI177">
        <f t="shared" si="40"/>
        <v>0.58417516272533487</v>
      </c>
      <c r="AJ177">
        <f t="shared" ca="1" si="30"/>
        <v>0.67545656802728404</v>
      </c>
      <c r="AK177">
        <f t="shared" ca="1" si="31"/>
        <v>0.86884424001565275</v>
      </c>
      <c r="AL177">
        <f t="shared" ca="1" si="32"/>
        <v>0.99340552116353786</v>
      </c>
      <c r="AM177">
        <f t="shared" ca="1" si="33"/>
        <v>1.0404739126106337</v>
      </c>
      <c r="AN177">
        <f t="shared" ca="1" si="34"/>
        <v>1.0844347304713167</v>
      </c>
      <c r="AP177" s="40"/>
      <c r="AQ177" s="41"/>
    </row>
    <row r="178" spans="2:43" x14ac:dyDescent="0.25">
      <c r="B178" s="1">
        <v>39927</v>
      </c>
      <c r="C178">
        <v>0.71399999999999997</v>
      </c>
      <c r="D178">
        <v>0.27500000000000002</v>
      </c>
      <c r="E178" t="s">
        <v>33</v>
      </c>
      <c r="G178">
        <v>1259.23</v>
      </c>
      <c r="I178" s="14">
        <f t="shared" si="37"/>
        <v>-3.513513513513522E-2</v>
      </c>
      <c r="J178" s="15">
        <f t="shared" si="38"/>
        <v>-9.2409240924092306E-2</v>
      </c>
      <c r="K178" s="15"/>
      <c r="L178" s="15"/>
      <c r="M178" s="16">
        <f t="shared" si="39"/>
        <v>6.0390791993447657E-4</v>
      </c>
      <c r="O178" s="13">
        <f t="shared" si="41"/>
        <v>-6.3772188029613763E-2</v>
      </c>
      <c r="Q178" s="5">
        <f t="shared" si="42"/>
        <v>48.272442936009519</v>
      </c>
      <c r="R178" s="6">
        <f t="shared" si="43"/>
        <v>77.908667380234974</v>
      </c>
      <c r="T178" s="11">
        <f t="shared" si="35"/>
        <v>0.61960298589648299</v>
      </c>
      <c r="V178" s="9">
        <v>39927</v>
      </c>
      <c r="W178">
        <v>2869.02</v>
      </c>
      <c r="X178">
        <v>2762.377</v>
      </c>
      <c r="Y178" t="s">
        <v>33</v>
      </c>
      <c r="AC178" s="24">
        <f t="shared" si="44"/>
        <v>-6.4081959827269871E-2</v>
      </c>
      <c r="AE178" s="5">
        <f t="shared" si="45"/>
        <v>42.570082113431404</v>
      </c>
      <c r="AF178" s="6">
        <f t="shared" si="46"/>
        <v>77.908667380234974</v>
      </c>
      <c r="AH178" s="1">
        <f t="shared" si="36"/>
        <v>39927</v>
      </c>
      <c r="AI178">
        <f t="shared" si="40"/>
        <v>0.54641009203336999</v>
      </c>
      <c r="AJ178">
        <f t="shared" ca="1" si="30"/>
        <v>0.62344898331583853</v>
      </c>
      <c r="AK178">
        <f t="shared" ca="1" si="31"/>
        <v>0.86385888685664436</v>
      </c>
      <c r="AL178">
        <f t="shared" ca="1" si="32"/>
        <v>0.99340552116353786</v>
      </c>
      <c r="AM178">
        <f t="shared" ca="1" si="33"/>
        <v>1.0404739126106337</v>
      </c>
      <c r="AN178">
        <f t="shared" ca="1" si="34"/>
        <v>1.0844347304713167</v>
      </c>
      <c r="AP178" s="40"/>
      <c r="AQ178" s="41"/>
    </row>
    <row r="179" spans="2:43" x14ac:dyDescent="0.25">
      <c r="B179" s="1">
        <v>39934</v>
      </c>
      <c r="C179">
        <v>0.71</v>
      </c>
      <c r="D179">
        <v>0.29099999999999998</v>
      </c>
      <c r="E179" t="s">
        <v>33</v>
      </c>
      <c r="G179">
        <v>1275.25</v>
      </c>
      <c r="I179" s="14">
        <f t="shared" si="37"/>
        <v>-5.6022408963585235E-3</v>
      </c>
      <c r="J179" s="15">
        <f t="shared" si="38"/>
        <v>5.8181818181818112E-2</v>
      </c>
      <c r="K179" s="15"/>
      <c r="L179" s="15"/>
      <c r="M179" s="16">
        <f t="shared" si="39"/>
        <v>1.2722060306695315E-2</v>
      </c>
      <c r="O179" s="13">
        <f t="shared" si="41"/>
        <v>2.6289788642729794E-2</v>
      </c>
      <c r="Q179" s="5">
        <f t="shared" si="42"/>
        <v>49.541515258065445</v>
      </c>
      <c r="R179" s="6">
        <f t="shared" si="43"/>
        <v>78.899826145060587</v>
      </c>
      <c r="T179" s="11">
        <f t="shared" si="35"/>
        <v>0.62790398507319045</v>
      </c>
      <c r="V179" s="9">
        <v>39934</v>
      </c>
      <c r="W179">
        <v>2853.84</v>
      </c>
      <c r="X179">
        <v>2918.7379999999998</v>
      </c>
      <c r="Y179" t="s">
        <v>33</v>
      </c>
      <c r="AC179" s="24">
        <f t="shared" si="44"/>
        <v>2.5685842285167546E-2</v>
      </c>
      <c r="AE179" s="5">
        <f t="shared" si="45"/>
        <v>43.663530528663635</v>
      </c>
      <c r="AF179" s="6">
        <f t="shared" si="46"/>
        <v>78.899826145060587</v>
      </c>
      <c r="AH179" s="1">
        <f t="shared" si="36"/>
        <v>39934</v>
      </c>
      <c r="AI179">
        <f t="shared" si="40"/>
        <v>0.55340464817230939</v>
      </c>
      <c r="AJ179">
        <f t="shared" ca="1" si="30"/>
        <v>0.61726715965880563</v>
      </c>
      <c r="AK179">
        <f t="shared" ca="1" si="31"/>
        <v>0.86328915122034711</v>
      </c>
      <c r="AL179">
        <f t="shared" ca="1" si="32"/>
        <v>0.99340552116353786</v>
      </c>
      <c r="AM179">
        <f t="shared" ca="1" si="33"/>
        <v>1.0404739126106337</v>
      </c>
      <c r="AN179">
        <f t="shared" ca="1" si="34"/>
        <v>1.0844347304713167</v>
      </c>
      <c r="AP179" s="40"/>
      <c r="AQ179" s="41"/>
    </row>
    <row r="180" spans="2:43" x14ac:dyDescent="0.25">
      <c r="B180" s="1">
        <v>39941</v>
      </c>
      <c r="C180">
        <v>0.82</v>
      </c>
      <c r="D180">
        <v>0.36899999999999999</v>
      </c>
      <c r="E180" t="s">
        <v>33</v>
      </c>
      <c r="G180">
        <v>1500.06</v>
      </c>
      <c r="I180" s="14">
        <f t="shared" si="37"/>
        <v>0.15492957746478875</v>
      </c>
      <c r="J180" s="15">
        <f t="shared" si="38"/>
        <v>0.26804123711340222</v>
      </c>
      <c r="K180" s="15"/>
      <c r="L180" s="15"/>
      <c r="M180" s="16">
        <f t="shared" si="39"/>
        <v>0.17628700254851992</v>
      </c>
      <c r="O180" s="13">
        <f t="shared" si="41"/>
        <v>0.21148540728909548</v>
      </c>
      <c r="Q180" s="5">
        <f t="shared" si="42"/>
        <v>60.018822790136355</v>
      </c>
      <c r="R180" s="6">
        <f t="shared" si="43"/>
        <v>92.808839997772665</v>
      </c>
      <c r="T180" s="11">
        <f t="shared" si="35"/>
        <v>0.64669295286501538</v>
      </c>
      <c r="V180" s="9">
        <v>39941</v>
      </c>
      <c r="W180">
        <v>3294.06</v>
      </c>
      <c r="X180">
        <v>3700.5428000000002</v>
      </c>
      <c r="Y180" t="s">
        <v>33</v>
      </c>
      <c r="AC180" s="24">
        <f t="shared" si="44"/>
        <v>0.21212123416643486</v>
      </c>
      <c r="AE180" s="5">
        <f t="shared" si="45"/>
        <v>52.925492512467571</v>
      </c>
      <c r="AF180" s="6">
        <f t="shared" si="46"/>
        <v>92.808839997772665</v>
      </c>
      <c r="AH180" s="1">
        <f t="shared" si="36"/>
        <v>39941</v>
      </c>
      <c r="AI180">
        <f t="shared" si="40"/>
        <v>0.5702634847471183</v>
      </c>
      <c r="AJ180">
        <f t="shared" ca="1" si="30"/>
        <v>0.61155076403693731</v>
      </c>
      <c r="AK180">
        <f t="shared" ca="1" si="31"/>
        <v>0.84071562968607627</v>
      </c>
      <c r="AL180">
        <f t="shared" ca="1" si="32"/>
        <v>0.99340552116353786</v>
      </c>
      <c r="AM180">
        <f t="shared" ca="1" si="33"/>
        <v>1.0404739126106337</v>
      </c>
      <c r="AN180">
        <f t="shared" ca="1" si="34"/>
        <v>1.0844347304713167</v>
      </c>
      <c r="AP180" s="40"/>
      <c r="AQ180" s="41"/>
    </row>
    <row r="181" spans="2:43" x14ac:dyDescent="0.25">
      <c r="B181" s="1">
        <v>39948</v>
      </c>
      <c r="C181">
        <v>0.79300000000000004</v>
      </c>
      <c r="D181">
        <v>0.374</v>
      </c>
      <c r="E181" t="s">
        <v>33</v>
      </c>
      <c r="G181">
        <v>1438.64</v>
      </c>
      <c r="I181" s="14">
        <f t="shared" si="37"/>
        <v>-3.2926829268292601E-2</v>
      </c>
      <c r="J181" s="15">
        <f t="shared" si="38"/>
        <v>1.3550135501354976E-2</v>
      </c>
      <c r="K181" s="15"/>
      <c r="L181" s="15"/>
      <c r="M181" s="16">
        <f t="shared" si="39"/>
        <v>-4.094502886551199E-2</v>
      </c>
      <c r="O181" s="13">
        <f t="shared" si="41"/>
        <v>-9.6883468834688125E-3</v>
      </c>
      <c r="Q181" s="5">
        <f t="shared" si="42"/>
        <v>59.437339615408071</v>
      </c>
      <c r="R181" s="6">
        <f t="shared" si="43"/>
        <v>89.008779365089183</v>
      </c>
      <c r="T181" s="11">
        <f t="shared" si="35"/>
        <v>0.66776940476413771</v>
      </c>
      <c r="V181" s="9">
        <v>39948</v>
      </c>
      <c r="W181">
        <v>3187.8</v>
      </c>
      <c r="X181">
        <v>3752.6632</v>
      </c>
      <c r="Y181" t="s">
        <v>33</v>
      </c>
      <c r="AC181" s="24">
        <f t="shared" si="44"/>
        <v>-8.337870858220622E-3</v>
      </c>
      <c r="AE181" s="5">
        <f t="shared" si="45"/>
        <v>52.484206590790897</v>
      </c>
      <c r="AF181" s="6">
        <f t="shared" si="46"/>
        <v>89.008779365089183</v>
      </c>
      <c r="AH181" s="1">
        <f t="shared" si="36"/>
        <v>39948</v>
      </c>
      <c r="AI181">
        <f t="shared" si="40"/>
        <v>0.58965202045424436</v>
      </c>
      <c r="AJ181">
        <f t="shared" ca="1" si="30"/>
        <v>0.60240275440829938</v>
      </c>
      <c r="AK181">
        <f t="shared" ca="1" si="31"/>
        <v>0.77513473449341697</v>
      </c>
      <c r="AL181">
        <f t="shared" ca="1" si="32"/>
        <v>0.99340552116353786</v>
      </c>
      <c r="AM181">
        <f t="shared" ca="1" si="33"/>
        <v>1.0404739126106337</v>
      </c>
      <c r="AN181">
        <f t="shared" ca="1" si="34"/>
        <v>1.0844347304713167</v>
      </c>
      <c r="AP181" s="40"/>
      <c r="AQ181" s="41"/>
    </row>
    <row r="182" spans="2:43" x14ac:dyDescent="0.25">
      <c r="B182" s="1">
        <v>39955</v>
      </c>
      <c r="C182">
        <v>0.88400000000000001</v>
      </c>
      <c r="D182">
        <v>0.38800000000000001</v>
      </c>
      <c r="E182" t="s">
        <v>33</v>
      </c>
      <c r="G182">
        <v>1562.4</v>
      </c>
      <c r="I182" s="14">
        <f t="shared" si="37"/>
        <v>0.11475409836065564</v>
      </c>
      <c r="J182" s="15">
        <f t="shared" si="38"/>
        <v>3.7433155080213831E-2</v>
      </c>
      <c r="K182" s="15"/>
      <c r="L182" s="15"/>
      <c r="M182" s="16">
        <f t="shared" si="39"/>
        <v>8.6025690930322973E-2</v>
      </c>
      <c r="O182" s="13">
        <f t="shared" si="41"/>
        <v>7.6093626720434737E-2</v>
      </c>
      <c r="Q182" s="5">
        <f t="shared" si="42"/>
        <v>63.960142349358648</v>
      </c>
      <c r="R182" s="6">
        <f t="shared" si="43"/>
        <v>96.665821108835658</v>
      </c>
      <c r="T182" s="11">
        <f t="shared" si="35"/>
        <v>0.66166243265389724</v>
      </c>
      <c r="V182" s="9">
        <v>39955</v>
      </c>
      <c r="W182">
        <v>3552.12</v>
      </c>
      <c r="X182">
        <v>3891.6507000000001</v>
      </c>
      <c r="Y182" t="s">
        <v>33</v>
      </c>
      <c r="AC182" s="24">
        <f t="shared" si="44"/>
        <v>7.2947168466149279E-2</v>
      </c>
      <c r="AE182" s="5">
        <f t="shared" si="45"/>
        <v>56.312780850781508</v>
      </c>
      <c r="AF182" s="6">
        <f t="shared" si="46"/>
        <v>96.665821108835658</v>
      </c>
      <c r="AH182" s="1">
        <f t="shared" si="36"/>
        <v>39955</v>
      </c>
      <c r="AI182">
        <f t="shared" si="40"/>
        <v>0.58255110446306735</v>
      </c>
      <c r="AJ182">
        <f t="shared" ca="1" si="30"/>
        <v>0.59240673819985412</v>
      </c>
      <c r="AK182">
        <f t="shared" ca="1" si="31"/>
        <v>0.75914317117073193</v>
      </c>
      <c r="AL182">
        <f t="shared" ca="1" si="32"/>
        <v>0.99340552116353786</v>
      </c>
      <c r="AM182">
        <f t="shared" ca="1" si="33"/>
        <v>1.0404739126106337</v>
      </c>
      <c r="AN182">
        <f t="shared" ca="1" si="34"/>
        <v>1.0844347304713167</v>
      </c>
      <c r="AP182" s="40"/>
      <c r="AQ182" s="41"/>
    </row>
    <row r="183" spans="2:43" x14ac:dyDescent="0.25">
      <c r="B183" s="1">
        <v>39962</v>
      </c>
      <c r="C183">
        <v>0.81599999999999995</v>
      </c>
      <c r="D183">
        <v>0.30299999999999999</v>
      </c>
      <c r="E183" t="s">
        <v>33</v>
      </c>
      <c r="G183">
        <v>1587.21</v>
      </c>
      <c r="I183" s="14">
        <f t="shared" si="37"/>
        <v>-7.6923076923076983E-2</v>
      </c>
      <c r="J183" s="15">
        <f t="shared" si="38"/>
        <v>-0.21907216494845361</v>
      </c>
      <c r="K183" s="15"/>
      <c r="L183" s="15"/>
      <c r="M183" s="16">
        <f t="shared" si="39"/>
        <v>1.5879416282642111E-2</v>
      </c>
      <c r="O183" s="13">
        <f t="shared" si="41"/>
        <v>-0.14799762093576529</v>
      </c>
      <c r="Q183" s="5">
        <f t="shared" si="42"/>
        <v>54.494193446940677</v>
      </c>
      <c r="R183" s="6">
        <f t="shared" si="43"/>
        <v>98.200817922526269</v>
      </c>
      <c r="T183" s="11">
        <f t="shared" si="35"/>
        <v>0.55492606476997852</v>
      </c>
      <c r="V183" s="9">
        <v>39962</v>
      </c>
      <c r="W183">
        <v>3278.88</v>
      </c>
      <c r="X183">
        <v>3040.3521000000001</v>
      </c>
      <c r="Y183" t="s">
        <v>33</v>
      </c>
      <c r="AC183" s="24">
        <f t="shared" si="44"/>
        <v>-0.15123952489188916</v>
      </c>
      <c r="AE183" s="5">
        <f t="shared" si="45"/>
        <v>47.79606262956824</v>
      </c>
      <c r="AF183" s="6">
        <f t="shared" si="46"/>
        <v>98.200817922526269</v>
      </c>
      <c r="AH183" s="1">
        <f t="shared" si="36"/>
        <v>39962</v>
      </c>
      <c r="AI183">
        <f t="shared" si="40"/>
        <v>0.48671756142882705</v>
      </c>
      <c r="AJ183">
        <f t="shared" ca="1" si="30"/>
        <v>0.58982694666259305</v>
      </c>
      <c r="AK183">
        <f t="shared" ca="1" si="31"/>
        <v>0.72360230745445675</v>
      </c>
      <c r="AL183">
        <f t="shared" ca="1" si="32"/>
        <v>0.99340552116353786</v>
      </c>
      <c r="AM183">
        <f t="shared" ca="1" si="33"/>
        <v>1.0404739126106337</v>
      </c>
      <c r="AN183">
        <f t="shared" ca="1" si="34"/>
        <v>1.0844347304713167</v>
      </c>
      <c r="AP183" s="40"/>
      <c r="AQ183" s="41"/>
    </row>
    <row r="184" spans="2:43" x14ac:dyDescent="0.25">
      <c r="B184" s="1">
        <v>39969</v>
      </c>
      <c r="C184">
        <v>0.86899999999999999</v>
      </c>
      <c r="D184">
        <v>0.32200000000000001</v>
      </c>
      <c r="E184" t="s">
        <v>33</v>
      </c>
      <c r="G184">
        <v>1638.1</v>
      </c>
      <c r="I184" s="14">
        <f t="shared" si="37"/>
        <v>6.4950980392156854E-2</v>
      </c>
      <c r="J184" s="15">
        <f t="shared" si="38"/>
        <v>6.2706270627062688E-2</v>
      </c>
      <c r="K184" s="15"/>
      <c r="L184" s="15"/>
      <c r="M184" s="16">
        <f t="shared" si="39"/>
        <v>3.2062550009135382E-2</v>
      </c>
      <c r="O184" s="13">
        <f t="shared" si="41"/>
        <v>6.3828625509609771E-2</v>
      </c>
      <c r="Q184" s="5">
        <f t="shared" si="42"/>
        <v>57.972482912913691</v>
      </c>
      <c r="R184" s="6">
        <f t="shared" si="43"/>
        <v>101.34938655810527</v>
      </c>
      <c r="T184" s="11">
        <f t="shared" si="35"/>
        <v>0.57200625363111712</v>
      </c>
      <c r="V184" s="9">
        <v>39969</v>
      </c>
      <c r="W184">
        <v>3491.4</v>
      </c>
      <c r="X184">
        <v>3231.4598999999998</v>
      </c>
      <c r="Y184" t="s">
        <v>33</v>
      </c>
      <c r="AC184" s="24">
        <f t="shared" si="44"/>
        <v>6.3870990301557948E-2</v>
      </c>
      <c r="AE184" s="5">
        <f t="shared" si="45"/>
        <v>50.84884448223405</v>
      </c>
      <c r="AF184" s="6">
        <f t="shared" si="46"/>
        <v>101.34938655810527</v>
      </c>
      <c r="AH184" s="1">
        <f t="shared" si="36"/>
        <v>39969</v>
      </c>
      <c r="AI184">
        <f t="shared" si="40"/>
        <v>0.50171832518277326</v>
      </c>
      <c r="AJ184">
        <f t="shared" ca="1" si="30"/>
        <v>0.58472284849822587</v>
      </c>
      <c r="AK184">
        <f t="shared" ca="1" si="31"/>
        <v>0.69632903514284128</v>
      </c>
      <c r="AL184">
        <f t="shared" ca="1" si="32"/>
        <v>0.99077219758833013</v>
      </c>
      <c r="AM184">
        <f t="shared" ca="1" si="33"/>
        <v>1.0404739126106337</v>
      </c>
      <c r="AN184">
        <f t="shared" ca="1" si="34"/>
        <v>1.0844347304713167</v>
      </c>
      <c r="AP184" s="40"/>
      <c r="AQ184" s="41"/>
    </row>
    <row r="185" spans="2:43" x14ac:dyDescent="0.25">
      <c r="B185" s="1">
        <v>39976</v>
      </c>
      <c r="C185">
        <v>0.98199999999999998</v>
      </c>
      <c r="D185">
        <v>0.35299999999999998</v>
      </c>
      <c r="E185" t="s">
        <v>33</v>
      </c>
      <c r="G185">
        <v>1654.56</v>
      </c>
      <c r="I185" s="14">
        <f t="shared" si="37"/>
        <v>0.1300345224395858</v>
      </c>
      <c r="J185" s="15">
        <f t="shared" si="38"/>
        <v>9.6273291925465854E-2</v>
      </c>
      <c r="K185" s="15"/>
      <c r="L185" s="15"/>
      <c r="M185" s="16">
        <f t="shared" si="39"/>
        <v>1.0048226603992516E-2</v>
      </c>
      <c r="O185" s="13">
        <f t="shared" si="41"/>
        <v>0.11315390718252583</v>
      </c>
      <c r="Q185" s="5">
        <f t="shared" si="42"/>
        <v>64.532295863582092</v>
      </c>
      <c r="R185" s="6">
        <f t="shared" si="43"/>
        <v>102.36776816041674</v>
      </c>
      <c r="T185" s="11">
        <f t="shared" si="35"/>
        <v>0.630396627993842</v>
      </c>
      <c r="V185" s="9">
        <v>39976</v>
      </c>
      <c r="W185">
        <v>3946.8</v>
      </c>
      <c r="X185">
        <v>3544.1819</v>
      </c>
      <c r="Y185" t="s">
        <v>33</v>
      </c>
      <c r="AC185" s="24">
        <f t="shared" si="44"/>
        <v>0.11380659798424576</v>
      </c>
      <c r="AE185" s="5">
        <f t="shared" si="45"/>
        <v>56.635778484187092</v>
      </c>
      <c r="AF185" s="6">
        <f t="shared" si="46"/>
        <v>102.36776816041674</v>
      </c>
      <c r="AH185" s="1">
        <f t="shared" si="36"/>
        <v>39976</v>
      </c>
      <c r="AI185">
        <f t="shared" si="40"/>
        <v>0.55325791996788731</v>
      </c>
      <c r="AJ185">
        <f t="shared" ca="1" si="30"/>
        <v>0.58271351028929408</v>
      </c>
      <c r="AK185">
        <f t="shared" ca="1" si="31"/>
        <v>0.65869085370570946</v>
      </c>
      <c r="AL185">
        <f t="shared" ca="1" si="32"/>
        <v>0.98418880462250757</v>
      </c>
      <c r="AM185">
        <f t="shared" ca="1" si="33"/>
        <v>1.0404739126106337</v>
      </c>
      <c r="AN185">
        <f t="shared" ca="1" si="34"/>
        <v>1.0844347304713167</v>
      </c>
      <c r="AP185" s="40"/>
      <c r="AQ185" s="41"/>
    </row>
    <row r="186" spans="2:43" x14ac:dyDescent="0.25">
      <c r="B186" s="1">
        <v>39983</v>
      </c>
      <c r="C186">
        <v>0.97099999999999997</v>
      </c>
      <c r="D186">
        <v>0.33600000000000002</v>
      </c>
      <c r="E186" t="s">
        <v>33</v>
      </c>
      <c r="G186">
        <v>1559.46</v>
      </c>
      <c r="I186" s="14">
        <f t="shared" si="37"/>
        <v>-1.1201629327902252E-2</v>
      </c>
      <c r="J186" s="15">
        <f t="shared" si="38"/>
        <v>-4.8158640226628746E-2</v>
      </c>
      <c r="K186" s="15"/>
      <c r="L186" s="15"/>
      <c r="M186" s="16">
        <f t="shared" si="39"/>
        <v>-5.7477516681171958E-2</v>
      </c>
      <c r="O186" s="13">
        <f t="shared" si="41"/>
        <v>-2.9680134777265499E-2</v>
      </c>
      <c r="Q186" s="5">
        <f t="shared" si="42"/>
        <v>62.616968624864604</v>
      </c>
      <c r="R186" s="6">
        <f t="shared" si="43"/>
        <v>96.483923058362052</v>
      </c>
      <c r="T186" s="11">
        <f t="shared" si="35"/>
        <v>0.6489886256696703</v>
      </c>
      <c r="V186" s="9">
        <v>39983</v>
      </c>
      <c r="W186">
        <v>3901.26</v>
      </c>
      <c r="X186">
        <v>3370.4475000000002</v>
      </c>
      <c r="Y186" t="s">
        <v>33</v>
      </c>
      <c r="AC186" s="24">
        <f t="shared" si="44"/>
        <v>-2.8686969815157889E-2</v>
      </c>
      <c r="AE186" s="5">
        <f t="shared" si="45"/>
        <v>55.011069616353254</v>
      </c>
      <c r="AF186" s="6">
        <f t="shared" si="46"/>
        <v>96.483923058362052</v>
      </c>
      <c r="AH186" s="1">
        <f t="shared" si="36"/>
        <v>39983</v>
      </c>
      <c r="AI186">
        <f t="shared" si="40"/>
        <v>0.57015788612863172</v>
      </c>
      <c r="AJ186">
        <f t="shared" ca="1" si="30"/>
        <v>0.57149224671871324</v>
      </c>
      <c r="AK186">
        <f t="shared" ca="1" si="31"/>
        <v>0.61781604670112145</v>
      </c>
      <c r="AL186">
        <f t="shared" ca="1" si="32"/>
        <v>0.97960925408920407</v>
      </c>
      <c r="AM186">
        <f t="shared" ca="1" si="33"/>
        <v>1.0393197153199836</v>
      </c>
      <c r="AN186">
        <f t="shared" ca="1" si="34"/>
        <v>1.0844347304713167</v>
      </c>
      <c r="AP186" s="40"/>
      <c r="AQ186" s="41"/>
    </row>
    <row r="187" spans="2:43" x14ac:dyDescent="0.25">
      <c r="B187" s="1">
        <v>39990</v>
      </c>
      <c r="C187">
        <v>1.05</v>
      </c>
      <c r="D187">
        <v>0.33800000000000002</v>
      </c>
      <c r="E187" t="s">
        <v>33</v>
      </c>
      <c r="G187">
        <v>1579.99</v>
      </c>
      <c r="I187" s="14">
        <f t="shared" si="37"/>
        <v>8.1359423274974363E-2</v>
      </c>
      <c r="J187" s="15">
        <f t="shared" si="38"/>
        <v>5.9523809523809312E-3</v>
      </c>
      <c r="K187" s="15"/>
      <c r="L187" s="15"/>
      <c r="M187" s="16">
        <f t="shared" si="39"/>
        <v>1.3164813461069791E-2</v>
      </c>
      <c r="O187" s="13">
        <f t="shared" si="41"/>
        <v>4.3655902113677647E-2</v>
      </c>
      <c r="Q187" s="5">
        <f t="shared" si="42"/>
        <v>65.350568877806921</v>
      </c>
      <c r="R187" s="6">
        <f t="shared" si="43"/>
        <v>97.754115907417599</v>
      </c>
      <c r="T187" s="11">
        <f t="shared" si="35"/>
        <v>0.66851987019861236</v>
      </c>
      <c r="V187" s="9">
        <v>39990</v>
      </c>
      <c r="W187">
        <v>4220.04</v>
      </c>
      <c r="X187">
        <v>3387.8209000000002</v>
      </c>
      <c r="Y187" t="s">
        <v>33</v>
      </c>
      <c r="AC187" s="24">
        <f t="shared" si="44"/>
        <v>4.6408144324524385E-2</v>
      </c>
      <c r="AE187" s="5">
        <f t="shared" si="45"/>
        <v>57.564031274555433</v>
      </c>
      <c r="AF187" s="6">
        <f t="shared" si="46"/>
        <v>97.754115907417599</v>
      </c>
      <c r="AH187" s="1">
        <f t="shared" si="36"/>
        <v>39990</v>
      </c>
      <c r="AI187">
        <f t="shared" si="40"/>
        <v>0.58886555047026368</v>
      </c>
      <c r="AJ187">
        <f t="shared" ref="AJ187:AJ250" ca="1" si="47">+_xlfn.PERCENTILE.INC(OFFSET(AI187,-52,0,52,1),0.1)</f>
        <v>0.57016844599048033</v>
      </c>
      <c r="AK187">
        <f t="shared" ref="AK187:AK250" ca="1" si="48">+_xlfn.PERCENTILE.INC(OFFSET(AI187,-52,0,52,1),0.25)</f>
        <v>0.61561828453691825</v>
      </c>
      <c r="AL187">
        <f t="shared" ref="AL187:AL250" ca="1" si="49">+_xlfn.PERCENTILE.INC(OFFSET(AI187,-52,0,52,1),0.5)</f>
        <v>0.97423987462330286</v>
      </c>
      <c r="AM187">
        <f t="shared" ref="AM187:AM250" ca="1" si="50">+_xlfn.PERCENTILE.INC(OFFSET(AI187,-52,0,52,1),0.75)</f>
        <v>1.0393197153199836</v>
      </c>
      <c r="AN187">
        <f t="shared" ref="AN187:AN250" ca="1" si="51">+_xlfn.PERCENTILE.INC(OFFSET(AI187,-52,0,52,1),0.9)</f>
        <v>1.0844347304713167</v>
      </c>
      <c r="AP187" s="40"/>
      <c r="AQ187" s="41"/>
    </row>
    <row r="188" spans="2:43" x14ac:dyDescent="0.25">
      <c r="B188" s="1">
        <v>39997</v>
      </c>
      <c r="C188">
        <v>1.073</v>
      </c>
      <c r="D188">
        <v>0.39800000000000002</v>
      </c>
      <c r="E188" t="s">
        <v>33</v>
      </c>
      <c r="G188">
        <v>1579.12</v>
      </c>
      <c r="I188" s="14">
        <f t="shared" si="37"/>
        <v>2.1904761904761871E-2</v>
      </c>
      <c r="J188" s="15">
        <f t="shared" si="38"/>
        <v>0.1775147928994083</v>
      </c>
      <c r="K188" s="15"/>
      <c r="L188" s="15"/>
      <c r="M188" s="16">
        <f t="shared" si="39"/>
        <v>-5.5063639643293527E-4</v>
      </c>
      <c r="O188" s="13">
        <f t="shared" si="41"/>
        <v>9.9709777402085087E-2</v>
      </c>
      <c r="Q188" s="5">
        <f t="shared" si="42"/>
        <v>71.86665955371268</v>
      </c>
      <c r="R188" s="6">
        <f t="shared" si="43"/>
        <v>97.700288933297855</v>
      </c>
      <c r="T188" s="11">
        <f t="shared" si="35"/>
        <v>0.73558287634929753</v>
      </c>
      <c r="V188" s="9">
        <v>39997</v>
      </c>
      <c r="W188">
        <v>4311.12</v>
      </c>
      <c r="X188">
        <v>3995.8912999999998</v>
      </c>
      <c r="Y188" t="s">
        <v>33</v>
      </c>
      <c r="AC188" s="24">
        <f t="shared" si="44"/>
        <v>9.1198735885452159E-2</v>
      </c>
      <c r="AE188" s="5">
        <f t="shared" si="45"/>
        <v>62.813798159265524</v>
      </c>
      <c r="AF188" s="6">
        <f t="shared" si="46"/>
        <v>97.700288933297855</v>
      </c>
      <c r="AH188" s="1">
        <f t="shared" si="36"/>
        <v>39997</v>
      </c>
      <c r="AI188">
        <f t="shared" si="40"/>
        <v>0.64292336128248184</v>
      </c>
      <c r="AJ188">
        <f t="shared" ca="1" si="47"/>
        <v>0.57016844599048033</v>
      </c>
      <c r="AK188">
        <f t="shared" ca="1" si="48"/>
        <v>0.60855770352898442</v>
      </c>
      <c r="AL188">
        <f t="shared" ca="1" si="49"/>
        <v>0.95339905845493411</v>
      </c>
      <c r="AM188">
        <f t="shared" ca="1" si="50"/>
        <v>1.0393197153199836</v>
      </c>
      <c r="AN188">
        <f t="shared" ca="1" si="51"/>
        <v>1.0844347304713167</v>
      </c>
      <c r="AP188" s="40"/>
      <c r="AQ188" s="41"/>
    </row>
    <row r="189" spans="2:43" x14ac:dyDescent="0.25">
      <c r="B189" s="1">
        <v>40004</v>
      </c>
      <c r="C189">
        <v>0.97899999999999998</v>
      </c>
      <c r="D189">
        <v>0.376</v>
      </c>
      <c r="E189" t="s">
        <v>33</v>
      </c>
      <c r="G189">
        <v>1477.84</v>
      </c>
      <c r="I189" s="14">
        <f t="shared" si="37"/>
        <v>-8.7604846225535882E-2</v>
      </c>
      <c r="J189" s="15">
        <f t="shared" si="38"/>
        <v>-5.5276381909547756E-2</v>
      </c>
      <c r="K189" s="15"/>
      <c r="L189" s="15"/>
      <c r="M189" s="16">
        <f t="shared" si="39"/>
        <v>-6.4136987689345948E-2</v>
      </c>
      <c r="O189" s="13">
        <f t="shared" si="41"/>
        <v>-7.1440614067541819E-2</v>
      </c>
      <c r="Q189" s="5">
        <f t="shared" si="42"/>
        <v>66.732461264212475</v>
      </c>
      <c r="R189" s="6">
        <f t="shared" si="43"/>
        <v>91.434086704737382</v>
      </c>
      <c r="T189" s="11">
        <f t="shared" si="35"/>
        <v>0.72984226855907264</v>
      </c>
      <c r="V189" s="9">
        <v>40004</v>
      </c>
      <c r="W189">
        <v>3931.62</v>
      </c>
      <c r="X189">
        <v>3770.0365999999999</v>
      </c>
      <c r="Y189" t="s">
        <v>33</v>
      </c>
      <c r="AC189" s="24">
        <f t="shared" si="44"/>
        <v>-7.2054003131989425E-2</v>
      </c>
      <c r="AE189" s="5">
        <f t="shared" si="45"/>
        <v>58.287812549965658</v>
      </c>
      <c r="AF189" s="6">
        <f t="shared" si="46"/>
        <v>91.434086704737382</v>
      </c>
      <c r="AH189" s="1">
        <f t="shared" si="36"/>
        <v>40004</v>
      </c>
      <c r="AI189">
        <f t="shared" si="40"/>
        <v>0.63748449457575918</v>
      </c>
      <c r="AJ189">
        <f t="shared" ca="1" si="47"/>
        <v>0.57016844599048033</v>
      </c>
      <c r="AK189">
        <f t="shared" ca="1" si="48"/>
        <v>0.60855770352898442</v>
      </c>
      <c r="AL189">
        <f t="shared" ca="1" si="49"/>
        <v>0.90397368424738644</v>
      </c>
      <c r="AM189">
        <f t="shared" ca="1" si="50"/>
        <v>1.0393197153199836</v>
      </c>
      <c r="AN189">
        <f t="shared" ca="1" si="51"/>
        <v>1.0844347304713167</v>
      </c>
      <c r="AP189" s="40"/>
      <c r="AQ189" s="41"/>
    </row>
    <row r="190" spans="2:43" x14ac:dyDescent="0.25">
      <c r="B190" s="1">
        <v>40011</v>
      </c>
      <c r="C190">
        <v>1.0129999999999999</v>
      </c>
      <c r="D190">
        <v>0.41</v>
      </c>
      <c r="E190" t="s">
        <v>33</v>
      </c>
      <c r="G190">
        <v>1622.67</v>
      </c>
      <c r="I190" s="14">
        <f t="shared" si="37"/>
        <v>3.4729315628192037E-2</v>
      </c>
      <c r="J190" s="15">
        <f t="shared" si="38"/>
        <v>9.0425531914893442E-2</v>
      </c>
      <c r="K190" s="15"/>
      <c r="L190" s="15"/>
      <c r="M190" s="16">
        <f t="shared" si="39"/>
        <v>9.8001136794240384E-2</v>
      </c>
      <c r="O190" s="13">
        <f t="shared" si="41"/>
        <v>6.2577423771542739E-2</v>
      </c>
      <c r="Q190" s="5">
        <f t="shared" si="42"/>
        <v>70.90840677206117</v>
      </c>
      <c r="R190" s="6">
        <f t="shared" si="43"/>
        <v>100.39473114354479</v>
      </c>
      <c r="T190" s="11">
        <f t="shared" si="35"/>
        <v>0.70629609705987506</v>
      </c>
      <c r="V190" s="9">
        <v>40011</v>
      </c>
      <c r="W190">
        <v>4068.24</v>
      </c>
      <c r="X190">
        <v>4117.5054</v>
      </c>
      <c r="Y190" t="s">
        <v>33</v>
      </c>
      <c r="AC190" s="24">
        <f t="shared" si="44"/>
        <v>6.1993160900439097E-2</v>
      </c>
      <c r="AE190" s="5">
        <f t="shared" si="45"/>
        <v>61.901258291910317</v>
      </c>
      <c r="AF190" s="6">
        <f t="shared" si="46"/>
        <v>100.39473114354479</v>
      </c>
      <c r="AH190" s="1">
        <f t="shared" si="36"/>
        <v>40011</v>
      </c>
      <c r="AI190">
        <f t="shared" si="40"/>
        <v>0.61657875455041222</v>
      </c>
      <c r="AJ190">
        <f t="shared" ca="1" si="47"/>
        <v>0.57016844599048033</v>
      </c>
      <c r="AK190">
        <f t="shared" ca="1" si="48"/>
        <v>0.60855770352898442</v>
      </c>
      <c r="AL190">
        <f t="shared" ca="1" si="49"/>
        <v>0.86719348800537821</v>
      </c>
      <c r="AM190">
        <f t="shared" ca="1" si="50"/>
        <v>1.0393197153199836</v>
      </c>
      <c r="AN190">
        <f t="shared" ca="1" si="51"/>
        <v>1.0844347304713167</v>
      </c>
      <c r="AP190" s="40"/>
      <c r="AQ190" s="41"/>
    </row>
    <row r="191" spans="2:43" x14ac:dyDescent="0.25">
      <c r="B191" s="1">
        <v>40018</v>
      </c>
      <c r="C191">
        <v>1.0309999999999999</v>
      </c>
      <c r="D191">
        <v>0.42099999999999999</v>
      </c>
      <c r="E191" t="s">
        <v>33</v>
      </c>
      <c r="G191">
        <v>1675.1</v>
      </c>
      <c r="I191" s="14">
        <f t="shared" si="37"/>
        <v>1.7769002961500524E-2</v>
      </c>
      <c r="J191" s="15">
        <f t="shared" si="38"/>
        <v>2.6829268292682951E-2</v>
      </c>
      <c r="K191" s="15"/>
      <c r="L191" s="15"/>
      <c r="M191" s="16">
        <f t="shared" si="39"/>
        <v>3.2310944307838207E-2</v>
      </c>
      <c r="O191" s="13">
        <f t="shared" si="41"/>
        <v>2.2299135627091737E-2</v>
      </c>
      <c r="Q191" s="5">
        <f t="shared" si="42"/>
        <v>72.489602951772341</v>
      </c>
      <c r="R191" s="6">
        <f t="shared" si="43"/>
        <v>103.63857971032425</v>
      </c>
      <c r="T191" s="11">
        <f t="shared" si="35"/>
        <v>0.69944612473834478</v>
      </c>
      <c r="V191" s="9">
        <v>40018</v>
      </c>
      <c r="W191">
        <v>4144.1400000000003</v>
      </c>
      <c r="X191">
        <v>4221.7461000000003</v>
      </c>
      <c r="Y191" t="s">
        <v>33</v>
      </c>
      <c r="AC191" s="24">
        <f t="shared" si="44"/>
        <v>2.2326399949021837E-2</v>
      </c>
      <c r="AE191" s="5">
        <f t="shared" si="45"/>
        <v>63.283290541883204</v>
      </c>
      <c r="AF191" s="6">
        <f t="shared" si="46"/>
        <v>103.63857971032425</v>
      </c>
      <c r="AH191" s="1">
        <f t="shared" si="36"/>
        <v>40018</v>
      </c>
      <c r="AI191">
        <f t="shared" si="40"/>
        <v>0.61061518518261848</v>
      </c>
      <c r="AJ191">
        <f t="shared" ca="1" si="47"/>
        <v>0.57016844599048033</v>
      </c>
      <c r="AK191">
        <f t="shared" ca="1" si="48"/>
        <v>0.60855770352898442</v>
      </c>
      <c r="AL191">
        <f t="shared" ca="1" si="49"/>
        <v>0.86382578972845958</v>
      </c>
      <c r="AM191">
        <f t="shared" ca="1" si="50"/>
        <v>1.0393197153199836</v>
      </c>
      <c r="AN191">
        <f t="shared" ca="1" si="51"/>
        <v>1.0844347304713167</v>
      </c>
      <c r="AP191" s="40"/>
      <c r="AQ191" s="41"/>
    </row>
    <row r="192" spans="2:43" x14ac:dyDescent="0.25">
      <c r="B192" s="1">
        <v>40025</v>
      </c>
      <c r="C192">
        <v>1.103</v>
      </c>
      <c r="D192">
        <v>0.47299999999999998</v>
      </c>
      <c r="E192" t="s">
        <v>33</v>
      </c>
      <c r="G192">
        <v>1719.87</v>
      </c>
      <c r="I192" s="14">
        <f t="shared" si="37"/>
        <v>6.9835111542192019E-2</v>
      </c>
      <c r="J192" s="15">
        <f t="shared" si="38"/>
        <v>0.12351543942992871</v>
      </c>
      <c r="K192" s="15"/>
      <c r="L192" s="15"/>
      <c r="M192" s="16">
        <f t="shared" si="39"/>
        <v>2.6726762581338326E-2</v>
      </c>
      <c r="O192" s="13">
        <f t="shared" si="41"/>
        <v>9.6675275486060364E-2</v>
      </c>
      <c r="Q192" s="5">
        <f t="shared" si="42"/>
        <v>79.497555287010073</v>
      </c>
      <c r="R192" s="6">
        <f t="shared" si="43"/>
        <v>106.40850342450919</v>
      </c>
      <c r="T192" s="11">
        <f t="shared" si="35"/>
        <v>0.747097766894251</v>
      </c>
      <c r="V192" s="9">
        <v>40025</v>
      </c>
      <c r="W192">
        <v>4432.5600000000004</v>
      </c>
      <c r="X192">
        <v>4742.9493000000002</v>
      </c>
      <c r="Y192" t="s">
        <v>33</v>
      </c>
      <c r="AC192" s="24">
        <f t="shared" si="44"/>
        <v>9.6924258130832955E-2</v>
      </c>
      <c r="AE192" s="5">
        <f t="shared" si="45"/>
        <v>69.416976529733191</v>
      </c>
      <c r="AF192" s="6">
        <f t="shared" si="46"/>
        <v>106.40850342450919</v>
      </c>
      <c r="AH192" s="1">
        <f t="shared" si="36"/>
        <v>40025</v>
      </c>
      <c r="AI192">
        <f t="shared" si="40"/>
        <v>0.65236305648242299</v>
      </c>
      <c r="AJ192">
        <f t="shared" ca="1" si="47"/>
        <v>0.57016844599048033</v>
      </c>
      <c r="AK192">
        <f t="shared" ca="1" si="48"/>
        <v>0.60832534867670462</v>
      </c>
      <c r="AL192">
        <f t="shared" ca="1" si="49"/>
        <v>0.86281870696860397</v>
      </c>
      <c r="AM192">
        <f t="shared" ca="1" si="50"/>
        <v>1.0393197153199836</v>
      </c>
      <c r="AN192">
        <f t="shared" ca="1" si="51"/>
        <v>1.0844347304713167</v>
      </c>
      <c r="AP192" s="40"/>
      <c r="AQ192" s="41"/>
    </row>
    <row r="193" spans="2:43" x14ac:dyDescent="0.25">
      <c r="B193" s="1">
        <v>40032</v>
      </c>
      <c r="C193">
        <v>1.1519999999999999</v>
      </c>
      <c r="D193">
        <v>0.51900000000000002</v>
      </c>
      <c r="E193" t="s">
        <v>33</v>
      </c>
      <c r="G193">
        <v>1799.53</v>
      </c>
      <c r="I193" s="14">
        <f t="shared" si="37"/>
        <v>4.4424297370806887E-2</v>
      </c>
      <c r="J193" s="15">
        <f t="shared" si="38"/>
        <v>9.7251585623678638E-2</v>
      </c>
      <c r="K193" s="15"/>
      <c r="L193" s="15"/>
      <c r="M193" s="16">
        <f t="shared" si="39"/>
        <v>4.631745422619149E-2</v>
      </c>
      <c r="O193" s="13">
        <f t="shared" si="41"/>
        <v>7.0837941497242762E-2</v>
      </c>
      <c r="Q193" s="5">
        <f t="shared" si="42"/>
        <v>85.128998457605121</v>
      </c>
      <c r="R193" s="6">
        <f t="shared" si="43"/>
        <v>111.33707441115143</v>
      </c>
      <c r="T193" s="11">
        <f t="shared" si="35"/>
        <v>0.76460603000251526</v>
      </c>
      <c r="V193" s="9">
        <v>40032</v>
      </c>
      <c r="W193">
        <v>4629.8999999999996</v>
      </c>
      <c r="X193">
        <v>5212.0321999999996</v>
      </c>
      <c r="Y193" t="s">
        <v>33</v>
      </c>
      <c r="AC193" s="24">
        <f t="shared" si="44"/>
        <v>7.1731462744161839E-2</v>
      </c>
      <c r="AE193" s="5">
        <f t="shared" si="45"/>
        <v>74.3963577954881</v>
      </c>
      <c r="AF193" s="6">
        <f t="shared" si="46"/>
        <v>111.33707441115143</v>
      </c>
      <c r="AH193" s="1">
        <f t="shared" si="36"/>
        <v>40032</v>
      </c>
      <c r="AI193">
        <f t="shared" si="40"/>
        <v>0.66820830517562635</v>
      </c>
      <c r="AJ193">
        <f t="shared" ca="1" si="47"/>
        <v>0.57016844599048033</v>
      </c>
      <c r="AK193">
        <f t="shared" ca="1" si="48"/>
        <v>0.60832534867670462</v>
      </c>
      <c r="AL193">
        <f t="shared" ca="1" si="49"/>
        <v>0.81955344090703464</v>
      </c>
      <c r="AM193">
        <f t="shared" ca="1" si="50"/>
        <v>1.0393197153199836</v>
      </c>
      <c r="AN193">
        <f t="shared" ca="1" si="51"/>
        <v>1.0844347304713167</v>
      </c>
      <c r="AP193" s="40"/>
      <c r="AQ193" s="41"/>
    </row>
    <row r="194" spans="2:43" x14ac:dyDescent="0.25">
      <c r="B194" s="1">
        <v>40039</v>
      </c>
      <c r="C194">
        <v>1.0960000000000001</v>
      </c>
      <c r="D194">
        <v>0.52600000000000002</v>
      </c>
      <c r="E194" t="s">
        <v>33</v>
      </c>
      <c r="G194">
        <v>1761.61</v>
      </c>
      <c r="I194" s="14">
        <f t="shared" si="37"/>
        <v>-4.8611111111110938E-2</v>
      </c>
      <c r="J194" s="15">
        <f t="shared" si="38"/>
        <v>1.3487475915221481E-2</v>
      </c>
      <c r="K194" s="15"/>
      <c r="L194" s="15"/>
      <c r="M194" s="16">
        <f t="shared" si="39"/>
        <v>-2.1072168844087136E-2</v>
      </c>
      <c r="O194" s="13">
        <f t="shared" si="41"/>
        <v>-1.7561817597944729E-2</v>
      </c>
      <c r="Q194" s="5">
        <f t="shared" si="42"/>
        <v>83.633978514396944</v>
      </c>
      <c r="R194" s="6">
        <f t="shared" si="43"/>
        <v>108.99096078055295</v>
      </c>
      <c r="T194" s="11">
        <f t="shared" si="35"/>
        <v>0.76734784165073244</v>
      </c>
      <c r="V194" s="9">
        <v>40039</v>
      </c>
      <c r="W194">
        <v>4402.2</v>
      </c>
      <c r="X194">
        <v>5281.5258999999996</v>
      </c>
      <c r="Y194" t="s">
        <v>33</v>
      </c>
      <c r="AC194" s="24">
        <f t="shared" si="44"/>
        <v>-1.5725308955742826E-2</v>
      </c>
      <c r="AE194" s="5">
        <f t="shared" si="45"/>
        <v>73.226452083972063</v>
      </c>
      <c r="AF194" s="6">
        <f t="shared" si="46"/>
        <v>108.99096078055295</v>
      </c>
      <c r="AH194" s="1">
        <f t="shared" si="36"/>
        <v>40039</v>
      </c>
      <c r="AI194">
        <f t="shared" si="40"/>
        <v>0.67185802895534907</v>
      </c>
      <c r="AJ194">
        <f t="shared" ca="1" si="47"/>
        <v>0.57016844599048033</v>
      </c>
      <c r="AK194">
        <f t="shared" ca="1" si="48"/>
        <v>0.60832534867670462</v>
      </c>
      <c r="AL194">
        <f t="shared" ca="1" si="49"/>
        <v>0.77304040563788234</v>
      </c>
      <c r="AM194">
        <f t="shared" ca="1" si="50"/>
        <v>1.0393197153199836</v>
      </c>
      <c r="AN194">
        <f t="shared" ca="1" si="51"/>
        <v>1.0844347304713167</v>
      </c>
      <c r="AP194" s="40"/>
      <c r="AQ194" s="41"/>
    </row>
    <row r="195" spans="2:43" x14ac:dyDescent="0.25">
      <c r="B195" s="1">
        <v>40046</v>
      </c>
      <c r="C195">
        <v>1.069</v>
      </c>
      <c r="D195">
        <v>0.53700000000000003</v>
      </c>
      <c r="E195" t="s">
        <v>33</v>
      </c>
      <c r="G195">
        <v>1797.33</v>
      </c>
      <c r="I195" s="14">
        <f t="shared" si="37"/>
        <v>-2.463503649635046E-2</v>
      </c>
      <c r="J195" s="15">
        <f t="shared" si="38"/>
        <v>2.0912547528517234E-2</v>
      </c>
      <c r="K195" s="15"/>
      <c r="L195" s="15"/>
      <c r="M195" s="16">
        <f t="shared" si="39"/>
        <v>2.0276905785048926E-2</v>
      </c>
      <c r="O195" s="13">
        <f t="shared" si="41"/>
        <v>-1.8612444839166131E-3</v>
      </c>
      <c r="Q195" s="5">
        <f t="shared" si="42"/>
        <v>83.478315233219021</v>
      </c>
      <c r="R195" s="6">
        <f t="shared" si="43"/>
        <v>111.20096022372219</v>
      </c>
      <c r="T195" s="11">
        <f t="shared" si="35"/>
        <v>0.75069779132546399</v>
      </c>
      <c r="V195" s="9">
        <v>40046</v>
      </c>
      <c r="W195">
        <v>4295.9399999999996</v>
      </c>
      <c r="X195">
        <v>5385.7665999999999</v>
      </c>
      <c r="Y195" t="s">
        <v>33</v>
      </c>
      <c r="AC195" s="24">
        <f t="shared" si="44"/>
        <v>2.0671833995329847E-4</v>
      </c>
      <c r="AE195" s="5">
        <f t="shared" si="45"/>
        <v>73.24158933458753</v>
      </c>
      <c r="AF195" s="6">
        <f t="shared" si="46"/>
        <v>111.20096022372219</v>
      </c>
      <c r="AH195" s="1">
        <f t="shared" si="36"/>
        <v>40046</v>
      </c>
      <c r="AI195">
        <f t="shared" si="40"/>
        <v>0.65864169866190692</v>
      </c>
      <c r="AJ195">
        <f t="shared" ca="1" si="47"/>
        <v>0.57016844599048033</v>
      </c>
      <c r="AK195">
        <f t="shared" ca="1" si="48"/>
        <v>0.60832534867670462</v>
      </c>
      <c r="AL195">
        <f t="shared" ca="1" si="49"/>
        <v>0.74943459441465055</v>
      </c>
      <c r="AM195">
        <f t="shared" ca="1" si="50"/>
        <v>1.0393197153199836</v>
      </c>
      <c r="AN195">
        <f t="shared" ca="1" si="51"/>
        <v>1.0844347304713167</v>
      </c>
      <c r="AP195" s="40"/>
      <c r="AQ195" s="41"/>
    </row>
    <row r="196" spans="2:43" x14ac:dyDescent="0.25">
      <c r="B196" s="1">
        <v>40053</v>
      </c>
      <c r="C196">
        <v>1.099</v>
      </c>
      <c r="D196">
        <v>0.52800000000000002</v>
      </c>
      <c r="E196" t="s">
        <v>33</v>
      </c>
      <c r="G196">
        <v>1797.02</v>
      </c>
      <c r="I196" s="14">
        <f t="shared" si="37"/>
        <v>2.8063610851262855E-2</v>
      </c>
      <c r="J196" s="15">
        <f t="shared" si="38"/>
        <v>-1.6759776536312887E-2</v>
      </c>
      <c r="K196" s="15"/>
      <c r="L196" s="15"/>
      <c r="M196" s="16">
        <f t="shared" si="39"/>
        <v>-1.7247806468478899E-4</v>
      </c>
      <c r="O196" s="13">
        <f t="shared" si="41"/>
        <v>5.6519171574749838E-3</v>
      </c>
      <c r="Q196" s="5">
        <f t="shared" si="42"/>
        <v>83.950127755362757</v>
      </c>
      <c r="R196" s="6">
        <f t="shared" si="43"/>
        <v>111.18178049731172</v>
      </c>
      <c r="T196" s="11">
        <f t="shared" si="35"/>
        <v>0.75507090622093964</v>
      </c>
      <c r="V196" s="9">
        <v>40053</v>
      </c>
      <c r="W196">
        <v>4417.38</v>
      </c>
      <c r="X196">
        <v>5298.8994000000002</v>
      </c>
      <c r="Y196" t="s">
        <v>33</v>
      </c>
      <c r="AC196" s="24">
        <f t="shared" si="44"/>
        <v>3.1291325960690138E-3</v>
      </c>
      <c r="AE196" s="5">
        <f t="shared" si="45"/>
        <v>73.470771979162279</v>
      </c>
      <c r="AF196" s="6">
        <f t="shared" si="46"/>
        <v>111.18178049731172</v>
      </c>
      <c r="AH196" s="1">
        <f t="shared" si="36"/>
        <v>40053</v>
      </c>
      <c r="AI196">
        <f t="shared" si="40"/>
        <v>0.66081665224761121</v>
      </c>
      <c r="AJ196">
        <f t="shared" ca="1" si="47"/>
        <v>0.57016844599048033</v>
      </c>
      <c r="AK196">
        <f t="shared" ca="1" si="48"/>
        <v>0.60832534867670462</v>
      </c>
      <c r="AL196">
        <f t="shared" ca="1" si="49"/>
        <v>0.71718717400642551</v>
      </c>
      <c r="AM196">
        <f t="shared" ca="1" si="50"/>
        <v>1.0393197153199836</v>
      </c>
      <c r="AN196">
        <f t="shared" ca="1" si="51"/>
        <v>1.0844347304713167</v>
      </c>
      <c r="AP196" s="40"/>
      <c r="AQ196" s="41"/>
    </row>
    <row r="197" spans="2:43" x14ac:dyDescent="0.25">
      <c r="B197" s="1">
        <v>40060</v>
      </c>
      <c r="C197">
        <v>1.2829999999999999</v>
      </c>
      <c r="D197">
        <v>0.502</v>
      </c>
      <c r="E197" t="s">
        <v>33</v>
      </c>
      <c r="G197">
        <v>1779.25</v>
      </c>
      <c r="I197" s="14">
        <f t="shared" si="37"/>
        <v>0.16742493175614181</v>
      </c>
      <c r="J197" s="15">
        <f t="shared" si="38"/>
        <v>-4.924242424242431E-2</v>
      </c>
      <c r="K197" s="15"/>
      <c r="L197" s="15"/>
      <c r="M197" s="16">
        <f t="shared" si="39"/>
        <v>-9.8885933378592972E-3</v>
      </c>
      <c r="O197" s="13">
        <f t="shared" si="41"/>
        <v>5.9091253756858753E-2</v>
      </c>
      <c r="Q197" s="5">
        <f t="shared" si="42"/>
        <v>88.910846057475595</v>
      </c>
      <c r="R197" s="6">
        <f t="shared" si="43"/>
        <v>110.08234908339467</v>
      </c>
      <c r="T197" s="11">
        <f t="shared" si="35"/>
        <v>0.80767576998306734</v>
      </c>
      <c r="V197" s="9">
        <v>40060</v>
      </c>
      <c r="W197">
        <v>4311.12</v>
      </c>
      <c r="X197">
        <v>5038.2978000000003</v>
      </c>
      <c r="Y197" t="s">
        <v>33</v>
      </c>
      <c r="AC197" s="24">
        <f t="shared" si="44"/>
        <v>4.9262569864779532E-2</v>
      </c>
      <c r="AE197" s="5">
        <f t="shared" si="45"/>
        <v>77.090131016805046</v>
      </c>
      <c r="AF197" s="6">
        <f t="shared" si="46"/>
        <v>110.08234908339467</v>
      </c>
      <c r="AH197" s="1">
        <f t="shared" si="36"/>
        <v>40060</v>
      </c>
      <c r="AI197">
        <f t="shared" si="40"/>
        <v>0.70029511232908159</v>
      </c>
      <c r="AJ197">
        <f t="shared" ca="1" si="47"/>
        <v>0.57016844599048033</v>
      </c>
      <c r="AK197">
        <f t="shared" ca="1" si="48"/>
        <v>0.60832534867670462</v>
      </c>
      <c r="AL197">
        <f t="shared" ca="1" si="49"/>
        <v>0.68830116317531931</v>
      </c>
      <c r="AM197">
        <f t="shared" ca="1" si="50"/>
        <v>1.0393197153199836</v>
      </c>
      <c r="AN197">
        <f t="shared" ca="1" si="51"/>
        <v>1.0844347304713167</v>
      </c>
      <c r="AP197" s="40"/>
      <c r="AQ197" s="41"/>
    </row>
    <row r="198" spans="2:43" x14ac:dyDescent="0.25">
      <c r="B198" s="1">
        <v>40067</v>
      </c>
      <c r="C198">
        <v>1.306</v>
      </c>
      <c r="D198">
        <v>0.54700000000000004</v>
      </c>
      <c r="E198" t="s">
        <v>33</v>
      </c>
      <c r="G198">
        <v>1900.18</v>
      </c>
      <c r="I198" s="14">
        <f t="shared" si="37"/>
        <v>1.7926734216679785E-2</v>
      </c>
      <c r="J198" s="15">
        <f t="shared" si="38"/>
        <v>8.964143426294835E-2</v>
      </c>
      <c r="K198" s="15"/>
      <c r="L198" s="15"/>
      <c r="M198" s="16">
        <f t="shared" si="39"/>
        <v>6.7966839960657666E-2</v>
      </c>
      <c r="O198" s="13">
        <f t="shared" si="41"/>
        <v>5.3784084239814067E-2</v>
      </c>
      <c r="Q198" s="5">
        <f t="shared" si="42"/>
        <v>93.692834491664001</v>
      </c>
      <c r="R198" s="6">
        <f t="shared" si="43"/>
        <v>117.56429848603901</v>
      </c>
      <c r="T198" s="11">
        <f t="shared" ref="T198:T261" si="52">+Q198/R198</f>
        <v>0.79694971771375145</v>
      </c>
      <c r="V198" s="9">
        <v>40067</v>
      </c>
      <c r="W198">
        <v>5246.8528999999999</v>
      </c>
      <c r="X198">
        <v>5490.0072</v>
      </c>
      <c r="Y198" t="s">
        <v>33</v>
      </c>
      <c r="AC198" s="24">
        <f t="shared" si="44"/>
        <v>5.6572992539927987E-2</v>
      </c>
      <c r="AE198" s="5">
        <f t="shared" si="45"/>
        <v>81.451350423720839</v>
      </c>
      <c r="AF198" s="6">
        <f t="shared" si="46"/>
        <v>117.56429848603901</v>
      </c>
      <c r="AH198" s="1">
        <f t="shared" ref="AH198:AH261" si="53">+B198</f>
        <v>40067</v>
      </c>
      <c r="AI198">
        <f t="shared" si="40"/>
        <v>0.69282385445776595</v>
      </c>
      <c r="AJ198">
        <f t="shared" ca="1" si="47"/>
        <v>0.57016844599048033</v>
      </c>
      <c r="AK198">
        <f t="shared" ca="1" si="48"/>
        <v>0.60832534867670462</v>
      </c>
      <c r="AL198">
        <f t="shared" ca="1" si="49"/>
        <v>0.68627026578467842</v>
      </c>
      <c r="AM198">
        <f t="shared" ca="1" si="50"/>
        <v>1.0291206394915977</v>
      </c>
      <c r="AN198">
        <f t="shared" ca="1" si="51"/>
        <v>1.0844347304713167</v>
      </c>
      <c r="AP198" s="40"/>
      <c r="AQ198" s="41"/>
    </row>
    <row r="199" spans="2:43" x14ac:dyDescent="0.25">
      <c r="B199" s="1">
        <v>40074</v>
      </c>
      <c r="C199">
        <v>1.4139999999999999</v>
      </c>
      <c r="D199">
        <v>0.59899999999999998</v>
      </c>
      <c r="E199" t="s">
        <v>33</v>
      </c>
      <c r="G199">
        <v>2007.6</v>
      </c>
      <c r="I199" s="14">
        <f t="shared" ref="I199:I262" si="54">+C199/C198-1</f>
        <v>8.2695252679938713E-2</v>
      </c>
      <c r="J199" s="15">
        <f t="shared" ref="J199:J262" si="55">+D199/D198-1</f>
        <v>9.5063985374771454E-2</v>
      </c>
      <c r="K199" s="15"/>
      <c r="L199" s="15"/>
      <c r="M199" s="16">
        <f t="shared" ref="M199:M262" si="56">+G199/G198-1</f>
        <v>5.6531486490753347E-2</v>
      </c>
      <c r="O199" s="13">
        <f t="shared" si="41"/>
        <v>8.8879619027355083E-2</v>
      </c>
      <c r="Q199" s="5">
        <f t="shared" si="42"/>
        <v>102.02021792687613</v>
      </c>
      <c r="R199" s="6">
        <f t="shared" si="43"/>
        <v>124.21038303769741</v>
      </c>
      <c r="T199" s="11">
        <f t="shared" si="52"/>
        <v>0.82135015955882973</v>
      </c>
      <c r="V199" s="9">
        <v>40074</v>
      </c>
      <c r="W199">
        <v>5682.5776999999998</v>
      </c>
      <c r="X199">
        <v>6011.2103999999999</v>
      </c>
      <c r="Y199" t="s">
        <v>33</v>
      </c>
      <c r="AC199" s="24">
        <f t="shared" si="44"/>
        <v>8.9019674430531062E-2</v>
      </c>
      <c r="AE199" s="5">
        <f t="shared" si="45"/>
        <v>88.702123120367574</v>
      </c>
      <c r="AF199" s="6">
        <f t="shared" si="46"/>
        <v>124.21038303769741</v>
      </c>
      <c r="AH199" s="1">
        <f t="shared" si="53"/>
        <v>40074</v>
      </c>
      <c r="AI199">
        <f t="shared" ref="AI199:AI262" si="57">+(AE199/$AE$6)/(AF199/$AF$6)</f>
        <v>0.71412808616367274</v>
      </c>
      <c r="AJ199">
        <f t="shared" ca="1" si="47"/>
        <v>0.57016844599048033</v>
      </c>
      <c r="AK199">
        <f t="shared" ca="1" si="48"/>
        <v>0.60832534867670462</v>
      </c>
      <c r="AL199">
        <f t="shared" ca="1" si="49"/>
        <v>0.6825346368490206</v>
      </c>
      <c r="AM199">
        <f t="shared" ca="1" si="50"/>
        <v>1.0151058651288949</v>
      </c>
      <c r="AN199">
        <f t="shared" ca="1" si="51"/>
        <v>1.0844347304713167</v>
      </c>
      <c r="AP199" s="40"/>
      <c r="AQ199" s="41"/>
    </row>
    <row r="200" spans="2:43" x14ac:dyDescent="0.25">
      <c r="B200" s="1">
        <v>40081</v>
      </c>
      <c r="C200">
        <v>1.514</v>
      </c>
      <c r="D200">
        <v>0.65300000000000002</v>
      </c>
      <c r="E200" t="s">
        <v>33</v>
      </c>
      <c r="G200">
        <v>2015.83</v>
      </c>
      <c r="I200" s="14">
        <f t="shared" si="54"/>
        <v>7.0721357850070721E-2</v>
      </c>
      <c r="J200" s="15">
        <f t="shared" si="55"/>
        <v>9.0150250417362354E-2</v>
      </c>
      <c r="K200" s="15"/>
      <c r="L200" s="15"/>
      <c r="M200" s="16">
        <f t="shared" si="56"/>
        <v>4.0994221956565102E-3</v>
      </c>
      <c r="O200" s="13">
        <f t="shared" ref="O200:O263" si="58">+AVERAGE(I200:J200)</f>
        <v>8.0435804133716537E-2</v>
      </c>
      <c r="Q200" s="5">
        <f t="shared" ref="Q200:Q263" si="59">+Q199*(1+O200)</f>
        <v>110.22629619372141</v>
      </c>
      <c r="R200" s="6">
        <f t="shared" ref="R200:R263" si="60">+R199*(1+M200)</f>
        <v>124.71957383885315</v>
      </c>
      <c r="T200" s="11">
        <f t="shared" si="52"/>
        <v>0.88379307915325211</v>
      </c>
      <c r="V200" s="9">
        <v>40081</v>
      </c>
      <c r="W200">
        <v>6081.9921000000004</v>
      </c>
      <c r="X200">
        <v>6549.7870999999996</v>
      </c>
      <c r="Y200" t="s">
        <v>33</v>
      </c>
      <c r="AC200" s="24">
        <f t="shared" ref="AC200:AC263" si="61">+SUMPRODUCT(I200:L200,W199:Z199)/SUM(W199:AA199)</f>
        <v>8.0708811022835683E-2</v>
      </c>
      <c r="AE200" s="5">
        <f t="shared" ref="AE200:AE263" si="62">+AE199*(1+AC200)</f>
        <v>95.861166012613637</v>
      </c>
      <c r="AF200" s="6">
        <f t="shared" ref="AF200:AF263" si="63">+AF199*(1+M200)</f>
        <v>124.71957383885315</v>
      </c>
      <c r="AH200" s="1">
        <f t="shared" si="53"/>
        <v>40081</v>
      </c>
      <c r="AI200">
        <f t="shared" si="57"/>
        <v>0.76861364308759839</v>
      </c>
      <c r="AJ200">
        <f t="shared" ca="1" si="47"/>
        <v>0.57016844599048033</v>
      </c>
      <c r="AK200">
        <f t="shared" ca="1" si="48"/>
        <v>0.60832534867670462</v>
      </c>
      <c r="AL200">
        <f t="shared" ca="1" si="49"/>
        <v>0.6825346368490206</v>
      </c>
      <c r="AM200">
        <f t="shared" ca="1" si="50"/>
        <v>0.99780186247334413</v>
      </c>
      <c r="AN200">
        <f t="shared" ca="1" si="51"/>
        <v>1.0844347304713167</v>
      </c>
      <c r="AP200" s="40"/>
      <c r="AQ200" s="41"/>
    </row>
    <row r="201" spans="2:43" x14ac:dyDescent="0.25">
      <c r="B201" s="1">
        <v>40088</v>
      </c>
      <c r="C201">
        <v>1.5089999999999999</v>
      </c>
      <c r="D201">
        <v>0.66100000000000003</v>
      </c>
      <c r="E201" t="s">
        <v>33</v>
      </c>
      <c r="G201">
        <v>2024.8</v>
      </c>
      <c r="I201" s="14">
        <f t="shared" si="54"/>
        <v>-3.3025099075297826E-3</v>
      </c>
      <c r="J201" s="15">
        <f t="shared" si="55"/>
        <v>1.2251148545176171E-2</v>
      </c>
      <c r="K201" s="15"/>
      <c r="L201" s="15"/>
      <c r="M201" s="16">
        <f t="shared" si="56"/>
        <v>4.4497799913683078E-3</v>
      </c>
      <c r="O201" s="13">
        <f t="shared" si="58"/>
        <v>4.4743193188231944E-3</v>
      </c>
      <c r="Q201" s="5">
        <f t="shared" si="59"/>
        <v>110.7194838402233</v>
      </c>
      <c r="R201" s="6">
        <f t="shared" si="60"/>
        <v>125.27454850305327</v>
      </c>
      <c r="T201" s="11">
        <f t="shared" si="52"/>
        <v>0.88381467076311016</v>
      </c>
      <c r="V201" s="9">
        <v>40088</v>
      </c>
      <c r="W201">
        <v>6063.8369000000002</v>
      </c>
      <c r="X201">
        <v>6636.6543000000001</v>
      </c>
      <c r="Y201" t="s">
        <v>33</v>
      </c>
      <c r="AC201" s="24">
        <f t="shared" si="61"/>
        <v>4.762320064430098E-3</v>
      </c>
      <c r="AE201" s="5">
        <f t="shared" si="62"/>
        <v>96.317687566915168</v>
      </c>
      <c r="AF201" s="6">
        <f t="shared" si="63"/>
        <v>125.27454850305327</v>
      </c>
      <c r="AH201" s="1">
        <f t="shared" si="53"/>
        <v>40088</v>
      </c>
      <c r="AI201">
        <f t="shared" si="57"/>
        <v>0.76885280144967083</v>
      </c>
      <c r="AJ201">
        <f t="shared" ca="1" si="47"/>
        <v>0.57016844599048033</v>
      </c>
      <c r="AK201">
        <f t="shared" ca="1" si="48"/>
        <v>0.60832534867670462</v>
      </c>
      <c r="AL201">
        <f t="shared" ca="1" si="49"/>
        <v>0.6825346368490206</v>
      </c>
      <c r="AM201">
        <f t="shared" ca="1" si="50"/>
        <v>0.95140210367775169</v>
      </c>
      <c r="AN201">
        <f t="shared" ca="1" si="51"/>
        <v>1.0844347304713167</v>
      </c>
      <c r="AP201" s="40"/>
      <c r="AQ201" s="41"/>
    </row>
    <row r="202" spans="2:43" x14ac:dyDescent="0.25">
      <c r="B202" s="1">
        <v>40095</v>
      </c>
      <c r="C202">
        <v>1.5449999999999999</v>
      </c>
      <c r="D202">
        <v>0.66800000000000004</v>
      </c>
      <c r="E202" t="s">
        <v>33</v>
      </c>
      <c r="G202">
        <v>2169.04</v>
      </c>
      <c r="I202" s="14">
        <f t="shared" si="54"/>
        <v>2.3856858846918572E-2</v>
      </c>
      <c r="J202" s="15">
        <f t="shared" si="55"/>
        <v>1.0590015128593144E-2</v>
      </c>
      <c r="K202" s="15"/>
      <c r="L202" s="15"/>
      <c r="M202" s="16">
        <f t="shared" si="56"/>
        <v>7.1236665349664108E-2</v>
      </c>
      <c r="O202" s="13">
        <f t="shared" si="58"/>
        <v>1.7223436987755858E-2</v>
      </c>
      <c r="Q202" s="5">
        <f t="shared" si="59"/>
        <v>112.62645389346223</v>
      </c>
      <c r="R202" s="6">
        <f t="shared" si="60"/>
        <v>134.19868959159552</v>
      </c>
      <c r="T202" s="11">
        <f t="shared" si="52"/>
        <v>0.83925151755368332</v>
      </c>
      <c r="V202" s="9">
        <v>40095</v>
      </c>
      <c r="W202">
        <v>6209.0784999999996</v>
      </c>
      <c r="X202">
        <v>6706.1481000000003</v>
      </c>
      <c r="Y202" t="s">
        <v>33</v>
      </c>
      <c r="AC202" s="24">
        <f t="shared" si="61"/>
        <v>1.6924256475551042E-2</v>
      </c>
      <c r="AE202" s="5">
        <f t="shared" si="62"/>
        <v>97.947792814429633</v>
      </c>
      <c r="AF202" s="6">
        <f t="shared" si="63"/>
        <v>134.19868959159552</v>
      </c>
      <c r="AH202" s="1">
        <f t="shared" si="53"/>
        <v>40095</v>
      </c>
      <c r="AI202">
        <f t="shared" si="57"/>
        <v>0.72987145487420479</v>
      </c>
      <c r="AJ202">
        <f t="shared" ca="1" si="47"/>
        <v>0.57016844599048033</v>
      </c>
      <c r="AK202">
        <f t="shared" ca="1" si="48"/>
        <v>0.60832534867670462</v>
      </c>
      <c r="AL202">
        <f t="shared" ca="1" si="49"/>
        <v>0.6825346368490206</v>
      </c>
      <c r="AM202">
        <f t="shared" ca="1" si="50"/>
        <v>0.88723433813665686</v>
      </c>
      <c r="AN202">
        <f t="shared" ca="1" si="51"/>
        <v>1.0844347304713167</v>
      </c>
      <c r="AP202" s="40"/>
      <c r="AQ202" s="41"/>
    </row>
    <row r="203" spans="2:43" x14ac:dyDescent="0.25">
      <c r="B203" s="1">
        <v>40102</v>
      </c>
      <c r="C203">
        <v>1.518</v>
      </c>
      <c r="D203">
        <v>0.66500000000000004</v>
      </c>
      <c r="E203" t="s">
        <v>33</v>
      </c>
      <c r="G203">
        <v>2207.2800000000002</v>
      </c>
      <c r="I203" s="14">
        <f t="shared" si="54"/>
        <v>-1.7475728155339709E-2</v>
      </c>
      <c r="J203" s="15">
        <f t="shared" si="55"/>
        <v>-4.4910179640718084E-3</v>
      </c>
      <c r="K203" s="15"/>
      <c r="L203" s="15"/>
      <c r="M203" s="16">
        <f t="shared" si="56"/>
        <v>1.7629919226939128E-2</v>
      </c>
      <c r="O203" s="13">
        <f t="shared" si="58"/>
        <v>-1.0983373059705759E-2</v>
      </c>
      <c r="Q203" s="5">
        <f t="shared" si="59"/>
        <v>111.38943553395858</v>
      </c>
      <c r="R203" s="6">
        <f t="shared" si="60"/>
        <v>136.56460164945642</v>
      </c>
      <c r="T203" s="11">
        <f t="shared" si="52"/>
        <v>0.8156537945307436</v>
      </c>
      <c r="V203" s="9">
        <v>40102</v>
      </c>
      <c r="W203">
        <v>6100.1472999999996</v>
      </c>
      <c r="X203">
        <v>6671.4012000000002</v>
      </c>
      <c r="Y203" t="s">
        <v>33</v>
      </c>
      <c r="AC203" s="24">
        <f t="shared" si="61"/>
        <v>-1.0733501148790566E-2</v>
      </c>
      <c r="AE203" s="5">
        <f t="shared" si="62"/>
        <v>96.896470067734455</v>
      </c>
      <c r="AF203" s="6">
        <f t="shared" si="63"/>
        <v>136.56460164945642</v>
      </c>
      <c r="AH203" s="1">
        <f t="shared" si="53"/>
        <v>40102</v>
      </c>
      <c r="AI203">
        <f t="shared" si="57"/>
        <v>0.70952844952057992</v>
      </c>
      <c r="AJ203">
        <f t="shared" ca="1" si="47"/>
        <v>0.57016844599048033</v>
      </c>
      <c r="AK203">
        <f t="shared" ca="1" si="48"/>
        <v>0.60832534867670462</v>
      </c>
      <c r="AL203">
        <f t="shared" ca="1" si="49"/>
        <v>0.6825346368490206</v>
      </c>
      <c r="AM203">
        <f t="shared" ca="1" si="50"/>
        <v>0.86554273599510356</v>
      </c>
      <c r="AN203">
        <f t="shared" ca="1" si="51"/>
        <v>1.0799616243442034</v>
      </c>
      <c r="AP203" s="40"/>
      <c r="AQ203" s="41"/>
    </row>
    <row r="204" spans="2:43" x14ac:dyDescent="0.25">
      <c r="B204" s="1">
        <v>40109</v>
      </c>
      <c r="C204">
        <v>1.532</v>
      </c>
      <c r="D204">
        <v>0.74399999999999999</v>
      </c>
      <c r="E204" t="s">
        <v>33</v>
      </c>
      <c r="G204">
        <v>2295.88</v>
      </c>
      <c r="I204" s="14">
        <f t="shared" si="54"/>
        <v>9.2226613965744608E-3</v>
      </c>
      <c r="J204" s="15">
        <f t="shared" si="55"/>
        <v>0.1187969924812029</v>
      </c>
      <c r="K204" s="15"/>
      <c r="L204" s="15"/>
      <c r="M204" s="16">
        <f t="shared" si="56"/>
        <v>4.0139900692254704E-2</v>
      </c>
      <c r="O204" s="13">
        <f t="shared" si="58"/>
        <v>6.4009826938888681E-2</v>
      </c>
      <c r="Q204" s="5">
        <f t="shared" si="59"/>
        <v>118.51945402530777</v>
      </c>
      <c r="R204" s="6">
        <f t="shared" si="60"/>
        <v>142.04629119774293</v>
      </c>
      <c r="T204" s="11">
        <f t="shared" si="52"/>
        <v>0.83437204186004821</v>
      </c>
      <c r="V204" s="9">
        <v>40109</v>
      </c>
      <c r="W204">
        <v>6586.77</v>
      </c>
      <c r="X204">
        <v>7470.5793999999996</v>
      </c>
      <c r="Y204" t="s">
        <v>33</v>
      </c>
      <c r="AC204" s="24">
        <f t="shared" si="61"/>
        <v>6.6460381935097068E-2</v>
      </c>
      <c r="AE204" s="5">
        <f t="shared" si="62"/>
        <v>103.33624647659879</v>
      </c>
      <c r="AF204" s="6">
        <f t="shared" si="63"/>
        <v>142.04629119774293</v>
      </c>
      <c r="AH204" s="1">
        <f t="shared" si="53"/>
        <v>40109</v>
      </c>
      <c r="AI204">
        <f t="shared" si="57"/>
        <v>0.72748289029767199</v>
      </c>
      <c r="AJ204">
        <f t="shared" ca="1" si="47"/>
        <v>0.57016844599048033</v>
      </c>
      <c r="AK204">
        <f t="shared" ca="1" si="48"/>
        <v>0.60832534867670462</v>
      </c>
      <c r="AL204">
        <f t="shared" ca="1" si="49"/>
        <v>0.6825346368490206</v>
      </c>
      <c r="AM204">
        <f t="shared" ca="1" si="50"/>
        <v>0.8637926926002748</v>
      </c>
      <c r="AN204">
        <f t="shared" ca="1" si="51"/>
        <v>1.0767415975887544</v>
      </c>
      <c r="AP204" s="40"/>
      <c r="AQ204" s="41"/>
    </row>
    <row r="205" spans="2:43" x14ac:dyDescent="0.25">
      <c r="B205" s="1">
        <v>40116</v>
      </c>
      <c r="C205">
        <v>1.3560000000000001</v>
      </c>
      <c r="D205">
        <v>0.67500000000000004</v>
      </c>
      <c r="E205" t="s">
        <v>33</v>
      </c>
      <c r="G205">
        <v>2115.7600000000002</v>
      </c>
      <c r="I205" s="14">
        <f t="shared" si="54"/>
        <v>-0.11488250652741505</v>
      </c>
      <c r="J205" s="15">
        <f t="shared" si="55"/>
        <v>-9.2741935483870885E-2</v>
      </c>
      <c r="K205" s="15"/>
      <c r="L205" s="15"/>
      <c r="M205" s="16">
        <f t="shared" si="56"/>
        <v>-7.8453577713120892E-2</v>
      </c>
      <c r="O205" s="13">
        <f t="shared" si="58"/>
        <v>-0.10381222100564297</v>
      </c>
      <c r="Q205" s="5">
        <f t="shared" si="59"/>
        <v>106.21568627056438</v>
      </c>
      <c r="R205" s="6">
        <f t="shared" si="60"/>
        <v>130.90225145240021</v>
      </c>
      <c r="T205" s="11">
        <f t="shared" si="52"/>
        <v>0.81141221859875667</v>
      </c>
      <c r="V205" s="9">
        <v>40116</v>
      </c>
      <c r="W205">
        <v>5829</v>
      </c>
      <c r="X205">
        <v>6775.6418000000003</v>
      </c>
      <c r="Y205" t="s">
        <v>33</v>
      </c>
      <c r="AC205" s="24">
        <f t="shared" si="61"/>
        <v>-0.10311621337814345</v>
      </c>
      <c r="AE205" s="5">
        <f t="shared" si="62"/>
        <v>92.680604035221407</v>
      </c>
      <c r="AF205" s="6">
        <f t="shared" si="63"/>
        <v>130.90225145240021</v>
      </c>
      <c r="AH205" s="1">
        <f t="shared" si="53"/>
        <v>40116</v>
      </c>
      <c r="AI205">
        <f t="shared" si="57"/>
        <v>0.70801382716417771</v>
      </c>
      <c r="AJ205">
        <f t="shared" ca="1" si="47"/>
        <v>0.57016844599048033</v>
      </c>
      <c r="AK205">
        <f t="shared" ca="1" si="48"/>
        <v>0.60832534867670462</v>
      </c>
      <c r="AL205">
        <f t="shared" ca="1" si="49"/>
        <v>0.6825346368490206</v>
      </c>
      <c r="AM205">
        <f t="shared" ca="1" si="50"/>
        <v>0.86234826271686082</v>
      </c>
      <c r="AN205">
        <f t="shared" ca="1" si="51"/>
        <v>1.0480468850991653</v>
      </c>
      <c r="AP205" s="40"/>
      <c r="AQ205" s="41"/>
    </row>
    <row r="206" spans="2:43" x14ac:dyDescent="0.25">
      <c r="B206" s="1">
        <v>40123</v>
      </c>
      <c r="C206">
        <v>1.4279999999999999</v>
      </c>
      <c r="D206">
        <v>0.70499999999999996</v>
      </c>
      <c r="E206" t="s">
        <v>33</v>
      </c>
      <c r="G206">
        <v>2222.81</v>
      </c>
      <c r="I206" s="14">
        <f t="shared" si="54"/>
        <v>5.3097345132743223E-2</v>
      </c>
      <c r="J206" s="15">
        <f t="shared" si="55"/>
        <v>4.4444444444444287E-2</v>
      </c>
      <c r="K206" s="15"/>
      <c r="L206" s="15"/>
      <c r="M206" s="16">
        <f t="shared" si="56"/>
        <v>5.0596475970809518E-2</v>
      </c>
      <c r="O206" s="13">
        <f t="shared" si="58"/>
        <v>4.8770894788593755E-2</v>
      </c>
      <c r="Q206" s="5">
        <f t="shared" si="59"/>
        <v>111.39592033056434</v>
      </c>
      <c r="R206" s="6">
        <f t="shared" si="60"/>
        <v>137.52544407253643</v>
      </c>
      <c r="T206" s="11">
        <f t="shared" si="52"/>
        <v>0.81000225872246345</v>
      </c>
      <c r="V206" s="9">
        <v>40123</v>
      </c>
      <c r="W206">
        <v>6139.88</v>
      </c>
      <c r="X206">
        <v>7070.9903000000004</v>
      </c>
      <c r="Y206" t="s">
        <v>33</v>
      </c>
      <c r="AC206" s="24">
        <f t="shared" si="61"/>
        <v>4.8445966971811506E-2</v>
      </c>
      <c r="AE206" s="5">
        <f t="shared" si="62"/>
        <v>97.170605517239295</v>
      </c>
      <c r="AF206" s="6">
        <f t="shared" si="63"/>
        <v>137.52544407253643</v>
      </c>
      <c r="AH206" s="1">
        <f t="shared" si="53"/>
        <v>40123</v>
      </c>
      <c r="AI206">
        <f t="shared" si="57"/>
        <v>0.70656456463421868</v>
      </c>
      <c r="AJ206">
        <f t="shared" ca="1" si="47"/>
        <v>0.57016844599048033</v>
      </c>
      <c r="AK206">
        <f t="shared" ca="1" si="48"/>
        <v>0.60832534867670462</v>
      </c>
      <c r="AL206">
        <f t="shared" ca="1" si="49"/>
        <v>0.6825346368490206</v>
      </c>
      <c r="AM206">
        <f t="shared" ca="1" si="50"/>
        <v>0.79839125212799311</v>
      </c>
      <c r="AN206">
        <f t="shared" ca="1" si="51"/>
        <v>1.0246017701161085</v>
      </c>
      <c r="AP206" s="40"/>
      <c r="AQ206" s="41"/>
    </row>
    <row r="207" spans="2:43" x14ac:dyDescent="0.25">
      <c r="B207" s="1">
        <v>40130</v>
      </c>
      <c r="C207">
        <v>1.464</v>
      </c>
      <c r="D207">
        <v>0.70099999999999996</v>
      </c>
      <c r="E207" t="s">
        <v>33</v>
      </c>
      <c r="G207">
        <v>2233.4299999999998</v>
      </c>
      <c r="I207" s="14">
        <f t="shared" si="54"/>
        <v>2.5210084033613578E-2</v>
      </c>
      <c r="J207" s="15">
        <f t="shared" si="55"/>
        <v>-5.6737588652482351E-3</v>
      </c>
      <c r="K207" s="15"/>
      <c r="L207" s="15"/>
      <c r="M207" s="16">
        <f t="shared" si="56"/>
        <v>4.7777362887515551E-3</v>
      </c>
      <c r="O207" s="13">
        <f t="shared" si="58"/>
        <v>9.7681625841826714E-3</v>
      </c>
      <c r="Q207" s="5">
        <f t="shared" si="59"/>
        <v>112.48405379156796</v>
      </c>
      <c r="R207" s="6">
        <f t="shared" si="60"/>
        <v>138.18250437730845</v>
      </c>
      <c r="T207" s="11">
        <f t="shared" si="52"/>
        <v>0.81402529429072534</v>
      </c>
      <c r="V207" s="9">
        <v>40130</v>
      </c>
      <c r="W207">
        <v>6295.32</v>
      </c>
      <c r="X207">
        <v>7036.2434000000003</v>
      </c>
      <c r="Y207" t="s">
        <v>33</v>
      </c>
      <c r="AC207" s="24">
        <f t="shared" si="61"/>
        <v>8.6798064208982537E-3</v>
      </c>
      <c r="AE207" s="5">
        <f t="shared" si="62"/>
        <v>98.014027562930394</v>
      </c>
      <c r="AF207" s="6">
        <f t="shared" si="63"/>
        <v>138.18250437730845</v>
      </c>
      <c r="AH207" s="1">
        <f t="shared" si="53"/>
        <v>40130</v>
      </c>
      <c r="AI207">
        <f t="shared" si="57"/>
        <v>0.7093085192268791</v>
      </c>
      <c r="AJ207">
        <f t="shared" ca="1" si="47"/>
        <v>0.57016844599048033</v>
      </c>
      <c r="AK207">
        <f t="shared" ca="1" si="48"/>
        <v>0.60832534867670462</v>
      </c>
      <c r="AL207">
        <f t="shared" ca="1" si="49"/>
        <v>0.6825346368490206</v>
      </c>
      <c r="AM207">
        <f t="shared" ca="1" si="50"/>
        <v>0.77094686692449099</v>
      </c>
      <c r="AN207">
        <f t="shared" ca="1" si="51"/>
        <v>1.009633363112417</v>
      </c>
      <c r="AP207" s="40"/>
      <c r="AQ207" s="41"/>
    </row>
    <row r="208" spans="2:43" x14ac:dyDescent="0.25">
      <c r="B208" s="1">
        <v>40137</v>
      </c>
      <c r="C208">
        <v>1.4730000000000001</v>
      </c>
      <c r="D208">
        <v>0.69199999999999995</v>
      </c>
      <c r="E208" t="s">
        <v>33</v>
      </c>
      <c r="G208">
        <v>2231.5</v>
      </c>
      <c r="I208" s="14">
        <f t="shared" si="54"/>
        <v>6.147540983606703E-3</v>
      </c>
      <c r="J208" s="15">
        <f t="shared" si="55"/>
        <v>-1.2838801711840264E-2</v>
      </c>
      <c r="K208" s="15"/>
      <c r="L208" s="15"/>
      <c r="M208" s="16">
        <f t="shared" si="56"/>
        <v>-8.6414170132931289E-4</v>
      </c>
      <c r="O208" s="13">
        <f t="shared" si="58"/>
        <v>-3.3456303641167806E-3</v>
      </c>
      <c r="Q208" s="5">
        <f t="shared" si="59"/>
        <v>112.10772372572394</v>
      </c>
      <c r="R208" s="6">
        <f t="shared" si="60"/>
        <v>138.06309511288188</v>
      </c>
      <c r="T208" s="11">
        <f t="shared" si="52"/>
        <v>0.81200355268048607</v>
      </c>
      <c r="V208" s="9">
        <v>40137</v>
      </c>
      <c r="W208">
        <v>6334.18</v>
      </c>
      <c r="X208">
        <v>6949.3761999999997</v>
      </c>
      <c r="Y208" t="s">
        <v>33</v>
      </c>
      <c r="AC208" s="24">
        <f t="shared" si="61"/>
        <v>-3.8732288595593983E-3</v>
      </c>
      <c r="AE208" s="5">
        <f t="shared" si="62"/>
        <v>97.634396802731999</v>
      </c>
      <c r="AF208" s="6">
        <f t="shared" si="63"/>
        <v>138.06309511288188</v>
      </c>
      <c r="AH208" s="1">
        <f t="shared" si="53"/>
        <v>40137</v>
      </c>
      <c r="AI208">
        <f t="shared" si="57"/>
        <v>0.70717230207612736</v>
      </c>
      <c r="AJ208">
        <f t="shared" ca="1" si="47"/>
        <v>0.57016844599048033</v>
      </c>
      <c r="AK208">
        <f t="shared" ca="1" si="48"/>
        <v>0.60832534867670462</v>
      </c>
      <c r="AL208">
        <f t="shared" ca="1" si="49"/>
        <v>0.6825346368490206</v>
      </c>
      <c r="AM208">
        <f t="shared" ca="1" si="50"/>
        <v>0.76885201130752767</v>
      </c>
      <c r="AN208">
        <f t="shared" ca="1" si="51"/>
        <v>0.98767139442090746</v>
      </c>
      <c r="AP208" s="40"/>
      <c r="AQ208" s="41"/>
    </row>
    <row r="209" spans="2:43" x14ac:dyDescent="0.25">
      <c r="B209" s="1">
        <v>40144</v>
      </c>
      <c r="C209">
        <v>1.41</v>
      </c>
      <c r="D209">
        <v>0.66100000000000003</v>
      </c>
      <c r="E209" t="s">
        <v>33</v>
      </c>
      <c r="G209">
        <v>2188.58</v>
      </c>
      <c r="I209" s="14">
        <f t="shared" si="54"/>
        <v>-4.2769857433808678E-2</v>
      </c>
      <c r="J209" s="15">
        <f t="shared" si="55"/>
        <v>-4.4797687861271585E-2</v>
      </c>
      <c r="K209" s="15"/>
      <c r="L209" s="15"/>
      <c r="M209" s="16">
        <f t="shared" si="56"/>
        <v>-1.9233699305399976E-2</v>
      </c>
      <c r="O209" s="13">
        <f t="shared" si="58"/>
        <v>-4.3783772647540131E-2</v>
      </c>
      <c r="Q209" s="5">
        <f t="shared" si="59"/>
        <v>107.19922463808361</v>
      </c>
      <c r="R209" s="6">
        <f t="shared" si="60"/>
        <v>135.40763105630788</v>
      </c>
      <c r="T209" s="11">
        <f t="shared" si="52"/>
        <v>0.7916778677968741</v>
      </c>
      <c r="V209" s="9">
        <v>40144</v>
      </c>
      <c r="W209">
        <v>6062.16</v>
      </c>
      <c r="X209">
        <v>6636.6543000000001</v>
      </c>
      <c r="Y209" t="s">
        <v>33</v>
      </c>
      <c r="AC209" s="24">
        <f t="shared" si="61"/>
        <v>-4.3830729710635161E-2</v>
      </c>
      <c r="AE209" s="5">
        <f t="shared" si="62"/>
        <v>93.355009946010554</v>
      </c>
      <c r="AF209" s="6">
        <f t="shared" si="63"/>
        <v>135.40763105630788</v>
      </c>
      <c r="AH209" s="1">
        <f t="shared" si="53"/>
        <v>40144</v>
      </c>
      <c r="AI209">
        <f t="shared" si="57"/>
        <v>0.68943684501200542</v>
      </c>
      <c r="AJ209">
        <f t="shared" ca="1" si="47"/>
        <v>0.57016844599048033</v>
      </c>
      <c r="AK209">
        <f t="shared" ca="1" si="48"/>
        <v>0.60832534867670462</v>
      </c>
      <c r="AL209">
        <f t="shared" ca="1" si="49"/>
        <v>0.6825346368490206</v>
      </c>
      <c r="AM209">
        <f t="shared" ca="1" si="50"/>
        <v>0.76867316929740204</v>
      </c>
      <c r="AN209">
        <f t="shared" ca="1" si="51"/>
        <v>0.93075663802455366</v>
      </c>
      <c r="AP209" s="40"/>
      <c r="AQ209" s="41"/>
    </row>
    <row r="210" spans="2:43" x14ac:dyDescent="0.25">
      <c r="B210" s="1">
        <v>40151</v>
      </c>
      <c r="C210">
        <v>1.464</v>
      </c>
      <c r="D210">
        <v>0.68200000000000005</v>
      </c>
      <c r="E210" t="s">
        <v>33</v>
      </c>
      <c r="G210">
        <v>2174.4699999999998</v>
      </c>
      <c r="I210" s="14">
        <f t="shared" si="54"/>
        <v>3.8297872340425476E-2</v>
      </c>
      <c r="J210" s="15">
        <f t="shared" si="55"/>
        <v>3.1770045385779211E-2</v>
      </c>
      <c r="K210" s="15"/>
      <c r="L210" s="15"/>
      <c r="M210" s="16">
        <f t="shared" si="56"/>
        <v>-6.4471026875874138E-3</v>
      </c>
      <c r="O210" s="13">
        <f t="shared" si="58"/>
        <v>3.5033958863102344E-2</v>
      </c>
      <c r="Q210" s="5">
        <f t="shared" si="59"/>
        <v>110.95483786421069</v>
      </c>
      <c r="R210" s="6">
        <f t="shared" si="60"/>
        <v>134.5346441542049</v>
      </c>
      <c r="T210" s="11">
        <f t="shared" si="52"/>
        <v>0.82473060052125446</v>
      </c>
      <c r="V210" s="9">
        <v>40151</v>
      </c>
      <c r="W210">
        <v>6295.32</v>
      </c>
      <c r="X210">
        <v>6845.1355999999996</v>
      </c>
      <c r="Y210" t="s">
        <v>33</v>
      </c>
      <c r="AC210" s="24">
        <f t="shared" si="61"/>
        <v>3.4886299432535239E-2</v>
      </c>
      <c r="AE210" s="5">
        <f t="shared" si="62"/>
        <v>96.611820776514378</v>
      </c>
      <c r="AF210" s="6">
        <f t="shared" si="63"/>
        <v>134.5346441542049</v>
      </c>
      <c r="AH210" s="1">
        <f t="shared" si="53"/>
        <v>40151</v>
      </c>
      <c r="AI210">
        <f t="shared" si="57"/>
        <v>0.71811852912605156</v>
      </c>
      <c r="AJ210">
        <f t="shared" ca="1" si="47"/>
        <v>0.57016844599048033</v>
      </c>
      <c r="AK210">
        <f t="shared" ca="1" si="48"/>
        <v>0.60832534867670462</v>
      </c>
      <c r="AL210">
        <f t="shared" ca="1" si="49"/>
        <v>0.68084113212614028</v>
      </c>
      <c r="AM210">
        <f t="shared" ca="1" si="50"/>
        <v>0.73966649144876551</v>
      </c>
      <c r="AN210">
        <f t="shared" ca="1" si="51"/>
        <v>0.86983469122181745</v>
      </c>
      <c r="AP210" s="40"/>
      <c r="AQ210" s="41"/>
    </row>
    <row r="211" spans="2:43" x14ac:dyDescent="0.25">
      <c r="B211" s="1">
        <v>40158</v>
      </c>
      <c r="C211">
        <v>1.5089999999999999</v>
      </c>
      <c r="D211">
        <v>0.68600000000000005</v>
      </c>
      <c r="E211" t="s">
        <v>33</v>
      </c>
      <c r="G211">
        <v>2177.63</v>
      </c>
      <c r="I211" s="14">
        <f t="shared" si="54"/>
        <v>3.0737704918032849E-2</v>
      </c>
      <c r="J211" s="15">
        <f t="shared" si="55"/>
        <v>5.8651026392961825E-3</v>
      </c>
      <c r="K211" s="15"/>
      <c r="L211" s="15"/>
      <c r="M211" s="16">
        <f t="shared" si="56"/>
        <v>1.4532276830676594E-3</v>
      </c>
      <c r="O211" s="13">
        <f t="shared" si="58"/>
        <v>1.8301403778664516E-2</v>
      </c>
      <c r="Q211" s="5">
        <f t="shared" si="59"/>
        <v>112.98546715315985</v>
      </c>
      <c r="R211" s="6">
        <f t="shared" si="60"/>
        <v>134.73015362342144</v>
      </c>
      <c r="T211" s="11">
        <f t="shared" si="52"/>
        <v>0.83860564331397369</v>
      </c>
      <c r="V211" s="9">
        <v>40158</v>
      </c>
      <c r="W211">
        <v>6489.62</v>
      </c>
      <c r="X211">
        <v>6879.8824999999997</v>
      </c>
      <c r="Y211" t="s">
        <v>33</v>
      </c>
      <c r="AC211" s="24">
        <f t="shared" si="61"/>
        <v>1.7781051016107143E-2</v>
      </c>
      <c r="AE211" s="5">
        <f t="shared" si="62"/>
        <v>98.329680490500579</v>
      </c>
      <c r="AF211" s="6">
        <f t="shared" si="63"/>
        <v>134.73015362342144</v>
      </c>
      <c r="AH211" s="1">
        <f t="shared" si="53"/>
        <v>40158</v>
      </c>
      <c r="AI211">
        <f t="shared" si="57"/>
        <v>0.72982682677953237</v>
      </c>
      <c r="AJ211">
        <f t="shared" ca="1" si="47"/>
        <v>0.57016844599048033</v>
      </c>
      <c r="AK211">
        <f t="shared" ca="1" si="48"/>
        <v>0.60832534867670462</v>
      </c>
      <c r="AL211">
        <f t="shared" ca="1" si="49"/>
        <v>0.68084113212614028</v>
      </c>
      <c r="AM211">
        <f t="shared" ca="1" si="50"/>
        <v>0.72990795138127562</v>
      </c>
      <c r="AN211">
        <f t="shared" ca="1" si="51"/>
        <v>0.86387874513355511</v>
      </c>
      <c r="AP211" s="40"/>
      <c r="AQ211" s="41"/>
    </row>
    <row r="212" spans="2:43" x14ac:dyDescent="0.25">
      <c r="B212" s="1">
        <v>40165</v>
      </c>
      <c r="C212">
        <v>1.536</v>
      </c>
      <c r="D212">
        <v>0.68</v>
      </c>
      <c r="E212" t="s">
        <v>33</v>
      </c>
      <c r="G212">
        <v>2215.4499999999998</v>
      </c>
      <c r="I212" s="14">
        <f t="shared" si="54"/>
        <v>1.7892644135188984E-2</v>
      </c>
      <c r="J212" s="15">
        <f t="shared" si="55"/>
        <v>-8.7463556851311575E-3</v>
      </c>
      <c r="K212" s="15"/>
      <c r="L212" s="15"/>
      <c r="M212" s="16">
        <f t="shared" si="56"/>
        <v>1.7367505039882714E-2</v>
      </c>
      <c r="O212" s="13">
        <f t="shared" si="58"/>
        <v>4.5731442250289134E-3</v>
      </c>
      <c r="Q212" s="5">
        <f t="shared" si="59"/>
        <v>113.50216598978352</v>
      </c>
      <c r="R212" s="6">
        <f t="shared" si="60"/>
        <v>137.07008024550038</v>
      </c>
      <c r="T212" s="11">
        <f t="shared" si="52"/>
        <v>0.82805938237210208</v>
      </c>
      <c r="V212" s="9">
        <v>40165</v>
      </c>
      <c r="W212">
        <v>6606.2</v>
      </c>
      <c r="X212">
        <v>6827.7620999999999</v>
      </c>
      <c r="Y212" t="s">
        <v>33</v>
      </c>
      <c r="AC212" s="24">
        <f t="shared" si="61"/>
        <v>4.1843413257670421E-3</v>
      </c>
      <c r="AE212" s="5">
        <f t="shared" si="62"/>
        <v>98.741125436126438</v>
      </c>
      <c r="AF212" s="6">
        <f t="shared" si="63"/>
        <v>137.07008024550038</v>
      </c>
      <c r="AH212" s="1">
        <f t="shared" si="53"/>
        <v>40165</v>
      </c>
      <c r="AI212">
        <f t="shared" si="57"/>
        <v>0.72036964784200475</v>
      </c>
      <c r="AJ212">
        <f t="shared" ca="1" si="47"/>
        <v>0.57016844599048033</v>
      </c>
      <c r="AK212">
        <f t="shared" ca="1" si="48"/>
        <v>0.60832534867670462</v>
      </c>
      <c r="AL212">
        <f t="shared" ca="1" si="49"/>
        <v>0.68084113212614028</v>
      </c>
      <c r="AM212">
        <f t="shared" ca="1" si="50"/>
        <v>0.72983798380320053</v>
      </c>
      <c r="AN212">
        <f t="shared" ca="1" si="51"/>
        <v>0.8635714177713929</v>
      </c>
      <c r="AP212" s="40"/>
      <c r="AQ212" s="41"/>
    </row>
    <row r="213" spans="2:43" x14ac:dyDescent="0.25">
      <c r="B213" s="1">
        <v>40172</v>
      </c>
      <c r="C213">
        <v>1.613</v>
      </c>
      <c r="D213">
        <v>0.72899999999999998</v>
      </c>
      <c r="E213" t="s">
        <v>33</v>
      </c>
      <c r="G213">
        <v>2249.35</v>
      </c>
      <c r="I213" s="14">
        <f t="shared" si="54"/>
        <v>5.0130208333333259E-2</v>
      </c>
      <c r="J213" s="15">
        <f t="shared" si="55"/>
        <v>7.2058823529411731E-2</v>
      </c>
      <c r="K213" s="15"/>
      <c r="L213" s="15"/>
      <c r="M213" s="16">
        <f t="shared" si="56"/>
        <v>1.5301631722674847E-2</v>
      </c>
      <c r="O213" s="13">
        <f t="shared" si="58"/>
        <v>6.1094515931372495E-2</v>
      </c>
      <c r="Q213" s="5">
        <f t="shared" si="59"/>
        <v>120.43652587809163</v>
      </c>
      <c r="R213" s="6">
        <f t="shared" si="60"/>
        <v>139.16747613361451</v>
      </c>
      <c r="T213" s="11">
        <f t="shared" si="52"/>
        <v>0.86540712833263334</v>
      </c>
      <c r="V213" s="9">
        <v>40172</v>
      </c>
      <c r="W213">
        <v>6936.51</v>
      </c>
      <c r="X213">
        <v>7314.2184999999999</v>
      </c>
      <c r="Y213" t="s">
        <v>33</v>
      </c>
      <c r="AC213" s="24">
        <f t="shared" si="61"/>
        <v>6.1275346798571932E-2</v>
      </c>
      <c r="AE213" s="5">
        <f t="shared" si="62"/>
        <v>104.79152214050637</v>
      </c>
      <c r="AF213" s="6">
        <f t="shared" si="63"/>
        <v>139.16747613361451</v>
      </c>
      <c r="AH213" s="1">
        <f t="shared" si="53"/>
        <v>40172</v>
      </c>
      <c r="AI213">
        <f t="shared" si="57"/>
        <v>0.7529885936847498</v>
      </c>
      <c r="AJ213">
        <f t="shared" ca="1" si="47"/>
        <v>0.57016844599048033</v>
      </c>
      <c r="AK213">
        <f t="shared" ca="1" si="48"/>
        <v>0.60832534867670462</v>
      </c>
      <c r="AL213">
        <f t="shared" ca="1" si="49"/>
        <v>0.68084113212614028</v>
      </c>
      <c r="AM213">
        <f t="shared" ca="1" si="50"/>
        <v>0.72806887441813706</v>
      </c>
      <c r="AN213">
        <f t="shared" ca="1" si="51"/>
        <v>0.85341294295350101</v>
      </c>
      <c r="AP213" s="40"/>
      <c r="AQ213" s="41"/>
    </row>
    <row r="214" spans="2:43" x14ac:dyDescent="0.25">
      <c r="B214" s="1">
        <v>40179</v>
      </c>
      <c r="C214">
        <v>1.7490000000000001</v>
      </c>
      <c r="D214">
        <v>0.83399999999999996</v>
      </c>
      <c r="E214" t="s">
        <v>33</v>
      </c>
      <c r="G214">
        <v>2320.73</v>
      </c>
      <c r="I214" s="14">
        <f t="shared" si="54"/>
        <v>8.4314941103533769E-2</v>
      </c>
      <c r="J214" s="15">
        <f t="shared" si="55"/>
        <v>0.14403292181069949</v>
      </c>
      <c r="K214" s="15"/>
      <c r="L214" s="15"/>
      <c r="M214" s="16">
        <f t="shared" si="56"/>
        <v>3.1733611932336148E-2</v>
      </c>
      <c r="O214" s="13">
        <f t="shared" si="58"/>
        <v>0.11417393145711663</v>
      </c>
      <c r="Q214" s="5">
        <f t="shared" si="59"/>
        <v>134.18723752863011</v>
      </c>
      <c r="R214" s="6">
        <f t="shared" si="60"/>
        <v>143.58376281484129</v>
      </c>
      <c r="T214" s="11">
        <f t="shared" si="52"/>
        <v>0.93455718737272198</v>
      </c>
      <c r="V214" s="9">
        <v>40179</v>
      </c>
      <c r="W214">
        <v>7499.98</v>
      </c>
      <c r="X214">
        <v>8373.9982999999993</v>
      </c>
      <c r="Y214" t="s">
        <v>33</v>
      </c>
      <c r="AC214" s="24">
        <f t="shared" si="61"/>
        <v>0.11496532920621881</v>
      </c>
      <c r="AE214" s="5">
        <f t="shared" si="62"/>
        <v>116.83891398141044</v>
      </c>
      <c r="AF214" s="6">
        <f t="shared" si="63"/>
        <v>143.58376281484129</v>
      </c>
      <c r="AH214" s="1">
        <f t="shared" si="53"/>
        <v>40179</v>
      </c>
      <c r="AI214">
        <f t="shared" si="57"/>
        <v>0.81373347299778098</v>
      </c>
      <c r="AJ214">
        <f t="shared" ca="1" si="47"/>
        <v>0.57016844599048033</v>
      </c>
      <c r="AK214">
        <f t="shared" ca="1" si="48"/>
        <v>0.60832534867670462</v>
      </c>
      <c r="AL214">
        <f t="shared" ca="1" si="49"/>
        <v>0.68084113212614028</v>
      </c>
      <c r="AM214">
        <f t="shared" ca="1" si="50"/>
        <v>0.72806887441813706</v>
      </c>
      <c r="AN214">
        <f t="shared" ca="1" si="51"/>
        <v>0.77639143715902348</v>
      </c>
      <c r="AP214" s="40"/>
      <c r="AQ214" s="41"/>
    </row>
    <row r="215" spans="2:43" x14ac:dyDescent="0.25">
      <c r="B215" s="1">
        <v>40186</v>
      </c>
      <c r="C215">
        <v>1.7629999999999999</v>
      </c>
      <c r="D215">
        <v>0.84099999999999997</v>
      </c>
      <c r="E215" t="s">
        <v>33</v>
      </c>
      <c r="G215">
        <v>2352.7600000000002</v>
      </c>
      <c r="I215" s="14">
        <f t="shared" si="54"/>
        <v>8.0045740423098088E-3</v>
      </c>
      <c r="J215" s="15">
        <f t="shared" si="55"/>
        <v>8.3932853717025857E-3</v>
      </c>
      <c r="K215" s="15"/>
      <c r="L215" s="15"/>
      <c r="M215" s="16">
        <f t="shared" si="56"/>
        <v>1.3801691709074415E-2</v>
      </c>
      <c r="O215" s="13">
        <f t="shared" si="58"/>
        <v>8.1989297070061973E-3</v>
      </c>
      <c r="Q215" s="5">
        <f t="shared" si="59"/>
        <v>135.28742925670468</v>
      </c>
      <c r="R215" s="6">
        <f t="shared" si="60"/>
        <v>145.56546164364059</v>
      </c>
      <c r="T215" s="11">
        <f t="shared" si="52"/>
        <v>0.92939236910402823</v>
      </c>
      <c r="V215" s="9">
        <v>40186</v>
      </c>
      <c r="W215">
        <v>7558.27</v>
      </c>
      <c r="X215">
        <v>8443.4920999999995</v>
      </c>
      <c r="Y215" t="s">
        <v>33</v>
      </c>
      <c r="AC215" s="24">
        <f t="shared" si="61"/>
        <v>8.2096308938443639E-3</v>
      </c>
      <c r="AE215" s="5">
        <f t="shared" si="62"/>
        <v>117.79811833923546</v>
      </c>
      <c r="AF215" s="6">
        <f t="shared" si="63"/>
        <v>145.56546164364059</v>
      </c>
      <c r="AH215" s="1">
        <f t="shared" si="53"/>
        <v>40186</v>
      </c>
      <c r="AI215">
        <f t="shared" si="57"/>
        <v>0.80924497479778212</v>
      </c>
      <c r="AJ215">
        <f t="shared" ca="1" si="47"/>
        <v>0.57016844599048033</v>
      </c>
      <c r="AK215">
        <f t="shared" ca="1" si="48"/>
        <v>0.60832534867670462</v>
      </c>
      <c r="AL215">
        <f t="shared" ca="1" si="49"/>
        <v>0.68084113212614028</v>
      </c>
      <c r="AM215">
        <f t="shared" ca="1" si="50"/>
        <v>0.72806887441813706</v>
      </c>
      <c r="AN215">
        <f t="shared" ca="1" si="51"/>
        <v>0.77639143715902348</v>
      </c>
      <c r="AP215" s="40"/>
      <c r="AQ215" s="41"/>
    </row>
    <row r="216" spans="2:43" x14ac:dyDescent="0.25">
      <c r="B216" s="1">
        <v>40193</v>
      </c>
      <c r="C216">
        <v>1.7450000000000001</v>
      </c>
      <c r="D216">
        <v>0.81399999999999995</v>
      </c>
      <c r="E216" t="s">
        <v>33</v>
      </c>
      <c r="G216">
        <v>2371.11</v>
      </c>
      <c r="I216" s="14">
        <f t="shared" si="54"/>
        <v>-1.0209869540555805E-2</v>
      </c>
      <c r="J216" s="15">
        <f t="shared" si="55"/>
        <v>-3.2104637336504149E-2</v>
      </c>
      <c r="K216" s="15"/>
      <c r="L216" s="15"/>
      <c r="M216" s="16">
        <f t="shared" si="56"/>
        <v>7.7993505499922566E-3</v>
      </c>
      <c r="O216" s="13">
        <f t="shared" si="58"/>
        <v>-2.1157253438529977E-2</v>
      </c>
      <c r="Q216" s="5">
        <f t="shared" si="59"/>
        <v>132.42511882887337</v>
      </c>
      <c r="R216" s="6">
        <f t="shared" si="60"/>
        <v>146.7007777069708</v>
      </c>
      <c r="T216" s="11">
        <f t="shared" si="52"/>
        <v>0.90268859442168392</v>
      </c>
      <c r="V216" s="9">
        <v>40193</v>
      </c>
      <c r="W216">
        <v>7480.55</v>
      </c>
      <c r="X216">
        <v>8165.5171</v>
      </c>
      <c r="Y216" t="s">
        <v>33</v>
      </c>
      <c r="AC216" s="24">
        <f t="shared" si="61"/>
        <v>-2.1762865876904548E-2</v>
      </c>
      <c r="AE216" s="5">
        <f t="shared" si="62"/>
        <v>115.23449368926694</v>
      </c>
      <c r="AF216" s="6">
        <f t="shared" si="63"/>
        <v>146.7007777069708</v>
      </c>
      <c r="AH216" s="1">
        <f t="shared" si="53"/>
        <v>40193</v>
      </c>
      <c r="AI216">
        <f t="shared" si="57"/>
        <v>0.78550704018381867</v>
      </c>
      <c r="AJ216">
        <f t="shared" ca="1" si="47"/>
        <v>0.57016844599048033</v>
      </c>
      <c r="AK216">
        <f t="shared" ca="1" si="48"/>
        <v>0.60832534867670462</v>
      </c>
      <c r="AL216">
        <f t="shared" ca="1" si="49"/>
        <v>0.68084113212614028</v>
      </c>
      <c r="AM216">
        <f t="shared" ca="1" si="50"/>
        <v>0.72806887441813706</v>
      </c>
      <c r="AN216">
        <f t="shared" ca="1" si="51"/>
        <v>0.77639143715902348</v>
      </c>
      <c r="AP216" s="40"/>
      <c r="AQ216" s="41"/>
    </row>
    <row r="217" spans="2:43" x14ac:dyDescent="0.25">
      <c r="B217" s="1">
        <v>40200</v>
      </c>
      <c r="C217">
        <v>1.708</v>
      </c>
      <c r="D217">
        <v>0.83099999999999996</v>
      </c>
      <c r="E217" t="s">
        <v>33</v>
      </c>
      <c r="G217">
        <v>2331.6</v>
      </c>
      <c r="I217" s="14">
        <f t="shared" si="54"/>
        <v>-2.1203438395415608E-2</v>
      </c>
      <c r="J217" s="15">
        <f t="shared" si="55"/>
        <v>2.0884520884520974E-2</v>
      </c>
      <c r="K217" s="15"/>
      <c r="L217" s="15"/>
      <c r="M217" s="16">
        <f t="shared" si="56"/>
        <v>-1.6663081847742234E-2</v>
      </c>
      <c r="O217" s="13">
        <f t="shared" si="58"/>
        <v>-1.5945875544731702E-4</v>
      </c>
      <c r="Q217" s="5">
        <f t="shared" si="59"/>
        <v>132.40400248423495</v>
      </c>
      <c r="R217" s="6">
        <f t="shared" si="60"/>
        <v>144.25629064091211</v>
      </c>
      <c r="T217" s="11">
        <f t="shared" si="52"/>
        <v>0.91783867376584427</v>
      </c>
      <c r="V217" s="9">
        <v>40200</v>
      </c>
      <c r="W217">
        <v>7325.11</v>
      </c>
      <c r="X217">
        <v>8339.2515000000003</v>
      </c>
      <c r="Y217" t="s">
        <v>33</v>
      </c>
      <c r="AC217" s="24">
        <f t="shared" si="61"/>
        <v>7.6182284294542657E-4</v>
      </c>
      <c r="AE217" s="5">
        <f t="shared" si="62"/>
        <v>115.32228195885466</v>
      </c>
      <c r="AF217" s="6">
        <f t="shared" si="63"/>
        <v>144.25629064091211</v>
      </c>
      <c r="AH217" s="1">
        <f t="shared" si="53"/>
        <v>40200</v>
      </c>
      <c r="AI217">
        <f t="shared" si="57"/>
        <v>0.79942636433040537</v>
      </c>
      <c r="AJ217">
        <f t="shared" ca="1" si="47"/>
        <v>0.57016844599048033</v>
      </c>
      <c r="AK217">
        <f t="shared" ca="1" si="48"/>
        <v>0.60832534867670462</v>
      </c>
      <c r="AL217">
        <f t="shared" ca="1" si="49"/>
        <v>0.68084113212614028</v>
      </c>
      <c r="AM217">
        <f t="shared" ca="1" si="50"/>
        <v>0.72806887441813706</v>
      </c>
      <c r="AN217">
        <f t="shared" ca="1" si="51"/>
        <v>0.77639143715902348</v>
      </c>
      <c r="AP217" s="40"/>
      <c r="AQ217" s="41"/>
    </row>
    <row r="218" spans="2:43" x14ac:dyDescent="0.25">
      <c r="B218" s="1">
        <v>40207</v>
      </c>
      <c r="C218">
        <v>1.6539999999999999</v>
      </c>
      <c r="D218">
        <v>0.82099999999999995</v>
      </c>
      <c r="E218" t="s">
        <v>33</v>
      </c>
      <c r="G218">
        <v>2298.5500000000002</v>
      </c>
      <c r="I218" s="14">
        <f t="shared" si="54"/>
        <v>-3.1615925058548044E-2</v>
      </c>
      <c r="J218" s="15">
        <f t="shared" si="55"/>
        <v>-1.2033694344163681E-2</v>
      </c>
      <c r="K218" s="15"/>
      <c r="L218" s="15"/>
      <c r="M218" s="16">
        <f t="shared" si="56"/>
        <v>-1.4174815577285838E-2</v>
      </c>
      <c r="O218" s="13">
        <f t="shared" si="58"/>
        <v>-2.1824809701355863E-2</v>
      </c>
      <c r="Q218" s="5">
        <f t="shared" si="59"/>
        <v>129.51431032631868</v>
      </c>
      <c r="R218" s="6">
        <f t="shared" si="60"/>
        <v>142.21148432521383</v>
      </c>
      <c r="T218" s="11">
        <f t="shared" si="52"/>
        <v>0.91071625432261971</v>
      </c>
      <c r="V218" s="9">
        <v>40207</v>
      </c>
      <c r="W218">
        <v>7091.95</v>
      </c>
      <c r="X218">
        <v>8235.0108</v>
      </c>
      <c r="Y218" t="s">
        <v>33</v>
      </c>
      <c r="AC218" s="24">
        <f t="shared" si="61"/>
        <v>-2.1190913681079778E-2</v>
      </c>
      <c r="AE218" s="5">
        <f t="shared" si="62"/>
        <v>112.87849743635944</v>
      </c>
      <c r="AF218" s="6">
        <f t="shared" si="63"/>
        <v>142.21148432521383</v>
      </c>
      <c r="AH218" s="1">
        <f t="shared" si="53"/>
        <v>40207</v>
      </c>
      <c r="AI218">
        <f t="shared" si="57"/>
        <v>0.79373686289797274</v>
      </c>
      <c r="AJ218">
        <f t="shared" ca="1" si="47"/>
        <v>0.57016844599048033</v>
      </c>
      <c r="AK218">
        <f t="shared" ca="1" si="48"/>
        <v>0.60832534867670462</v>
      </c>
      <c r="AL218">
        <f t="shared" ca="1" si="49"/>
        <v>0.68084113212614028</v>
      </c>
      <c r="AM218">
        <f t="shared" ca="1" si="50"/>
        <v>0.72806887441813706</v>
      </c>
      <c r="AN218">
        <f t="shared" ca="1" si="51"/>
        <v>0.77639143715902348</v>
      </c>
      <c r="AP218" s="40"/>
      <c r="AQ218" s="41"/>
    </row>
    <row r="219" spans="2:43" x14ac:dyDescent="0.25">
      <c r="B219" s="1">
        <v>40214</v>
      </c>
      <c r="C219">
        <v>1.577</v>
      </c>
      <c r="D219">
        <v>0.77900000000000003</v>
      </c>
      <c r="E219" t="s">
        <v>33</v>
      </c>
      <c r="G219">
        <v>2165.15</v>
      </c>
      <c r="I219" s="14">
        <f t="shared" si="54"/>
        <v>-4.655380894800476E-2</v>
      </c>
      <c r="J219" s="15">
        <f t="shared" si="55"/>
        <v>-5.1157125456759989E-2</v>
      </c>
      <c r="K219" s="15"/>
      <c r="L219" s="15"/>
      <c r="M219" s="16">
        <f t="shared" si="56"/>
        <v>-5.8036588283918111E-2</v>
      </c>
      <c r="O219" s="13">
        <f t="shared" si="58"/>
        <v>-4.8855467202382374E-2</v>
      </c>
      <c r="Q219" s="5">
        <f t="shared" si="59"/>
        <v>123.18682818593204</v>
      </c>
      <c r="R219" s="6">
        <f t="shared" si="60"/>
        <v>133.95801496018652</v>
      </c>
      <c r="T219" s="11">
        <f t="shared" si="52"/>
        <v>0.91959281587252717</v>
      </c>
      <c r="V219" s="9">
        <v>40214</v>
      </c>
      <c r="W219">
        <v>6761.64</v>
      </c>
      <c r="X219">
        <v>7818.0482000000002</v>
      </c>
      <c r="Y219" t="s">
        <v>33</v>
      </c>
      <c r="AC219" s="24">
        <f t="shared" si="61"/>
        <v>-4.9027121280441698E-2</v>
      </c>
      <c r="AE219" s="5">
        <f t="shared" si="62"/>
        <v>107.34438965259301</v>
      </c>
      <c r="AF219" s="6">
        <f t="shared" si="63"/>
        <v>133.95801496018652</v>
      </c>
      <c r="AH219" s="1">
        <f t="shared" si="53"/>
        <v>40214</v>
      </c>
      <c r="AI219">
        <f t="shared" si="57"/>
        <v>0.80132860795598304</v>
      </c>
      <c r="AJ219">
        <f t="shared" ca="1" si="47"/>
        <v>0.57016844599048033</v>
      </c>
      <c r="AK219">
        <f t="shared" ca="1" si="48"/>
        <v>0.60832534867670462</v>
      </c>
      <c r="AL219">
        <f t="shared" ca="1" si="49"/>
        <v>0.68084113212614028</v>
      </c>
      <c r="AM219">
        <f t="shared" ca="1" si="50"/>
        <v>0.72806887441813706</v>
      </c>
      <c r="AN219">
        <f t="shared" ca="1" si="51"/>
        <v>0.77639143715902348</v>
      </c>
      <c r="AP219" s="40"/>
      <c r="AQ219" s="41"/>
    </row>
    <row r="220" spans="2:43" x14ac:dyDescent="0.25">
      <c r="B220" s="1">
        <v>40221</v>
      </c>
      <c r="C220">
        <v>1.645</v>
      </c>
      <c r="D220">
        <v>0.79600000000000004</v>
      </c>
      <c r="E220" t="s">
        <v>33</v>
      </c>
      <c r="G220">
        <v>2273.41</v>
      </c>
      <c r="I220" s="14">
        <f t="shared" si="54"/>
        <v>4.3119847812301826E-2</v>
      </c>
      <c r="J220" s="15">
        <f t="shared" si="55"/>
        <v>2.1822849807445532E-2</v>
      </c>
      <c r="K220" s="15"/>
      <c r="L220" s="15"/>
      <c r="M220" s="16">
        <f t="shared" si="56"/>
        <v>5.0001154654411906E-2</v>
      </c>
      <c r="O220" s="13">
        <f t="shared" si="58"/>
        <v>3.2471348809873679E-2</v>
      </c>
      <c r="Q220" s="5">
        <f t="shared" si="59"/>
        <v>127.1868706527394</v>
      </c>
      <c r="R220" s="6">
        <f t="shared" si="60"/>
        <v>140.65607038340883</v>
      </c>
      <c r="T220" s="11">
        <f t="shared" si="52"/>
        <v>0.9042401817855833</v>
      </c>
      <c r="V220" s="9">
        <v>40221</v>
      </c>
      <c r="W220">
        <v>7053.09</v>
      </c>
      <c r="X220">
        <v>7991.7826999999997</v>
      </c>
      <c r="Y220" t="s">
        <v>33</v>
      </c>
      <c r="AC220" s="24">
        <f t="shared" si="61"/>
        <v>3.1699784870402266E-2</v>
      </c>
      <c r="AE220" s="5">
        <f t="shared" si="62"/>
        <v>110.74718371162486</v>
      </c>
      <c r="AF220" s="6">
        <f t="shared" si="63"/>
        <v>140.65607038340883</v>
      </c>
      <c r="AH220" s="1">
        <f t="shared" si="53"/>
        <v>40221</v>
      </c>
      <c r="AI220">
        <f t="shared" si="57"/>
        <v>0.78736156505541122</v>
      </c>
      <c r="AJ220">
        <f t="shared" ca="1" si="47"/>
        <v>0.57016844599048033</v>
      </c>
      <c r="AK220">
        <f t="shared" ca="1" si="48"/>
        <v>0.60832534867670462</v>
      </c>
      <c r="AL220">
        <f t="shared" ca="1" si="49"/>
        <v>0.68084113212614028</v>
      </c>
      <c r="AM220">
        <f t="shared" ca="1" si="50"/>
        <v>0.72806887441813706</v>
      </c>
      <c r="AN220">
        <f t="shared" ca="1" si="51"/>
        <v>0.78384161631040383</v>
      </c>
      <c r="AP220" s="40"/>
      <c r="AQ220" s="41"/>
    </row>
    <row r="221" spans="2:43" x14ac:dyDescent="0.25">
      <c r="B221" s="1">
        <v>40228</v>
      </c>
      <c r="C221">
        <v>1.6539999999999999</v>
      </c>
      <c r="D221">
        <v>0.78400000000000003</v>
      </c>
      <c r="E221" t="s">
        <v>33</v>
      </c>
      <c r="G221">
        <v>2334.9899999999998</v>
      </c>
      <c r="I221" s="14">
        <f t="shared" si="54"/>
        <v>5.4711246200607189E-3</v>
      </c>
      <c r="J221" s="15">
        <f t="shared" si="55"/>
        <v>-1.5075376884422176E-2</v>
      </c>
      <c r="K221" s="15"/>
      <c r="L221" s="15"/>
      <c r="M221" s="16">
        <f t="shared" si="56"/>
        <v>2.7087063046260962E-2</v>
      </c>
      <c r="O221" s="13">
        <f t="shared" si="58"/>
        <v>-4.8021261321807285E-3</v>
      </c>
      <c r="Q221" s="5">
        <f t="shared" si="59"/>
        <v>126.5761032575076</v>
      </c>
      <c r="R221" s="6">
        <f t="shared" si="60"/>
        <v>144.46603022972354</v>
      </c>
      <c r="T221" s="11">
        <f t="shared" si="52"/>
        <v>0.87616516530724786</v>
      </c>
      <c r="V221" s="9">
        <v>40228</v>
      </c>
      <c r="W221">
        <v>7091.95</v>
      </c>
      <c r="X221">
        <v>7870.1686</v>
      </c>
      <c r="Y221" t="s">
        <v>33</v>
      </c>
      <c r="AC221" s="24">
        <f t="shared" si="61"/>
        <v>-5.443103671751306E-3</v>
      </c>
      <c r="AE221" s="5">
        <f t="shared" si="62"/>
        <v>110.144375309328</v>
      </c>
      <c r="AF221" s="6">
        <f t="shared" si="63"/>
        <v>144.46603022972354</v>
      </c>
      <c r="AH221" s="1">
        <f t="shared" si="53"/>
        <v>40228</v>
      </c>
      <c r="AI221">
        <f t="shared" si="57"/>
        <v>0.76242404622167048</v>
      </c>
      <c r="AJ221">
        <f t="shared" ca="1" si="47"/>
        <v>0.57016844599048033</v>
      </c>
      <c r="AK221">
        <f t="shared" ca="1" si="48"/>
        <v>0.60832534867670462</v>
      </c>
      <c r="AL221">
        <f t="shared" ca="1" si="49"/>
        <v>0.68084113212614028</v>
      </c>
      <c r="AM221">
        <f t="shared" ca="1" si="50"/>
        <v>0.72806887441813706</v>
      </c>
      <c r="AN221">
        <f t="shared" ca="1" si="51"/>
        <v>0.78717611256825193</v>
      </c>
      <c r="AP221" s="40"/>
      <c r="AQ221" s="41"/>
    </row>
    <row r="222" spans="2:43" x14ac:dyDescent="0.25">
      <c r="B222" s="1">
        <v>40235</v>
      </c>
      <c r="C222">
        <v>1.5860000000000001</v>
      </c>
      <c r="D222">
        <v>0.80500000000000005</v>
      </c>
      <c r="E222" t="s">
        <v>33</v>
      </c>
      <c r="G222">
        <v>2221.38</v>
      </c>
      <c r="I222" s="14">
        <f t="shared" si="54"/>
        <v>-4.1112454655380826E-2</v>
      </c>
      <c r="J222" s="15">
        <f t="shared" si="55"/>
        <v>2.6785714285714413E-2</v>
      </c>
      <c r="K222" s="15"/>
      <c r="L222" s="15"/>
      <c r="M222" s="16">
        <f t="shared" si="56"/>
        <v>-4.8655454627214545E-2</v>
      </c>
      <c r="O222" s="13">
        <f t="shared" si="58"/>
        <v>-7.1633701848332065E-3</v>
      </c>
      <c r="Q222" s="5">
        <f t="shared" si="59"/>
        <v>125.66939177332038</v>
      </c>
      <c r="R222" s="6">
        <f t="shared" si="60"/>
        <v>137.43696985070741</v>
      </c>
      <c r="T222" s="11">
        <f t="shared" si="52"/>
        <v>0.91437836493215974</v>
      </c>
      <c r="V222" s="9">
        <v>40235</v>
      </c>
      <c r="W222">
        <v>6800.5</v>
      </c>
      <c r="X222">
        <v>8078.6499000000003</v>
      </c>
      <c r="Y222" t="s">
        <v>33</v>
      </c>
      <c r="AC222" s="24">
        <f t="shared" si="61"/>
        <v>-5.3975902378709285E-3</v>
      </c>
      <c r="AE222" s="5">
        <f t="shared" si="62"/>
        <v>109.54986110440198</v>
      </c>
      <c r="AF222" s="6">
        <f t="shared" si="63"/>
        <v>137.43696985070741</v>
      </c>
      <c r="AH222" s="1">
        <f t="shared" si="53"/>
        <v>40235</v>
      </c>
      <c r="AI222">
        <f t="shared" si="57"/>
        <v>0.79709165025539974</v>
      </c>
      <c r="AJ222">
        <f t="shared" ca="1" si="47"/>
        <v>0.57016844599048033</v>
      </c>
      <c r="AK222">
        <f t="shared" ca="1" si="48"/>
        <v>0.60832534867670462</v>
      </c>
      <c r="AL222">
        <f t="shared" ca="1" si="49"/>
        <v>0.68084113212614028</v>
      </c>
      <c r="AM222">
        <f t="shared" ca="1" si="50"/>
        <v>0.72806887441813706</v>
      </c>
      <c r="AN222">
        <f t="shared" ca="1" si="51"/>
        <v>0.78717611256825193</v>
      </c>
      <c r="AP222" s="40"/>
      <c r="AQ222" s="41"/>
    </row>
    <row r="223" spans="2:43" x14ac:dyDescent="0.25">
      <c r="B223" s="1">
        <v>40242</v>
      </c>
      <c r="C223">
        <v>1.64</v>
      </c>
      <c r="D223">
        <v>0.83399999999999996</v>
      </c>
      <c r="E223" t="s">
        <v>33</v>
      </c>
      <c r="G223">
        <v>2298.7399999999998</v>
      </c>
      <c r="I223" s="14">
        <f t="shared" si="54"/>
        <v>3.4047919293820783E-2</v>
      </c>
      <c r="J223" s="15">
        <f t="shared" si="55"/>
        <v>3.6024844720496718E-2</v>
      </c>
      <c r="K223" s="15"/>
      <c r="L223" s="15"/>
      <c r="M223" s="16">
        <f t="shared" si="56"/>
        <v>3.4825198750326303E-2</v>
      </c>
      <c r="O223" s="13">
        <f t="shared" si="58"/>
        <v>3.5036382007158751E-2</v>
      </c>
      <c r="Q223" s="5">
        <f t="shared" si="59"/>
        <v>130.07239259009771</v>
      </c>
      <c r="R223" s="6">
        <f t="shared" si="60"/>
        <v>142.22323964140091</v>
      </c>
      <c r="T223" s="11">
        <f t="shared" si="52"/>
        <v>0.91456496784955732</v>
      </c>
      <c r="V223" s="9">
        <v>40242</v>
      </c>
      <c r="W223">
        <v>7033.66</v>
      </c>
      <c r="X223">
        <v>8373.9982999999993</v>
      </c>
      <c r="Y223" t="s">
        <v>33</v>
      </c>
      <c r="AC223" s="24">
        <f t="shared" si="61"/>
        <v>3.5121293008573327E-2</v>
      </c>
      <c r="AE223" s="5">
        <f t="shared" si="62"/>
        <v>113.39739387529821</v>
      </c>
      <c r="AF223" s="6">
        <f t="shared" si="63"/>
        <v>142.22323964140091</v>
      </c>
      <c r="AH223" s="1">
        <f t="shared" si="53"/>
        <v>40242</v>
      </c>
      <c r="AI223">
        <f t="shared" si="57"/>
        <v>0.79731972187679268</v>
      </c>
      <c r="AJ223">
        <f t="shared" ca="1" si="47"/>
        <v>0.57016844599048033</v>
      </c>
      <c r="AK223">
        <f t="shared" ca="1" si="48"/>
        <v>0.60832534867670462</v>
      </c>
      <c r="AL223">
        <f t="shared" ca="1" si="49"/>
        <v>0.68084113212614028</v>
      </c>
      <c r="AM223">
        <f t="shared" ca="1" si="50"/>
        <v>0.72983798380320053</v>
      </c>
      <c r="AN223">
        <f t="shared" ca="1" si="51"/>
        <v>0.79309933311371661</v>
      </c>
      <c r="AP223" s="40"/>
      <c r="AQ223" s="41"/>
    </row>
    <row r="224" spans="2:43" x14ac:dyDescent="0.25">
      <c r="B224" s="1">
        <v>40249</v>
      </c>
      <c r="C224">
        <v>1.663</v>
      </c>
      <c r="D224">
        <v>0.871</v>
      </c>
      <c r="E224" t="s">
        <v>33</v>
      </c>
      <c r="G224">
        <v>2359.9699999999998</v>
      </c>
      <c r="I224" s="14">
        <f t="shared" si="54"/>
        <v>1.4024390243902563E-2</v>
      </c>
      <c r="J224" s="15">
        <f t="shared" si="55"/>
        <v>4.4364508393285318E-2</v>
      </c>
      <c r="K224" s="15"/>
      <c r="L224" s="15"/>
      <c r="M224" s="16">
        <f t="shared" si="56"/>
        <v>2.6636331207531061E-2</v>
      </c>
      <c r="O224" s="13">
        <f t="shared" si="58"/>
        <v>2.919444931859394E-2</v>
      </c>
      <c r="Q224" s="5">
        <f t="shared" si="59"/>
        <v>133.86978446331756</v>
      </c>
      <c r="R224" s="6">
        <f t="shared" si="60"/>
        <v>146.01154495789731</v>
      </c>
      <c r="T224" s="11">
        <f t="shared" si="52"/>
        <v>0.91684383246488588</v>
      </c>
      <c r="V224" s="9">
        <v>40249</v>
      </c>
      <c r="W224">
        <v>7130.81</v>
      </c>
      <c r="X224">
        <v>8738.8405999999995</v>
      </c>
      <c r="Y224" t="s">
        <v>33</v>
      </c>
      <c r="AC224" s="24">
        <f t="shared" si="61"/>
        <v>3.0514118459430962E-2</v>
      </c>
      <c r="AE224" s="5">
        <f t="shared" si="62"/>
        <v>116.85761538499979</v>
      </c>
      <c r="AF224" s="6">
        <f t="shared" si="63"/>
        <v>146.01154495789731</v>
      </c>
      <c r="AH224" s="1">
        <f t="shared" si="53"/>
        <v>40249</v>
      </c>
      <c r="AI224">
        <f t="shared" si="57"/>
        <v>0.80033133968067993</v>
      </c>
      <c r="AJ224">
        <f t="shared" ca="1" si="47"/>
        <v>0.57016844599048033</v>
      </c>
      <c r="AK224">
        <f t="shared" ca="1" si="48"/>
        <v>0.60832534867670462</v>
      </c>
      <c r="AL224">
        <f t="shared" ca="1" si="49"/>
        <v>0.69113034973488574</v>
      </c>
      <c r="AM224">
        <f t="shared" ca="1" si="50"/>
        <v>0.73565073957684102</v>
      </c>
      <c r="AN224">
        <f t="shared" ca="1" si="51"/>
        <v>0.79675617151965705</v>
      </c>
      <c r="AP224" s="40"/>
      <c r="AQ224" s="41"/>
    </row>
    <row r="225" spans="2:43" x14ac:dyDescent="0.25">
      <c r="B225" s="1">
        <v>40256</v>
      </c>
      <c r="C225">
        <v>1.6539999999999999</v>
      </c>
      <c r="D225">
        <v>0.86199999999999999</v>
      </c>
      <c r="E225" t="s">
        <v>33</v>
      </c>
      <c r="G225">
        <v>2381.1</v>
      </c>
      <c r="I225" s="14">
        <f t="shared" si="54"/>
        <v>-5.4119061936260815E-3</v>
      </c>
      <c r="J225" s="15">
        <f t="shared" si="55"/>
        <v>-1.0332950631458115E-2</v>
      </c>
      <c r="K225" s="15"/>
      <c r="L225" s="15"/>
      <c r="M225" s="16">
        <f t="shared" si="56"/>
        <v>8.9535036462329298E-3</v>
      </c>
      <c r="O225" s="13">
        <f t="shared" si="58"/>
        <v>-7.8724284125420985E-3</v>
      </c>
      <c r="Q225" s="5">
        <f t="shared" si="59"/>
        <v>132.81590416852765</v>
      </c>
      <c r="R225" s="6">
        <f t="shared" si="60"/>
        <v>147.31885985806994</v>
      </c>
      <c r="T225" s="11">
        <f t="shared" si="52"/>
        <v>0.90155397819726046</v>
      </c>
      <c r="V225" s="9">
        <v>40256</v>
      </c>
      <c r="W225">
        <v>7091.95</v>
      </c>
      <c r="X225">
        <v>8651.9734000000008</v>
      </c>
      <c r="Y225" t="s">
        <v>33</v>
      </c>
      <c r="AC225" s="24">
        <f t="shared" si="61"/>
        <v>-8.1217467573326801E-3</v>
      </c>
      <c r="AE225" s="5">
        <f t="shared" si="62"/>
        <v>115.90852742617703</v>
      </c>
      <c r="AF225" s="6">
        <f t="shared" si="63"/>
        <v>147.31885985806994</v>
      </c>
      <c r="AH225" s="1">
        <f t="shared" si="53"/>
        <v>40256</v>
      </c>
      <c r="AI225">
        <f t="shared" si="57"/>
        <v>0.78678675315465874</v>
      </c>
      <c r="AJ225">
        <f t="shared" ca="1" si="47"/>
        <v>0.57016844599048033</v>
      </c>
      <c r="AK225">
        <f t="shared" ca="1" si="48"/>
        <v>0.60832534867670462</v>
      </c>
      <c r="AL225">
        <f t="shared" ca="1" si="49"/>
        <v>0.69655948339342377</v>
      </c>
      <c r="AM225">
        <f t="shared" ca="1" si="50"/>
        <v>0.75534745681897997</v>
      </c>
      <c r="AN225">
        <f t="shared" ca="1" si="51"/>
        <v>0.79729691471465336</v>
      </c>
      <c r="AP225" s="40"/>
      <c r="AQ225" s="41"/>
    </row>
    <row r="226" spans="2:43" x14ac:dyDescent="0.25">
      <c r="B226" s="1">
        <v>40263</v>
      </c>
      <c r="C226">
        <v>1.6990000000000001</v>
      </c>
      <c r="D226">
        <v>0.879</v>
      </c>
      <c r="E226" t="s">
        <v>33</v>
      </c>
      <c r="G226">
        <v>2402.4499999999998</v>
      </c>
      <c r="I226" s="14">
        <f t="shared" si="54"/>
        <v>2.7206771463119894E-2</v>
      </c>
      <c r="J226" s="15">
        <f t="shared" si="55"/>
        <v>1.9721577726218076E-2</v>
      </c>
      <c r="K226" s="15"/>
      <c r="L226" s="15"/>
      <c r="M226" s="16">
        <f t="shared" si="56"/>
        <v>8.9664440804668732E-3</v>
      </c>
      <c r="O226" s="13">
        <f t="shared" si="58"/>
        <v>2.3464174594668985E-2</v>
      </c>
      <c r="Q226" s="5">
        <f t="shared" si="59"/>
        <v>135.93231973288681</v>
      </c>
      <c r="R226" s="6">
        <f t="shared" si="60"/>
        <v>148.63978617698547</v>
      </c>
      <c r="T226" s="11">
        <f t="shared" si="52"/>
        <v>0.9145083105207924</v>
      </c>
      <c r="V226" s="9">
        <v>40263</v>
      </c>
      <c r="W226">
        <v>7286.25</v>
      </c>
      <c r="X226">
        <v>8825.7078000000001</v>
      </c>
      <c r="Y226" t="s">
        <v>33</v>
      </c>
      <c r="AC226" s="24">
        <f t="shared" si="61"/>
        <v>2.3093330647883135E-2</v>
      </c>
      <c r="AE226" s="5">
        <f t="shared" si="62"/>
        <v>118.58524137493896</v>
      </c>
      <c r="AF226" s="6">
        <f t="shared" si="63"/>
        <v>148.63978617698547</v>
      </c>
      <c r="AH226" s="1">
        <f t="shared" si="53"/>
        <v>40263</v>
      </c>
      <c r="AI226">
        <f t="shared" si="57"/>
        <v>0.79780282537368186</v>
      </c>
      <c r="AJ226">
        <f t="shared" ca="1" si="47"/>
        <v>0.57016844599048033</v>
      </c>
      <c r="AK226">
        <f t="shared" ca="1" si="48"/>
        <v>0.60832534867670462</v>
      </c>
      <c r="AL226">
        <f t="shared" ca="1" si="49"/>
        <v>0.70342983848165019</v>
      </c>
      <c r="AM226">
        <f t="shared" ca="1" si="50"/>
        <v>0.76397144543815243</v>
      </c>
      <c r="AN226">
        <f t="shared" ca="1" si="51"/>
        <v>0.79729691471465336</v>
      </c>
      <c r="AP226" s="40"/>
      <c r="AQ226" s="41"/>
    </row>
    <row r="227" spans="2:43" x14ac:dyDescent="0.25">
      <c r="B227" s="1">
        <v>40270</v>
      </c>
      <c r="C227">
        <v>1.7170000000000001</v>
      </c>
      <c r="D227">
        <v>0.93300000000000005</v>
      </c>
      <c r="E227" t="s">
        <v>33</v>
      </c>
      <c r="G227">
        <v>2373.71</v>
      </c>
      <c r="I227" s="14">
        <f t="shared" si="54"/>
        <v>1.059446733372571E-2</v>
      </c>
      <c r="J227" s="15">
        <f t="shared" si="55"/>
        <v>6.1433447098976135E-2</v>
      </c>
      <c r="K227" s="15"/>
      <c r="L227" s="15"/>
      <c r="M227" s="16">
        <f t="shared" si="56"/>
        <v>-1.1962787987262913E-2</v>
      </c>
      <c r="O227" s="13">
        <f t="shared" si="58"/>
        <v>3.6013957216350923E-2</v>
      </c>
      <c r="Q227" s="5">
        <f t="shared" si="59"/>
        <v>140.82778048006634</v>
      </c>
      <c r="R227" s="6">
        <f t="shared" si="60"/>
        <v>146.8616399284781</v>
      </c>
      <c r="T227" s="11">
        <f t="shared" si="52"/>
        <v>0.95891466654362389</v>
      </c>
      <c r="V227" s="9">
        <v>40270</v>
      </c>
      <c r="W227">
        <v>7363.97</v>
      </c>
      <c r="X227">
        <v>9364.2844999999998</v>
      </c>
      <c r="Y227" t="s">
        <v>33</v>
      </c>
      <c r="AC227" s="24">
        <f t="shared" si="61"/>
        <v>3.8442726733847327E-2</v>
      </c>
      <c r="AE227" s="5">
        <f t="shared" si="62"/>
        <v>123.14398140378307</v>
      </c>
      <c r="AF227" s="6">
        <f t="shared" si="63"/>
        <v>146.8616399284781</v>
      </c>
      <c r="AH227" s="1">
        <f t="shared" si="53"/>
        <v>40270</v>
      </c>
      <c r="AI227">
        <f t="shared" si="57"/>
        <v>0.83850337953297016</v>
      </c>
      <c r="AJ227">
        <f t="shared" ca="1" si="47"/>
        <v>0.57016844599048033</v>
      </c>
      <c r="AK227">
        <f t="shared" ca="1" si="48"/>
        <v>0.60832534867670462</v>
      </c>
      <c r="AL227">
        <f t="shared" ca="1" si="49"/>
        <v>0.70686843335517302</v>
      </c>
      <c r="AM227">
        <f t="shared" ca="1" si="50"/>
        <v>0.7686734326781165</v>
      </c>
      <c r="AN227">
        <f t="shared" ca="1" si="51"/>
        <v>0.79775451502399297</v>
      </c>
      <c r="AP227" s="40"/>
      <c r="AQ227" s="41"/>
    </row>
    <row r="228" spans="2:43" x14ac:dyDescent="0.25">
      <c r="B228" s="1">
        <v>40277</v>
      </c>
      <c r="C228">
        <v>1.7849999999999999</v>
      </c>
      <c r="D228">
        <v>1.0229999999999999</v>
      </c>
      <c r="E228" t="s">
        <v>33</v>
      </c>
      <c r="G228">
        <v>2487.7600000000002</v>
      </c>
      <c r="I228" s="14">
        <f t="shared" si="54"/>
        <v>3.9603960396039417E-2</v>
      </c>
      <c r="J228" s="15">
        <f t="shared" si="55"/>
        <v>9.646302250803851E-2</v>
      </c>
      <c r="K228" s="15"/>
      <c r="L228" s="15"/>
      <c r="M228" s="16">
        <f t="shared" si="56"/>
        <v>4.8047149820323432E-2</v>
      </c>
      <c r="O228" s="13">
        <f t="shared" si="58"/>
        <v>6.8033491452038963E-2</v>
      </c>
      <c r="Q228" s="5">
        <f t="shared" si="59"/>
        <v>150.40878607956654</v>
      </c>
      <c r="R228" s="6">
        <f t="shared" si="60"/>
        <v>153.91792314498008</v>
      </c>
      <c r="T228" s="11">
        <f t="shared" si="52"/>
        <v>0.97720124470424297</v>
      </c>
      <c r="V228" s="9">
        <v>40277</v>
      </c>
      <c r="W228">
        <v>7655.42</v>
      </c>
      <c r="X228">
        <v>10267.7034</v>
      </c>
      <c r="Y228" t="s">
        <v>33</v>
      </c>
      <c r="AC228" s="24">
        <f t="shared" si="61"/>
        <v>7.1433009506927256E-2</v>
      </c>
      <c r="AE228" s="5">
        <f t="shared" si="62"/>
        <v>131.94052659812039</v>
      </c>
      <c r="AF228" s="6">
        <f t="shared" si="63"/>
        <v>153.91792314498008</v>
      </c>
      <c r="AH228" s="1">
        <f t="shared" si="53"/>
        <v>40277</v>
      </c>
      <c r="AI228">
        <f t="shared" si="57"/>
        <v>0.85721353239571396</v>
      </c>
      <c r="AJ228">
        <f t="shared" ca="1" si="47"/>
        <v>0.57016844599048033</v>
      </c>
      <c r="AK228">
        <f t="shared" ca="1" si="48"/>
        <v>0.61508786220846379</v>
      </c>
      <c r="AL228">
        <f t="shared" ca="1" si="49"/>
        <v>0.70759306462015248</v>
      </c>
      <c r="AM228">
        <f t="shared" ca="1" si="50"/>
        <v>0.77301636113320782</v>
      </c>
      <c r="AN228">
        <f t="shared" ca="1" si="51"/>
        <v>0.79926401043473305</v>
      </c>
      <c r="AP228" s="40"/>
      <c r="AQ228" s="41"/>
    </row>
    <row r="229" spans="2:43" x14ac:dyDescent="0.25">
      <c r="B229" s="1">
        <v>40284</v>
      </c>
      <c r="C229">
        <v>1.7170000000000001</v>
      </c>
      <c r="D229">
        <v>1.008</v>
      </c>
      <c r="E229" t="s">
        <v>33</v>
      </c>
      <c r="G229">
        <v>2398.94</v>
      </c>
      <c r="I229" s="14">
        <f t="shared" si="54"/>
        <v>-3.809523809523796E-2</v>
      </c>
      <c r="J229" s="15">
        <f t="shared" si="55"/>
        <v>-1.4662756598240345E-2</v>
      </c>
      <c r="K229" s="15"/>
      <c r="L229" s="15"/>
      <c r="M229" s="16">
        <f t="shared" si="56"/>
        <v>-3.5702800913271493E-2</v>
      </c>
      <c r="O229" s="13">
        <f t="shared" si="58"/>
        <v>-2.6378997346739153E-2</v>
      </c>
      <c r="Q229" s="5">
        <f t="shared" si="59"/>
        <v>146.44115311064738</v>
      </c>
      <c r="R229" s="6">
        <f t="shared" si="60"/>
        <v>148.42262217795064</v>
      </c>
      <c r="T229" s="11">
        <f t="shared" si="52"/>
        <v>0.98664981767450788</v>
      </c>
      <c r="V229" s="9">
        <v>40284</v>
      </c>
      <c r="W229">
        <v>7363.97</v>
      </c>
      <c r="X229">
        <v>10111.3424</v>
      </c>
      <c r="Y229" t="s">
        <v>33</v>
      </c>
      <c r="AC229" s="24">
        <f t="shared" si="61"/>
        <v>-2.4671362994475136E-2</v>
      </c>
      <c r="AE229" s="5">
        <f t="shared" si="62"/>
        <v>128.68537397273596</v>
      </c>
      <c r="AF229" s="6">
        <f t="shared" si="63"/>
        <v>148.42262217795064</v>
      </c>
      <c r="AH229" s="1">
        <f t="shared" si="53"/>
        <v>40284</v>
      </c>
      <c r="AI229">
        <f t="shared" si="57"/>
        <v>0.86701994671977434</v>
      </c>
      <c r="AJ229">
        <f t="shared" ca="1" si="47"/>
        <v>0.57016844599048033</v>
      </c>
      <c r="AK229">
        <f t="shared" ca="1" si="48"/>
        <v>0.63225805956942249</v>
      </c>
      <c r="AL229">
        <f t="shared" ca="1" si="49"/>
        <v>0.70866117319552835</v>
      </c>
      <c r="AM229">
        <f t="shared" ca="1" si="50"/>
        <v>0.78582696842652866</v>
      </c>
      <c r="AN229">
        <f t="shared" ca="1" si="51"/>
        <v>0.8002408421456525</v>
      </c>
      <c r="AP229" s="40"/>
      <c r="AQ229" s="41"/>
    </row>
    <row r="230" spans="2:43" x14ac:dyDescent="0.25">
      <c r="B230" s="1">
        <v>40291</v>
      </c>
      <c r="C230">
        <v>1.8260000000000001</v>
      </c>
      <c r="D230">
        <v>1.0529999999999999</v>
      </c>
      <c r="E230" t="s">
        <v>33</v>
      </c>
      <c r="G230">
        <v>2447.0300000000002</v>
      </c>
      <c r="I230" s="14">
        <f t="shared" si="54"/>
        <v>6.3482818870122193E-2</v>
      </c>
      <c r="J230" s="15">
        <f t="shared" si="55"/>
        <v>4.4642857142856984E-2</v>
      </c>
      <c r="K230" s="15"/>
      <c r="L230" s="15"/>
      <c r="M230" s="16">
        <f t="shared" si="56"/>
        <v>2.0046353806264516E-2</v>
      </c>
      <c r="O230" s="13">
        <f t="shared" si="58"/>
        <v>5.4062838006489589E-2</v>
      </c>
      <c r="Q230" s="5">
        <f t="shared" si="59"/>
        <v>154.35817744875183</v>
      </c>
      <c r="R230" s="6">
        <f t="shared" si="60"/>
        <v>151.39795457498337</v>
      </c>
      <c r="T230" s="11">
        <f t="shared" si="52"/>
        <v>1.0195525948952127</v>
      </c>
      <c r="V230" s="9">
        <v>40291</v>
      </c>
      <c r="W230">
        <v>7830.29</v>
      </c>
      <c r="X230">
        <v>10563.0519</v>
      </c>
      <c r="Y230" t="s">
        <v>33</v>
      </c>
      <c r="AC230" s="24">
        <f t="shared" si="61"/>
        <v>5.2581880479614575E-2</v>
      </c>
      <c r="AE230" s="5">
        <f t="shared" si="62"/>
        <v>135.45189292644486</v>
      </c>
      <c r="AF230" s="6">
        <f t="shared" si="63"/>
        <v>151.39795457498337</v>
      </c>
      <c r="AH230" s="1">
        <f t="shared" si="53"/>
        <v>40291</v>
      </c>
      <c r="AI230">
        <f t="shared" si="57"/>
        <v>0.89467452388439728</v>
      </c>
      <c r="AJ230">
        <f t="shared" ca="1" si="47"/>
        <v>0.57016844599048033</v>
      </c>
      <c r="AK230">
        <f t="shared" ca="1" si="48"/>
        <v>0.64156364460580118</v>
      </c>
      <c r="AL230">
        <f t="shared" ca="1" si="49"/>
        <v>0.70941848437372945</v>
      </c>
      <c r="AM230">
        <f t="shared" ca="1" si="50"/>
        <v>0.78693045612984691</v>
      </c>
      <c r="AN230">
        <f t="shared" ca="1" si="51"/>
        <v>0.8012288811284527</v>
      </c>
      <c r="AP230" s="40"/>
      <c r="AQ230" s="41"/>
    </row>
    <row r="231" spans="2:43" x14ac:dyDescent="0.25">
      <c r="B231" s="1">
        <v>40298</v>
      </c>
      <c r="C231">
        <v>1.9850000000000001</v>
      </c>
      <c r="D231">
        <v>1.042</v>
      </c>
      <c r="E231" t="s">
        <v>33</v>
      </c>
      <c r="G231">
        <v>2396.27</v>
      </c>
      <c r="I231" s="14">
        <f t="shared" si="54"/>
        <v>8.7075575027382168E-2</v>
      </c>
      <c r="J231" s="15">
        <f t="shared" si="55"/>
        <v>-1.0446343779677014E-2</v>
      </c>
      <c r="K231" s="15"/>
      <c r="L231" s="15"/>
      <c r="M231" s="16">
        <f t="shared" si="56"/>
        <v>-2.0743513565424254E-2</v>
      </c>
      <c r="O231" s="13">
        <f t="shared" si="58"/>
        <v>3.8314615623852577E-2</v>
      </c>
      <c r="Q231" s="5">
        <f t="shared" si="59"/>
        <v>160.27235168609917</v>
      </c>
      <c r="R231" s="6">
        <f t="shared" si="60"/>
        <v>148.25742905047971</v>
      </c>
      <c r="T231" s="11">
        <f t="shared" si="52"/>
        <v>1.0810409482517638</v>
      </c>
      <c r="V231" s="9">
        <v>40298</v>
      </c>
      <c r="W231">
        <v>8510.34</v>
      </c>
      <c r="X231">
        <v>10458.8112</v>
      </c>
      <c r="Y231" t="s">
        <v>33</v>
      </c>
      <c r="AC231" s="24">
        <f t="shared" si="61"/>
        <v>3.107003262257578E-2</v>
      </c>
      <c r="AE231" s="5">
        <f t="shared" si="62"/>
        <v>139.66038765845911</v>
      </c>
      <c r="AF231" s="6">
        <f t="shared" si="63"/>
        <v>148.25742905047971</v>
      </c>
      <c r="AH231" s="1">
        <f t="shared" si="53"/>
        <v>40298</v>
      </c>
      <c r="AI231">
        <f t="shared" si="57"/>
        <v>0.94201274467606333</v>
      </c>
      <c r="AJ231">
        <f t="shared" ca="1" si="47"/>
        <v>0.57149224671871324</v>
      </c>
      <c r="AK231">
        <f t="shared" ca="1" si="48"/>
        <v>0.6500031326824377</v>
      </c>
      <c r="AL231">
        <f t="shared" ca="1" si="49"/>
        <v>0.71182826784212638</v>
      </c>
      <c r="AM231">
        <f t="shared" ca="1" si="50"/>
        <v>0.7889553895160516</v>
      </c>
      <c r="AN231">
        <f t="shared" ca="1" si="51"/>
        <v>0.8084533381136022</v>
      </c>
      <c r="AP231" s="40"/>
      <c r="AQ231" s="41"/>
    </row>
    <row r="232" spans="2:43" x14ac:dyDescent="0.25">
      <c r="B232" s="1">
        <v>40305</v>
      </c>
      <c r="C232">
        <v>1.7130000000000001</v>
      </c>
      <c r="D232">
        <v>0.876</v>
      </c>
      <c r="E232" t="s">
        <v>33</v>
      </c>
      <c r="G232">
        <v>2160.1999999999998</v>
      </c>
      <c r="I232" s="14">
        <f t="shared" si="54"/>
        <v>-0.13702770780856421</v>
      </c>
      <c r="J232" s="15">
        <f t="shared" si="55"/>
        <v>-0.15930902111324374</v>
      </c>
      <c r="K232" s="15"/>
      <c r="L232" s="15"/>
      <c r="M232" s="16">
        <f t="shared" si="56"/>
        <v>-9.8515609676705918E-2</v>
      </c>
      <c r="O232" s="13">
        <f t="shared" si="58"/>
        <v>-0.14816836446090398</v>
      </c>
      <c r="Q232" s="5">
        <f t="shared" si="59"/>
        <v>136.52505946846705</v>
      </c>
      <c r="R232" s="6">
        <f t="shared" si="60"/>
        <v>133.65175803847075</v>
      </c>
      <c r="T232" s="11">
        <f t="shared" si="52"/>
        <v>1.0214984185181406</v>
      </c>
      <c r="V232" s="9">
        <v>40305</v>
      </c>
      <c r="W232">
        <v>7344.54</v>
      </c>
      <c r="X232">
        <v>8478.2389999999996</v>
      </c>
      <c r="Y232" t="s">
        <v>33</v>
      </c>
      <c r="AC232" s="24">
        <f t="shared" si="61"/>
        <v>-0.14931270921346054</v>
      </c>
      <c r="AE232" s="5">
        <f t="shared" si="62"/>
        <v>118.80731680737244</v>
      </c>
      <c r="AF232" s="6">
        <f t="shared" si="63"/>
        <v>133.65175803847075</v>
      </c>
      <c r="AH232" s="1">
        <f t="shared" si="53"/>
        <v>40305</v>
      </c>
      <c r="AI232">
        <f t="shared" si="57"/>
        <v>0.88893194186921642</v>
      </c>
      <c r="AJ232">
        <f t="shared" ca="1" si="47"/>
        <v>0.58318254906378697</v>
      </c>
      <c r="AK232">
        <f t="shared" ca="1" si="48"/>
        <v>0.65707203811703596</v>
      </c>
      <c r="AL232">
        <f t="shared" ca="1" si="49"/>
        <v>0.71612330764486209</v>
      </c>
      <c r="AM232">
        <f t="shared" ca="1" si="50"/>
        <v>0.79457555973732952</v>
      </c>
      <c r="AN232">
        <f t="shared" ca="1" si="51"/>
        <v>0.81328462317778105</v>
      </c>
      <c r="AP232" s="40"/>
      <c r="AQ232" s="41"/>
    </row>
    <row r="233" spans="2:43" x14ac:dyDescent="0.25">
      <c r="B233" s="1">
        <v>40312</v>
      </c>
      <c r="C233">
        <v>1.726</v>
      </c>
      <c r="D233">
        <v>0.94399999999999995</v>
      </c>
      <c r="E233" t="s">
        <v>33</v>
      </c>
      <c r="G233">
        <v>2212.87</v>
      </c>
      <c r="I233" s="14">
        <f t="shared" si="54"/>
        <v>7.5890251021599742E-3</v>
      </c>
      <c r="J233" s="15">
        <f t="shared" si="55"/>
        <v>7.7625570776255648E-2</v>
      </c>
      <c r="K233" s="15"/>
      <c r="L233" s="15"/>
      <c r="M233" s="16">
        <f t="shared" si="56"/>
        <v>2.4382001666512387E-2</v>
      </c>
      <c r="O233" s="13">
        <f t="shared" si="58"/>
        <v>4.2607297939207811E-2</v>
      </c>
      <c r="Q233" s="5">
        <f t="shared" si="59"/>
        <v>142.34202335340808</v>
      </c>
      <c r="R233" s="6">
        <f t="shared" si="60"/>
        <v>136.91045542569705</v>
      </c>
      <c r="T233" s="11">
        <f t="shared" si="52"/>
        <v>1.0396724115103013</v>
      </c>
      <c r="V233" s="9">
        <v>40312</v>
      </c>
      <c r="W233">
        <v>7402.83</v>
      </c>
      <c r="X233">
        <v>9138.4297000000006</v>
      </c>
      <c r="Y233" t="s">
        <v>33</v>
      </c>
      <c r="AC233" s="24">
        <f t="shared" si="61"/>
        <v>4.5116350293227817E-2</v>
      </c>
      <c r="AE233" s="5">
        <f t="shared" si="62"/>
        <v>124.16746932985237</v>
      </c>
      <c r="AF233" s="6">
        <f t="shared" si="63"/>
        <v>136.91045542569705</v>
      </c>
      <c r="AH233" s="1">
        <f t="shared" si="53"/>
        <v>40312</v>
      </c>
      <c r="AI233">
        <f t="shared" si="57"/>
        <v>0.90692466797935345</v>
      </c>
      <c r="AJ233">
        <f t="shared" ca="1" si="47"/>
        <v>0.58894419746866178</v>
      </c>
      <c r="AK233">
        <f t="shared" ca="1" si="48"/>
        <v>0.66027291385118514</v>
      </c>
      <c r="AL233">
        <f t="shared" ca="1" si="49"/>
        <v>0.7192440884840281</v>
      </c>
      <c r="AM233">
        <f t="shared" ca="1" si="50"/>
        <v>0.79714866816074803</v>
      </c>
      <c r="AN233">
        <f t="shared" ca="1" si="51"/>
        <v>0.83602638887945124</v>
      </c>
      <c r="AP233" s="40"/>
      <c r="AQ233" s="41"/>
    </row>
    <row r="234" spans="2:43" x14ac:dyDescent="0.25">
      <c r="B234" s="1">
        <v>40319</v>
      </c>
      <c r="C234">
        <v>1.631</v>
      </c>
      <c r="D234">
        <v>0.85199999999999998</v>
      </c>
      <c r="E234" t="s">
        <v>33</v>
      </c>
      <c r="G234">
        <v>2123.62</v>
      </c>
      <c r="I234" s="14">
        <f t="shared" si="54"/>
        <v>-5.5040556199304702E-2</v>
      </c>
      <c r="J234" s="15">
        <f t="shared" si="55"/>
        <v>-9.745762711864403E-2</v>
      </c>
      <c r="K234" s="15"/>
      <c r="L234" s="15"/>
      <c r="M234" s="16">
        <f t="shared" si="56"/>
        <v>-4.0332238224568107E-2</v>
      </c>
      <c r="O234" s="13">
        <f t="shared" si="58"/>
        <v>-7.6249091658974366E-2</v>
      </c>
      <c r="Q234" s="5">
        <f t="shared" si="59"/>
        <v>131.4885733678102</v>
      </c>
      <c r="R234" s="6">
        <f t="shared" si="60"/>
        <v>131.38855032203372</v>
      </c>
      <c r="T234" s="11">
        <f t="shared" si="52"/>
        <v>1.00076127672869</v>
      </c>
      <c r="V234" s="9">
        <v>40319</v>
      </c>
      <c r="W234">
        <v>6994.8</v>
      </c>
      <c r="X234">
        <v>8252.3842999999997</v>
      </c>
      <c r="Y234" t="s">
        <v>33</v>
      </c>
      <c r="AC234" s="24">
        <f t="shared" si="61"/>
        <v>-7.8474407532664561E-2</v>
      </c>
      <c r="AE234" s="5">
        <f t="shared" si="62"/>
        <v>114.42350073936191</v>
      </c>
      <c r="AF234" s="6">
        <f t="shared" si="63"/>
        <v>131.38855032203372</v>
      </c>
      <c r="AH234" s="1">
        <f t="shared" si="53"/>
        <v>40319</v>
      </c>
      <c r="AI234">
        <f t="shared" si="57"/>
        <v>0.8708787825035712</v>
      </c>
      <c r="AJ234">
        <f t="shared" ca="1" si="47"/>
        <v>0.59104051394149915</v>
      </c>
      <c r="AK234">
        <f t="shared" ca="1" si="48"/>
        <v>0.66636039194362251</v>
      </c>
      <c r="AL234">
        <f t="shared" ca="1" si="49"/>
        <v>0.72392626906983837</v>
      </c>
      <c r="AM234">
        <f t="shared" ca="1" si="50"/>
        <v>0.797440497751015</v>
      </c>
      <c r="AN234">
        <f t="shared" ca="1" si="51"/>
        <v>0.85534251710943954</v>
      </c>
      <c r="AP234" s="40"/>
      <c r="AQ234" s="41"/>
    </row>
    <row r="235" spans="2:43" x14ac:dyDescent="0.25">
      <c r="B235" s="1">
        <v>40326</v>
      </c>
      <c r="C235">
        <v>1.6679999999999999</v>
      </c>
      <c r="D235">
        <v>0.88300000000000001</v>
      </c>
      <c r="E235" t="s">
        <v>33</v>
      </c>
      <c r="G235">
        <v>2168.5700000000002</v>
      </c>
      <c r="I235" s="14">
        <f t="shared" si="54"/>
        <v>2.2685469037400319E-2</v>
      </c>
      <c r="J235" s="15">
        <f t="shared" si="55"/>
        <v>3.6384976525821733E-2</v>
      </c>
      <c r="K235" s="15"/>
      <c r="L235" s="15"/>
      <c r="M235" s="16">
        <f t="shared" si="56"/>
        <v>2.1166687072075252E-2</v>
      </c>
      <c r="O235" s="13">
        <f t="shared" si="58"/>
        <v>2.9535222781611026E-2</v>
      </c>
      <c r="Q235" s="5">
        <f t="shared" si="59"/>
        <v>135.37211767546469</v>
      </c>
      <c r="R235" s="6">
        <f t="shared" si="60"/>
        <v>134.16961065155382</v>
      </c>
      <c r="T235" s="11">
        <f t="shared" si="52"/>
        <v>1.0089625886075935</v>
      </c>
      <c r="V235" s="9">
        <v>40326</v>
      </c>
      <c r="W235">
        <v>7150.24</v>
      </c>
      <c r="X235">
        <v>8547.7327999999998</v>
      </c>
      <c r="Y235" t="s">
        <v>33</v>
      </c>
      <c r="AC235" s="24">
        <f t="shared" si="61"/>
        <v>3.0100188915560464E-2</v>
      </c>
      <c r="AE235" s="5">
        <f t="shared" si="62"/>
        <v>117.86766972799649</v>
      </c>
      <c r="AF235" s="6">
        <f t="shared" si="63"/>
        <v>134.16961065155382</v>
      </c>
      <c r="AH235" s="1">
        <f t="shared" si="53"/>
        <v>40326</v>
      </c>
      <c r="AI235">
        <f t="shared" si="57"/>
        <v>0.87849751635715478</v>
      </c>
      <c r="AJ235">
        <f t="shared" ca="1" si="47"/>
        <v>0.61121154211939788</v>
      </c>
      <c r="AK235">
        <f t="shared" ca="1" si="48"/>
        <v>0.67094559801041842</v>
      </c>
      <c r="AL235">
        <f t="shared" ca="1" si="49"/>
        <v>0.72865485853860212</v>
      </c>
      <c r="AM235">
        <f t="shared" ca="1" si="50"/>
        <v>0.79820871011286276</v>
      </c>
      <c r="AN235">
        <f t="shared" ca="1" si="51"/>
        <v>0.86603930528736828</v>
      </c>
      <c r="AP235" s="40"/>
      <c r="AQ235" s="41"/>
    </row>
    <row r="236" spans="2:43" x14ac:dyDescent="0.25">
      <c r="B236" s="1">
        <v>40333</v>
      </c>
      <c r="C236">
        <v>1.659</v>
      </c>
      <c r="D236">
        <v>0.91</v>
      </c>
      <c r="E236" t="s">
        <v>33</v>
      </c>
      <c r="G236">
        <v>2181.21</v>
      </c>
      <c r="I236" s="14">
        <f t="shared" si="54"/>
        <v>-5.3956834532373765E-3</v>
      </c>
      <c r="J236" s="15">
        <f t="shared" si="55"/>
        <v>3.0577576443941101E-2</v>
      </c>
      <c r="K236" s="15"/>
      <c r="L236" s="15"/>
      <c r="M236" s="16">
        <f t="shared" si="56"/>
        <v>5.8287258423752597E-3</v>
      </c>
      <c r="O236" s="13">
        <f t="shared" si="58"/>
        <v>1.2590946495351862E-2</v>
      </c>
      <c r="Q236" s="5">
        <f t="shared" si="59"/>
        <v>137.07658076607893</v>
      </c>
      <c r="R236" s="6">
        <f t="shared" si="60"/>
        <v>134.95164852841995</v>
      </c>
      <c r="T236" s="11">
        <f t="shared" si="52"/>
        <v>1.0157458783262769</v>
      </c>
      <c r="V236" s="9">
        <v>40333</v>
      </c>
      <c r="W236">
        <v>7111.38</v>
      </c>
      <c r="X236">
        <v>8808.3343999999997</v>
      </c>
      <c r="Y236" t="s">
        <v>33</v>
      </c>
      <c r="AC236" s="24">
        <f t="shared" si="61"/>
        <v>1.4192184194618216E-2</v>
      </c>
      <c r="AE236" s="5">
        <f t="shared" si="62"/>
        <v>119.54046940736663</v>
      </c>
      <c r="AF236" s="6">
        <f t="shared" si="63"/>
        <v>134.95164852841995</v>
      </c>
      <c r="AH236" s="1">
        <f t="shared" si="53"/>
        <v>40333</v>
      </c>
      <c r="AI236">
        <f t="shared" si="57"/>
        <v>0.88580221665237513</v>
      </c>
      <c r="AJ236">
        <f t="shared" ca="1" si="47"/>
        <v>0.61866932855294698</v>
      </c>
      <c r="AK236">
        <f t="shared" ca="1" si="48"/>
        <v>0.68504214099784133</v>
      </c>
      <c r="AL236">
        <f t="shared" ca="1" si="49"/>
        <v>0.72984914082686858</v>
      </c>
      <c r="AM236">
        <f t="shared" ca="1" si="50"/>
        <v>0.79965260816797401</v>
      </c>
      <c r="AN236">
        <f t="shared" ca="1" si="51"/>
        <v>0.87049289892519155</v>
      </c>
      <c r="AP236" s="40"/>
      <c r="AQ236" s="41"/>
    </row>
    <row r="237" spans="2:43" x14ac:dyDescent="0.25">
      <c r="B237" s="1">
        <v>40340</v>
      </c>
      <c r="C237">
        <v>1.6859999999999999</v>
      </c>
      <c r="D237">
        <v>0.94699999999999995</v>
      </c>
      <c r="E237" t="s">
        <v>33</v>
      </c>
      <c r="G237">
        <v>2281.23</v>
      </c>
      <c r="I237" s="14">
        <f t="shared" si="54"/>
        <v>1.6274864376130127E-2</v>
      </c>
      <c r="J237" s="15">
        <f t="shared" si="55"/>
        <v>4.0659340659340515E-2</v>
      </c>
      <c r="K237" s="15"/>
      <c r="L237" s="15"/>
      <c r="M237" s="16">
        <f t="shared" si="56"/>
        <v>4.5855282159902089E-2</v>
      </c>
      <c r="O237" s="13">
        <f t="shared" si="58"/>
        <v>2.8467102517735321E-2</v>
      </c>
      <c r="Q237" s="5">
        <f t="shared" si="59"/>
        <v>140.9787538435275</v>
      </c>
      <c r="R237" s="6">
        <f t="shared" si="60"/>
        <v>141.1398944496346</v>
      </c>
      <c r="T237" s="11">
        <f t="shared" si="52"/>
        <v>0.99885829157846939</v>
      </c>
      <c r="V237" s="9">
        <v>40340</v>
      </c>
      <c r="W237">
        <v>7227.96</v>
      </c>
      <c r="X237">
        <v>9173.1766000000007</v>
      </c>
      <c r="Y237" t="s">
        <v>33</v>
      </c>
      <c r="AC237" s="24">
        <f t="shared" si="61"/>
        <v>2.9766728355259436E-2</v>
      </c>
      <c r="AE237" s="5">
        <f t="shared" si="62"/>
        <v>123.0987980876759</v>
      </c>
      <c r="AF237" s="6">
        <f t="shared" si="63"/>
        <v>141.1398944496346</v>
      </c>
      <c r="AH237" s="1">
        <f t="shared" si="53"/>
        <v>40340</v>
      </c>
      <c r="AI237">
        <f t="shared" si="57"/>
        <v>0.87217578394607187</v>
      </c>
      <c r="AJ237">
        <f t="shared" ca="1" si="47"/>
        <v>0.63802838124643146</v>
      </c>
      <c r="AK237">
        <f t="shared" ca="1" si="48"/>
        <v>0.69197710209632579</v>
      </c>
      <c r="AL237">
        <f t="shared" ca="1" si="49"/>
        <v>0.74143002427947735</v>
      </c>
      <c r="AM237">
        <f t="shared" ca="1" si="50"/>
        <v>0.80058065674950574</v>
      </c>
      <c r="AN237">
        <f t="shared" ca="1" si="51"/>
        <v>0.8777356429717964</v>
      </c>
      <c r="AP237" s="40"/>
      <c r="AQ237" s="41"/>
    </row>
    <row r="238" spans="2:43" x14ac:dyDescent="0.25">
      <c r="B238" s="1">
        <v>40347</v>
      </c>
      <c r="C238">
        <v>1.7130000000000001</v>
      </c>
      <c r="D238">
        <v>0.98499999999999999</v>
      </c>
      <c r="E238" t="s">
        <v>33</v>
      </c>
      <c r="G238">
        <v>2320.36</v>
      </c>
      <c r="I238" s="14">
        <f t="shared" si="54"/>
        <v>1.6014234875444844E-2</v>
      </c>
      <c r="J238" s="15">
        <f t="shared" si="55"/>
        <v>4.0126715945089764E-2</v>
      </c>
      <c r="K238" s="15"/>
      <c r="L238" s="15"/>
      <c r="M238" s="16">
        <f t="shared" si="56"/>
        <v>1.7153027095032192E-2</v>
      </c>
      <c r="O238" s="13">
        <f t="shared" si="58"/>
        <v>2.8070475410267304E-2</v>
      </c>
      <c r="Q238" s="5">
        <f t="shared" si="59"/>
        <v>144.93609448666234</v>
      </c>
      <c r="R238" s="6">
        <f t="shared" si="60"/>
        <v>143.56087088331915</v>
      </c>
      <c r="T238" s="11">
        <f t="shared" si="52"/>
        <v>1.0095793762944008</v>
      </c>
      <c r="V238" s="9">
        <v>40347</v>
      </c>
      <c r="W238">
        <v>7344.54</v>
      </c>
      <c r="X238">
        <v>9538.0188999999991</v>
      </c>
      <c r="Y238" t="s">
        <v>33</v>
      </c>
      <c r="AC238" s="24">
        <f t="shared" si="61"/>
        <v>2.9500376263719714E-2</v>
      </c>
      <c r="AE238" s="5">
        <f t="shared" si="62"/>
        <v>126.73025894887401</v>
      </c>
      <c r="AF238" s="6">
        <f t="shared" si="63"/>
        <v>143.56087088331915</v>
      </c>
      <c r="AH238" s="1">
        <f t="shared" si="53"/>
        <v>40347</v>
      </c>
      <c r="AI238">
        <f t="shared" si="57"/>
        <v>0.88276323603438978</v>
      </c>
      <c r="AJ238">
        <f t="shared" ca="1" si="47"/>
        <v>0.64386733080247593</v>
      </c>
      <c r="AK238">
        <f t="shared" ca="1" si="48"/>
        <v>0.69842729786125268</v>
      </c>
      <c r="AL238">
        <f t="shared" ca="1" si="49"/>
        <v>0.75770631995321014</v>
      </c>
      <c r="AM238">
        <f t="shared" ca="1" si="50"/>
        <v>0.80330769966643278</v>
      </c>
      <c r="AN238">
        <f t="shared" ca="1" si="51"/>
        <v>0.87786534311604647</v>
      </c>
      <c r="AP238" s="40"/>
      <c r="AQ238" s="41"/>
    </row>
    <row r="239" spans="2:43" x14ac:dyDescent="0.25">
      <c r="B239" s="1">
        <v>40354</v>
      </c>
      <c r="C239">
        <v>1.7170000000000001</v>
      </c>
      <c r="D239">
        <v>1.0189999999999999</v>
      </c>
      <c r="E239" t="s">
        <v>33</v>
      </c>
      <c r="G239">
        <v>2318.14</v>
      </c>
      <c r="I239" s="14">
        <f t="shared" si="54"/>
        <v>2.3350846468184194E-3</v>
      </c>
      <c r="J239" s="15">
        <f t="shared" si="55"/>
        <v>3.4517766497461855E-2</v>
      </c>
      <c r="K239" s="15"/>
      <c r="L239" s="15"/>
      <c r="M239" s="16">
        <f t="shared" si="56"/>
        <v>-9.5674809081358614E-4</v>
      </c>
      <c r="O239" s="13">
        <f t="shared" si="58"/>
        <v>1.8426425572140137E-2</v>
      </c>
      <c r="Q239" s="5">
        <f t="shared" si="59"/>
        <v>147.60674864443749</v>
      </c>
      <c r="R239" s="6">
        <f t="shared" si="60"/>
        <v>143.42351929418601</v>
      </c>
      <c r="T239" s="11">
        <f t="shared" si="52"/>
        <v>1.0291669690636371</v>
      </c>
      <c r="V239" s="9">
        <v>40354</v>
      </c>
      <c r="W239">
        <v>7363.97</v>
      </c>
      <c r="X239">
        <v>9868.1142</v>
      </c>
      <c r="Y239" t="s">
        <v>33</v>
      </c>
      <c r="AC239" s="24">
        <f t="shared" si="61"/>
        <v>2.0517104894005236E-2</v>
      </c>
      <c r="AE239" s="5">
        <f t="shared" si="62"/>
        <v>129.33039696497249</v>
      </c>
      <c r="AF239" s="6">
        <f t="shared" si="63"/>
        <v>143.42351929418601</v>
      </c>
      <c r="AH239" s="1">
        <f t="shared" si="53"/>
        <v>40354</v>
      </c>
      <c r="AI239">
        <f t="shared" si="57"/>
        <v>0.90173771778458367</v>
      </c>
      <c r="AJ239">
        <f t="shared" ca="1" si="47"/>
        <v>0.65299092070037135</v>
      </c>
      <c r="AK239">
        <f t="shared" ca="1" si="48"/>
        <v>0.70499720155793444</v>
      </c>
      <c r="AL239">
        <f t="shared" ca="1" si="49"/>
        <v>0.76551884465463438</v>
      </c>
      <c r="AM239">
        <f t="shared" ca="1" si="50"/>
        <v>0.81036709934778184</v>
      </c>
      <c r="AN239">
        <f t="shared" ca="1" si="51"/>
        <v>0.88233666406666622</v>
      </c>
      <c r="AP239" s="40"/>
      <c r="AQ239" s="41"/>
    </row>
    <row r="240" spans="2:43" x14ac:dyDescent="0.25">
      <c r="B240" s="1">
        <v>40361</v>
      </c>
      <c r="C240">
        <v>1.6990000000000001</v>
      </c>
      <c r="D240">
        <v>0.95599999999999996</v>
      </c>
      <c r="E240" t="s">
        <v>33</v>
      </c>
      <c r="G240">
        <v>2217.08</v>
      </c>
      <c r="I240" s="14">
        <f t="shared" si="54"/>
        <v>-1.048340128130465E-2</v>
      </c>
      <c r="J240" s="15">
        <f t="shared" si="55"/>
        <v>-6.1825318940137319E-2</v>
      </c>
      <c r="K240" s="15"/>
      <c r="L240" s="15"/>
      <c r="M240" s="16">
        <f t="shared" si="56"/>
        <v>-4.3595296228873148E-2</v>
      </c>
      <c r="O240" s="13">
        <f t="shared" si="58"/>
        <v>-3.6154360110720984E-2</v>
      </c>
      <c r="Q240" s="5">
        <f t="shared" si="59"/>
        <v>142.27012109917382</v>
      </c>
      <c r="R240" s="6">
        <f t="shared" si="60"/>
        <v>137.17092848436846</v>
      </c>
      <c r="T240" s="11">
        <f t="shared" si="52"/>
        <v>1.0371740037859878</v>
      </c>
      <c r="V240" s="9">
        <v>40361</v>
      </c>
      <c r="W240">
        <v>7286.25</v>
      </c>
      <c r="X240">
        <v>9260.0437999999995</v>
      </c>
      <c r="Y240" t="s">
        <v>33</v>
      </c>
      <c r="AC240" s="24">
        <f t="shared" si="61"/>
        <v>-3.9884830662920444E-2</v>
      </c>
      <c r="AE240" s="5">
        <f t="shared" si="62"/>
        <v>124.17207598245628</v>
      </c>
      <c r="AF240" s="6">
        <f t="shared" si="63"/>
        <v>137.17092848436846</v>
      </c>
      <c r="AH240" s="1">
        <f t="shared" si="53"/>
        <v>40361</v>
      </c>
      <c r="AI240">
        <f t="shared" si="57"/>
        <v>0.90523609743303957</v>
      </c>
      <c r="AJ240">
        <f t="shared" ca="1" si="47"/>
        <v>0.65885919402047732</v>
      </c>
      <c r="AK240">
        <f t="shared" ca="1" si="48"/>
        <v>0.70702036771565013</v>
      </c>
      <c r="AL240">
        <f t="shared" ca="1" si="49"/>
        <v>0.76873322226863461</v>
      </c>
      <c r="AM240">
        <f t="shared" ca="1" si="50"/>
        <v>0.81992594963157828</v>
      </c>
      <c r="AN240">
        <f t="shared" ca="1" si="51"/>
        <v>0.88549831859057659</v>
      </c>
      <c r="AP240" s="40"/>
      <c r="AQ240" s="41"/>
    </row>
    <row r="241" spans="2:43" x14ac:dyDescent="0.25">
      <c r="B241" s="1">
        <v>40368</v>
      </c>
      <c r="C241">
        <v>1.6719999999999999</v>
      </c>
      <c r="D241">
        <v>0.98699999999999999</v>
      </c>
      <c r="E241" t="s">
        <v>33</v>
      </c>
      <c r="G241">
        <v>2289.5</v>
      </c>
      <c r="I241" s="14">
        <f t="shared" si="54"/>
        <v>-1.5891701000588676E-2</v>
      </c>
      <c r="J241" s="15">
        <f t="shared" si="55"/>
        <v>3.2426778242677923E-2</v>
      </c>
      <c r="K241" s="15"/>
      <c r="L241" s="15"/>
      <c r="M241" s="16">
        <f t="shared" si="56"/>
        <v>3.2664585851660766E-2</v>
      </c>
      <c r="O241" s="13">
        <f t="shared" si="58"/>
        <v>8.2675386210446233E-3</v>
      </c>
      <c r="Q241" s="5">
        <f t="shared" si="59"/>
        <v>143.44634481998193</v>
      </c>
      <c r="R241" s="6">
        <f t="shared" si="60"/>
        <v>141.65156005419814</v>
      </c>
      <c r="T241" s="11">
        <f t="shared" si="52"/>
        <v>1.012670420044065</v>
      </c>
      <c r="V241" s="9">
        <v>40368</v>
      </c>
      <c r="W241">
        <v>7169.67</v>
      </c>
      <c r="X241">
        <v>9555.3922999999995</v>
      </c>
      <c r="Y241" t="s">
        <v>33</v>
      </c>
      <c r="AC241" s="24">
        <f t="shared" si="61"/>
        <v>1.1149474476546847E-2</v>
      </c>
      <c r="AE241" s="5">
        <f t="shared" si="62"/>
        <v>125.55652937432251</v>
      </c>
      <c r="AF241" s="6">
        <f t="shared" si="63"/>
        <v>141.65156005419814</v>
      </c>
      <c r="AH241" s="1">
        <f t="shared" si="53"/>
        <v>40368</v>
      </c>
      <c r="AI241">
        <f t="shared" si="57"/>
        <v>0.88637590243469666</v>
      </c>
      <c r="AJ241">
        <f t="shared" ca="1" si="47"/>
        <v>0.66155581754041271</v>
      </c>
      <c r="AK241">
        <f t="shared" ca="1" si="48"/>
        <v>0.70780344589216515</v>
      </c>
      <c r="AL241">
        <f t="shared" ca="1" si="49"/>
        <v>0.7771799208167447</v>
      </c>
      <c r="AM241">
        <f t="shared" ca="1" si="50"/>
        <v>0.84318091774865611</v>
      </c>
      <c r="AN241">
        <f t="shared" ca="1" si="51"/>
        <v>0.88861896934753226</v>
      </c>
      <c r="AP241" s="40"/>
      <c r="AQ241" s="41"/>
    </row>
    <row r="242" spans="2:43" x14ac:dyDescent="0.25">
      <c r="B242" s="1">
        <v>40375</v>
      </c>
      <c r="C242">
        <v>1.659</v>
      </c>
      <c r="D242">
        <v>0.98</v>
      </c>
      <c r="E242" t="s">
        <v>33</v>
      </c>
      <c r="G242">
        <v>2283.0700000000002</v>
      </c>
      <c r="I242" s="14">
        <f t="shared" si="54"/>
        <v>-7.7751196172247683E-3</v>
      </c>
      <c r="J242" s="15">
        <f t="shared" si="55"/>
        <v>-7.0921985815602939E-3</v>
      </c>
      <c r="K242" s="15"/>
      <c r="L242" s="15"/>
      <c r="M242" s="16">
        <f t="shared" si="56"/>
        <v>-2.8084734658221366E-3</v>
      </c>
      <c r="O242" s="13">
        <f t="shared" si="58"/>
        <v>-7.4336590993925311E-3</v>
      </c>
      <c r="Q242" s="5">
        <f t="shared" si="59"/>
        <v>142.38001359353626</v>
      </c>
      <c r="R242" s="6">
        <f t="shared" si="60"/>
        <v>141.25373540639362</v>
      </c>
      <c r="T242" s="11">
        <f t="shared" si="52"/>
        <v>1.0079734400219738</v>
      </c>
      <c r="V242" s="9">
        <v>40375</v>
      </c>
      <c r="W242">
        <v>7111.38</v>
      </c>
      <c r="X242">
        <v>9485.8984999999993</v>
      </c>
      <c r="Y242" t="s">
        <v>33</v>
      </c>
      <c r="AC242" s="24">
        <f t="shared" si="61"/>
        <v>-7.3849519581365075E-3</v>
      </c>
      <c r="AE242" s="5">
        <f t="shared" si="62"/>
        <v>124.62930043686278</v>
      </c>
      <c r="AF242" s="6">
        <f t="shared" si="63"/>
        <v>141.25373540639362</v>
      </c>
      <c r="AH242" s="1">
        <f t="shared" si="53"/>
        <v>40375</v>
      </c>
      <c r="AI242">
        <f t="shared" si="57"/>
        <v>0.88230799757824774</v>
      </c>
      <c r="AJ242">
        <f t="shared" ca="1" si="47"/>
        <v>0.66857327755359863</v>
      </c>
      <c r="AK242">
        <f t="shared" ca="1" si="48"/>
        <v>0.70898484621120372</v>
      </c>
      <c r="AL242">
        <f t="shared" ca="1" si="49"/>
        <v>0.78614689666923865</v>
      </c>
      <c r="AM242">
        <f t="shared" ca="1" si="50"/>
        <v>0.85966513597672911</v>
      </c>
      <c r="AN242">
        <f t="shared" ca="1" si="51"/>
        <v>0.88867633792576439</v>
      </c>
      <c r="AP242" s="40"/>
      <c r="AQ242" s="41"/>
    </row>
    <row r="243" spans="2:43" x14ac:dyDescent="0.25">
      <c r="B243" s="1">
        <v>40382</v>
      </c>
      <c r="C243">
        <v>1.754</v>
      </c>
      <c r="D243">
        <v>1.0049999999999999</v>
      </c>
      <c r="E243" t="s">
        <v>33</v>
      </c>
      <c r="G243">
        <v>2375.1999999999998</v>
      </c>
      <c r="I243" s="14">
        <f t="shared" si="54"/>
        <v>5.7263411693791344E-2</v>
      </c>
      <c r="J243" s="15">
        <f t="shared" si="55"/>
        <v>2.5510204081632626E-2</v>
      </c>
      <c r="K243" s="15"/>
      <c r="L243" s="15"/>
      <c r="M243" s="16">
        <f t="shared" si="56"/>
        <v>4.0353559023595276E-2</v>
      </c>
      <c r="O243" s="13">
        <f t="shared" si="58"/>
        <v>4.1386807887711985E-2</v>
      </c>
      <c r="Q243" s="5">
        <f t="shared" si="59"/>
        <v>148.27266786318177</v>
      </c>
      <c r="R243" s="6">
        <f t="shared" si="60"/>
        <v>146.95382635541884</v>
      </c>
      <c r="T243" s="11">
        <f t="shared" si="52"/>
        <v>1.0089745298946704</v>
      </c>
      <c r="V243" s="9">
        <v>40382</v>
      </c>
      <c r="W243">
        <v>7519.41</v>
      </c>
      <c r="X243">
        <v>9729.1267000000007</v>
      </c>
      <c r="Y243" t="s">
        <v>33</v>
      </c>
      <c r="AC243" s="24">
        <f t="shared" si="61"/>
        <v>3.9115393965561684E-2</v>
      </c>
      <c r="AE243" s="5">
        <f t="shared" si="62"/>
        <v>129.50422462310303</v>
      </c>
      <c r="AF243" s="6">
        <f t="shared" si="63"/>
        <v>146.95382635541884</v>
      </c>
      <c r="AH243" s="1">
        <f t="shared" si="53"/>
        <v>40382</v>
      </c>
      <c r="AI243">
        <f t="shared" si="57"/>
        <v>0.88125792866316621</v>
      </c>
      <c r="AJ243">
        <f t="shared" ca="1" si="47"/>
        <v>0.67361591056101466</v>
      </c>
      <c r="AK243">
        <f t="shared" ca="1" si="48"/>
        <v>0.70947346694715474</v>
      </c>
      <c r="AL243">
        <f t="shared" ca="1" si="49"/>
        <v>0.78707415910503498</v>
      </c>
      <c r="AM243">
        <f t="shared" ca="1" si="50"/>
        <v>0.86798465566572358</v>
      </c>
      <c r="AN243">
        <f t="shared" ca="1" si="51"/>
        <v>0.88867633792576439</v>
      </c>
      <c r="AP243" s="40"/>
      <c r="AQ243" s="41"/>
    </row>
    <row r="244" spans="2:43" x14ac:dyDescent="0.25">
      <c r="B244" s="1">
        <v>40389</v>
      </c>
      <c r="C244">
        <v>1.74</v>
      </c>
      <c r="D244">
        <v>1.0049999999999999</v>
      </c>
      <c r="E244" t="s">
        <v>33</v>
      </c>
      <c r="G244">
        <v>2394.16</v>
      </c>
      <c r="I244" s="14">
        <f t="shared" si="54"/>
        <v>-7.9817559863170073E-3</v>
      </c>
      <c r="J244" s="15">
        <f t="shared" si="55"/>
        <v>0</v>
      </c>
      <c r="K244" s="15"/>
      <c r="L244" s="15"/>
      <c r="M244" s="16">
        <f t="shared" si="56"/>
        <v>7.9824856854160409E-3</v>
      </c>
      <c r="O244" s="13">
        <f t="shared" si="58"/>
        <v>-3.9908779931585037E-3</v>
      </c>
      <c r="Q244" s="5">
        <f t="shared" si="59"/>
        <v>147.68092973601969</v>
      </c>
      <c r="R244" s="6">
        <f t="shared" si="60"/>
        <v>148.12688317071809</v>
      </c>
      <c r="T244" s="11">
        <f t="shared" si="52"/>
        <v>0.99698938217592525</v>
      </c>
      <c r="V244" s="9">
        <v>40389</v>
      </c>
      <c r="W244">
        <v>7461.12</v>
      </c>
      <c r="X244">
        <v>9729.1267000000007</v>
      </c>
      <c r="Y244" t="s">
        <v>33</v>
      </c>
      <c r="AC244" s="24">
        <f t="shared" si="61"/>
        <v>-3.4796050717201981E-3</v>
      </c>
      <c r="AE244" s="5">
        <f t="shared" si="62"/>
        <v>129.0536010662953</v>
      </c>
      <c r="AF244" s="6">
        <f t="shared" si="63"/>
        <v>148.12688317071809</v>
      </c>
      <c r="AH244" s="1">
        <f t="shared" si="53"/>
        <v>40389</v>
      </c>
      <c r="AI244">
        <f t="shared" si="57"/>
        <v>0.8712368633150771</v>
      </c>
      <c r="AJ244">
        <f t="shared" ca="1" si="47"/>
        <v>0.68977554595658153</v>
      </c>
      <c r="AK244">
        <f t="shared" ca="1" si="48"/>
        <v>0.71297817700289956</v>
      </c>
      <c r="AL244">
        <f t="shared" ca="1" si="49"/>
        <v>0.79054921397669198</v>
      </c>
      <c r="AM244">
        <f t="shared" ca="1" si="50"/>
        <v>0.87120303286419642</v>
      </c>
      <c r="AN244">
        <f t="shared" ca="1" si="51"/>
        <v>0.88867633792576439</v>
      </c>
      <c r="AP244" s="40"/>
      <c r="AQ244" s="41"/>
    </row>
    <row r="245" spans="2:43" x14ac:dyDescent="0.25">
      <c r="B245" s="1">
        <v>40396</v>
      </c>
      <c r="C245">
        <v>1.7629999999999999</v>
      </c>
      <c r="D245">
        <v>0.96899999999999997</v>
      </c>
      <c r="E245" t="s">
        <v>33</v>
      </c>
      <c r="G245">
        <v>2425.33</v>
      </c>
      <c r="I245" s="14">
        <f t="shared" si="54"/>
        <v>1.3218390804597746E-2</v>
      </c>
      <c r="J245" s="15">
        <f t="shared" si="55"/>
        <v>-3.5820895522387985E-2</v>
      </c>
      <c r="K245" s="15"/>
      <c r="L245" s="15"/>
      <c r="M245" s="16">
        <f t="shared" si="56"/>
        <v>1.3019180004678166E-2</v>
      </c>
      <c r="O245" s="13">
        <f t="shared" si="58"/>
        <v>-1.130125235889512E-2</v>
      </c>
      <c r="Q245" s="5">
        <f t="shared" si="59"/>
        <v>146.01195028047667</v>
      </c>
      <c r="R245" s="6">
        <f t="shared" si="60"/>
        <v>150.0553737262496</v>
      </c>
      <c r="T245" s="11">
        <f t="shared" si="52"/>
        <v>0.97305379110814472</v>
      </c>
      <c r="V245" s="9">
        <v>40396</v>
      </c>
      <c r="W245">
        <v>7558.27</v>
      </c>
      <c r="X245">
        <v>9381.6579000000002</v>
      </c>
      <c r="Y245" t="s">
        <v>33</v>
      </c>
      <c r="AC245" s="24">
        <f t="shared" si="61"/>
        <v>-1.4536267885252342E-2</v>
      </c>
      <c r="AE245" s="5">
        <f t="shared" si="62"/>
        <v>127.17764334963915</v>
      </c>
      <c r="AF245" s="6">
        <f t="shared" si="63"/>
        <v>150.0553737262496</v>
      </c>
      <c r="AH245" s="1">
        <f t="shared" si="53"/>
        <v>40396</v>
      </c>
      <c r="AI245">
        <f t="shared" si="57"/>
        <v>0.84753808005338771</v>
      </c>
      <c r="AJ245">
        <f t="shared" ca="1" si="47"/>
        <v>0.69357098024489749</v>
      </c>
      <c r="AK245">
        <f t="shared" ca="1" si="48"/>
        <v>0.71712091838545688</v>
      </c>
      <c r="AL245">
        <f t="shared" ca="1" si="49"/>
        <v>0.79541425657668618</v>
      </c>
      <c r="AM245">
        <f t="shared" ca="1" si="50"/>
        <v>0.87147159347282577</v>
      </c>
      <c r="AN245">
        <f t="shared" ca="1" si="51"/>
        <v>0.88867633792576439</v>
      </c>
      <c r="AP245" s="40"/>
      <c r="AQ245" s="41"/>
    </row>
    <row r="246" spans="2:43" x14ac:dyDescent="0.25">
      <c r="B246" s="1">
        <v>40403</v>
      </c>
      <c r="C246">
        <v>1.7310000000000001</v>
      </c>
      <c r="D246">
        <v>0.98</v>
      </c>
      <c r="E246" t="s">
        <v>33</v>
      </c>
      <c r="G246">
        <v>2367.98</v>
      </c>
      <c r="I246" s="14">
        <f t="shared" si="54"/>
        <v>-1.8150879183210344E-2</v>
      </c>
      <c r="J246" s="15">
        <f t="shared" si="55"/>
        <v>1.1351909184726505E-2</v>
      </c>
      <c r="K246" s="15"/>
      <c r="L246" s="15"/>
      <c r="M246" s="16">
        <f t="shared" si="56"/>
        <v>-2.364626669360459E-2</v>
      </c>
      <c r="O246" s="13">
        <f t="shared" si="58"/>
        <v>-3.3994849992419196E-3</v>
      </c>
      <c r="Q246" s="5">
        <f t="shared" si="59"/>
        <v>145.51558484578814</v>
      </c>
      <c r="R246" s="6">
        <f t="shared" si="60"/>
        <v>146.50712434031018</v>
      </c>
      <c r="T246" s="11">
        <f t="shared" si="52"/>
        <v>0.99323214144713623</v>
      </c>
      <c r="V246" s="9">
        <v>40403</v>
      </c>
      <c r="W246">
        <v>7422.26</v>
      </c>
      <c r="X246">
        <v>9485.8984999999993</v>
      </c>
      <c r="Y246" t="s">
        <v>33</v>
      </c>
      <c r="AC246" s="24">
        <f t="shared" si="61"/>
        <v>-1.8116675172573358E-3</v>
      </c>
      <c r="AE246" s="5">
        <f t="shared" si="62"/>
        <v>126.94723974426127</v>
      </c>
      <c r="AF246" s="6">
        <f t="shared" si="63"/>
        <v>146.50712434031018</v>
      </c>
      <c r="AH246" s="1">
        <f t="shared" si="53"/>
        <v>40403</v>
      </c>
      <c r="AI246">
        <f t="shared" si="57"/>
        <v>0.8664919219176348</v>
      </c>
      <c r="AJ246">
        <f t="shared" ca="1" si="47"/>
        <v>0.70092205755959536</v>
      </c>
      <c r="AK246">
        <f t="shared" ca="1" si="48"/>
        <v>0.71980686816301642</v>
      </c>
      <c r="AL246">
        <f t="shared" ca="1" si="49"/>
        <v>0.79720568606609621</v>
      </c>
      <c r="AM246">
        <f t="shared" ca="1" si="50"/>
        <v>0.87147159347282577</v>
      </c>
      <c r="AN246">
        <f t="shared" ca="1" si="51"/>
        <v>0.88867633792576439</v>
      </c>
      <c r="AP246" s="40"/>
      <c r="AQ246" s="41"/>
    </row>
    <row r="247" spans="2:43" x14ac:dyDescent="0.25">
      <c r="B247" s="1">
        <v>40410</v>
      </c>
      <c r="C247">
        <v>1.885</v>
      </c>
      <c r="D247">
        <v>0.97299999999999998</v>
      </c>
      <c r="E247" t="s">
        <v>33</v>
      </c>
      <c r="G247">
        <v>2438.9699999999998</v>
      </c>
      <c r="I247" s="14">
        <f t="shared" si="54"/>
        <v>8.8965915655690342E-2</v>
      </c>
      <c r="J247" s="15">
        <f t="shared" si="55"/>
        <v>-7.1428571428571175E-3</v>
      </c>
      <c r="K247" s="15"/>
      <c r="L247" s="15"/>
      <c r="M247" s="16">
        <f t="shared" si="56"/>
        <v>2.9979138337316913E-2</v>
      </c>
      <c r="O247" s="13">
        <f t="shared" si="58"/>
        <v>4.0911529256416612E-2</v>
      </c>
      <c r="Q247" s="5">
        <f t="shared" si="59"/>
        <v>151.46884995247117</v>
      </c>
      <c r="R247" s="6">
        <f t="shared" si="60"/>
        <v>150.89928168831082</v>
      </c>
      <c r="T247" s="11">
        <f t="shared" si="52"/>
        <v>1.0037744928788781</v>
      </c>
      <c r="V247" s="9">
        <v>40410</v>
      </c>
      <c r="W247">
        <v>8082.88</v>
      </c>
      <c r="X247">
        <v>9416.4048000000003</v>
      </c>
      <c r="Y247" t="s">
        <v>33</v>
      </c>
      <c r="AC247" s="24">
        <f t="shared" si="61"/>
        <v>3.5046497776647978E-2</v>
      </c>
      <c r="AE247" s="5">
        <f t="shared" si="62"/>
        <v>131.39629589971011</v>
      </c>
      <c r="AF247" s="6">
        <f t="shared" si="63"/>
        <v>150.89928168831082</v>
      </c>
      <c r="AH247" s="1">
        <f t="shared" si="53"/>
        <v>40410</v>
      </c>
      <c r="AI247">
        <f t="shared" si="57"/>
        <v>0.87075494614424354</v>
      </c>
      <c r="AJ247">
        <f t="shared" ca="1" si="47"/>
        <v>0.70662533837840957</v>
      </c>
      <c r="AK247">
        <f t="shared" ca="1" si="48"/>
        <v>0.72570457968375512</v>
      </c>
      <c r="AL247">
        <f t="shared" ca="1" si="49"/>
        <v>0.79756127362523732</v>
      </c>
      <c r="AM247">
        <f t="shared" ca="1" si="50"/>
        <v>0.87147159347282577</v>
      </c>
      <c r="AN247">
        <f t="shared" ca="1" si="51"/>
        <v>0.88867633792576439</v>
      </c>
      <c r="AP247" s="40"/>
      <c r="AQ247" s="41"/>
    </row>
    <row r="248" spans="2:43" x14ac:dyDescent="0.25">
      <c r="B248" s="1">
        <v>40417</v>
      </c>
      <c r="C248">
        <v>1.8580000000000001</v>
      </c>
      <c r="D248">
        <v>0.92200000000000004</v>
      </c>
      <c r="E248" t="s">
        <v>33</v>
      </c>
      <c r="G248">
        <v>2349.0700000000002</v>
      </c>
      <c r="I248" s="14">
        <f t="shared" si="54"/>
        <v>-1.4323607427055629E-2</v>
      </c>
      <c r="J248" s="15">
        <f t="shared" si="55"/>
        <v>-5.2415210688591896E-2</v>
      </c>
      <c r="K248" s="15"/>
      <c r="L248" s="15"/>
      <c r="M248" s="16">
        <f t="shared" si="56"/>
        <v>-3.6859821974029927E-2</v>
      </c>
      <c r="O248" s="13">
        <f t="shared" si="58"/>
        <v>-3.3369409057823762E-2</v>
      </c>
      <c r="Q248" s="5">
        <f t="shared" si="59"/>
        <v>146.41442393888903</v>
      </c>
      <c r="R248" s="6">
        <f t="shared" si="60"/>
        <v>145.3371610292707</v>
      </c>
      <c r="T248" s="11">
        <f t="shared" si="52"/>
        <v>1.007412164253032</v>
      </c>
      <c r="V248" s="9">
        <v>40417</v>
      </c>
      <c r="W248">
        <v>7966.3</v>
      </c>
      <c r="X248">
        <v>8929.9483999999993</v>
      </c>
      <c r="Y248" t="s">
        <v>33</v>
      </c>
      <c r="AC248" s="24">
        <f t="shared" si="61"/>
        <v>-3.4820785448389721E-2</v>
      </c>
      <c r="AE248" s="5">
        <f t="shared" si="62"/>
        <v>126.82097367147317</v>
      </c>
      <c r="AF248" s="6">
        <f t="shared" si="63"/>
        <v>145.3371610292707</v>
      </c>
      <c r="AH248" s="1">
        <f t="shared" si="53"/>
        <v>40417</v>
      </c>
      <c r="AI248">
        <f t="shared" si="57"/>
        <v>0.87259839653763149</v>
      </c>
      <c r="AJ248">
        <f t="shared" ca="1" si="47"/>
        <v>0.70725645458493236</v>
      </c>
      <c r="AK248">
        <f t="shared" ca="1" si="48"/>
        <v>0.7292408426590673</v>
      </c>
      <c r="AL248">
        <f t="shared" ca="1" si="49"/>
        <v>0.79861459485204356</v>
      </c>
      <c r="AM248">
        <f t="shared" ca="1" si="50"/>
        <v>0.87147159347282577</v>
      </c>
      <c r="AN248">
        <f t="shared" ca="1" si="51"/>
        <v>0.88867633792576439</v>
      </c>
      <c r="AP248" s="40"/>
      <c r="AQ248" s="41"/>
    </row>
    <row r="249" spans="2:43" x14ac:dyDescent="0.25">
      <c r="B249" s="1">
        <v>40424</v>
      </c>
      <c r="C249">
        <v>1.881</v>
      </c>
      <c r="D249">
        <v>0.95799999999999996</v>
      </c>
      <c r="E249" t="s">
        <v>33</v>
      </c>
      <c r="G249">
        <v>2423.2199999999998</v>
      </c>
      <c r="I249" s="14">
        <f t="shared" si="54"/>
        <v>1.2378902045209861E-2</v>
      </c>
      <c r="J249" s="15">
        <f t="shared" si="55"/>
        <v>3.9045553145336198E-2</v>
      </c>
      <c r="K249" s="15"/>
      <c r="L249" s="15"/>
      <c r="M249" s="16">
        <f t="shared" si="56"/>
        <v>3.1565683440680559E-2</v>
      </c>
      <c r="O249" s="13">
        <f t="shared" si="58"/>
        <v>2.5712227595273029E-2</v>
      </c>
      <c r="Q249" s="5">
        <f t="shared" si="59"/>
        <v>150.17906493043654</v>
      </c>
      <c r="R249" s="6">
        <f t="shared" si="60"/>
        <v>149.92482784648789</v>
      </c>
      <c r="T249" s="11">
        <f t="shared" si="52"/>
        <v>1.0016957637210628</v>
      </c>
      <c r="V249" s="9">
        <v>40424</v>
      </c>
      <c r="W249">
        <v>8063.45</v>
      </c>
      <c r="X249">
        <v>9277.4172999999992</v>
      </c>
      <c r="Y249" t="s">
        <v>33</v>
      </c>
      <c r="AC249" s="24">
        <f t="shared" si="61"/>
        <v>2.647267083266042E-2</v>
      </c>
      <c r="AE249" s="5">
        <f t="shared" si="62"/>
        <v>130.17826356215556</v>
      </c>
      <c r="AF249" s="6">
        <f t="shared" si="63"/>
        <v>149.92482784648789</v>
      </c>
      <c r="AH249" s="1">
        <f t="shared" si="53"/>
        <v>40424</v>
      </c>
      <c r="AI249">
        <f t="shared" si="57"/>
        <v>0.86829023205848621</v>
      </c>
      <c r="AJ249">
        <f t="shared" ca="1" si="47"/>
        <v>0.70814329637044782</v>
      </c>
      <c r="AK249">
        <f t="shared" ca="1" si="48"/>
        <v>0.72986029785053663</v>
      </c>
      <c r="AL249">
        <f t="shared" ca="1" si="49"/>
        <v>0.79987885200554265</v>
      </c>
      <c r="AM249">
        <f t="shared" ca="1" si="50"/>
        <v>0.87228143709396178</v>
      </c>
      <c r="AN249">
        <f t="shared" ca="1" si="51"/>
        <v>0.88867633792576439</v>
      </c>
      <c r="AP249" s="40"/>
      <c r="AQ249" s="41"/>
    </row>
    <row r="250" spans="2:43" x14ac:dyDescent="0.25">
      <c r="B250" s="1">
        <v>40431</v>
      </c>
      <c r="C250">
        <v>1.8220000000000001</v>
      </c>
      <c r="D250">
        <v>0.93300000000000005</v>
      </c>
      <c r="E250" t="s">
        <v>33</v>
      </c>
      <c r="G250">
        <v>2436.77</v>
      </c>
      <c r="I250" s="14">
        <f t="shared" si="54"/>
        <v>-3.1366294524189264E-2</v>
      </c>
      <c r="J250" s="15">
        <f t="shared" si="55"/>
        <v>-2.6096033402922658E-2</v>
      </c>
      <c r="K250" s="15"/>
      <c r="L250" s="15"/>
      <c r="M250" s="16">
        <f t="shared" si="56"/>
        <v>5.5917333135251379E-3</v>
      </c>
      <c r="O250" s="13">
        <f t="shared" si="58"/>
        <v>-2.8731163963555961E-2</v>
      </c>
      <c r="Q250" s="5">
        <f t="shared" si="59"/>
        <v>145.86424559202666</v>
      </c>
      <c r="R250" s="6">
        <f t="shared" si="60"/>
        <v>150.76316750088162</v>
      </c>
      <c r="T250" s="11">
        <f t="shared" si="52"/>
        <v>0.96750584383399674</v>
      </c>
      <c r="V250" s="9">
        <v>40431</v>
      </c>
      <c r="W250">
        <v>7810.86</v>
      </c>
      <c r="X250">
        <v>9034.1890999999996</v>
      </c>
      <c r="Y250" t="s">
        <v>33</v>
      </c>
      <c r="AC250" s="24">
        <f t="shared" si="61"/>
        <v>-2.8546688626971184E-2</v>
      </c>
      <c r="AE250" s="5">
        <f t="shared" si="62"/>
        <v>126.46210520624692</v>
      </c>
      <c r="AF250" s="6">
        <f t="shared" si="63"/>
        <v>150.76316750088162</v>
      </c>
      <c r="AH250" s="1">
        <f t="shared" si="53"/>
        <v>40431</v>
      </c>
      <c r="AI250">
        <f t="shared" si="57"/>
        <v>0.83881300255586244</v>
      </c>
      <c r="AJ250">
        <f t="shared" ca="1" si="47"/>
        <v>0.70933051225624921</v>
      </c>
      <c r="AK250">
        <f t="shared" ca="1" si="48"/>
        <v>0.74720930898211357</v>
      </c>
      <c r="AL250">
        <f t="shared" ca="1" si="49"/>
        <v>0.80082997381833154</v>
      </c>
      <c r="AM250">
        <f t="shared" ca="1" si="50"/>
        <v>0.87228143709396178</v>
      </c>
      <c r="AN250">
        <f t="shared" ca="1" si="51"/>
        <v>0.88867633792576439</v>
      </c>
      <c r="AP250" s="40"/>
      <c r="AQ250" s="41"/>
    </row>
    <row r="251" spans="2:43" x14ac:dyDescent="0.25">
      <c r="B251" s="1">
        <v>40438</v>
      </c>
      <c r="C251">
        <v>1.8169999999999999</v>
      </c>
      <c r="D251">
        <v>0.91900000000000004</v>
      </c>
      <c r="E251" t="s">
        <v>33</v>
      </c>
      <c r="G251">
        <v>2473.4299999999998</v>
      </c>
      <c r="I251" s="14">
        <f t="shared" si="54"/>
        <v>-2.7442371020857115E-3</v>
      </c>
      <c r="J251" s="15">
        <f t="shared" si="55"/>
        <v>-1.5005359056806E-2</v>
      </c>
      <c r="K251" s="15"/>
      <c r="L251" s="15"/>
      <c r="M251" s="16">
        <f t="shared" si="56"/>
        <v>1.5044505636559791E-2</v>
      </c>
      <c r="O251" s="13">
        <f t="shared" si="58"/>
        <v>-8.8747980794458559E-3</v>
      </c>
      <c r="Q251" s="5">
        <f t="shared" si="59"/>
        <v>144.56972986538671</v>
      </c>
      <c r="R251" s="6">
        <f t="shared" si="60"/>
        <v>153.03132482413423</v>
      </c>
      <c r="T251" s="11">
        <f t="shared" si="52"/>
        <v>0.9447067783770956</v>
      </c>
      <c r="V251" s="9">
        <v>40438</v>
      </c>
      <c r="W251">
        <v>7791.43</v>
      </c>
      <c r="X251">
        <v>8895.2016000000003</v>
      </c>
      <c r="Y251" t="s">
        <v>33</v>
      </c>
      <c r="AC251" s="24">
        <f t="shared" si="61"/>
        <v>-9.3200145699652622E-3</v>
      </c>
      <c r="AE251" s="5">
        <f t="shared" si="62"/>
        <v>125.28347654317622</v>
      </c>
      <c r="AF251" s="6">
        <f t="shared" si="63"/>
        <v>153.03132482413423</v>
      </c>
      <c r="AH251" s="1">
        <f t="shared" si="53"/>
        <v>40438</v>
      </c>
      <c r="AI251">
        <f t="shared" si="57"/>
        <v>0.81867863777010208</v>
      </c>
      <c r="AJ251">
        <f t="shared" ref="AJ251:AJ314" ca="1" si="64">+_xlfn.PERCENTILE.INC(OFFSET(AI251,-52,0,52,1),0.1)</f>
        <v>0.70998841318488926</v>
      </c>
      <c r="AK251">
        <f t="shared" ref="AK251:AK314" ca="1" si="65">+_xlfn.PERCENTILE.INC(OFFSET(AI251,-52,0,52,1),0.25)</f>
        <v>0.76006518308744031</v>
      </c>
      <c r="AL251">
        <f t="shared" ref="AL251:AL314" ca="1" si="66">+_xlfn.PERCENTILE.INC(OFFSET(AI251,-52,0,52,1),0.5)</f>
        <v>0.80528679137688264</v>
      </c>
      <c r="AM251">
        <f t="shared" ref="AM251:AM314" ca="1" si="67">+_xlfn.PERCENTILE.INC(OFFSET(AI251,-52,0,52,1),0.75)</f>
        <v>0.87228143709396178</v>
      </c>
      <c r="AN251">
        <f t="shared" ref="AN251:AN314" ca="1" si="68">+_xlfn.PERCENTILE.INC(OFFSET(AI251,-52,0,52,1),0.9)</f>
        <v>0.88867633792576439</v>
      </c>
      <c r="AP251" s="40"/>
      <c r="AQ251" s="41"/>
    </row>
    <row r="252" spans="2:43" x14ac:dyDescent="0.25">
      <c r="B252" s="1">
        <v>40445</v>
      </c>
      <c r="C252">
        <v>1.8260000000000001</v>
      </c>
      <c r="D252">
        <v>0.95499999999999996</v>
      </c>
      <c r="E252" t="s">
        <v>33</v>
      </c>
      <c r="G252">
        <v>2577.7399999999998</v>
      </c>
      <c r="I252" s="14">
        <f t="shared" si="54"/>
        <v>4.953219592735314E-3</v>
      </c>
      <c r="J252" s="15">
        <f t="shared" si="55"/>
        <v>3.9173014145810647E-2</v>
      </c>
      <c r="K252" s="15"/>
      <c r="L252" s="15"/>
      <c r="M252" s="16">
        <f t="shared" si="56"/>
        <v>4.2172206207574003E-2</v>
      </c>
      <c r="O252" s="13">
        <f t="shared" si="58"/>
        <v>2.2063116869272981E-2</v>
      </c>
      <c r="Q252" s="5">
        <f t="shared" si="59"/>
        <v>147.75938871116597</v>
      </c>
      <c r="R252" s="6">
        <f t="shared" si="60"/>
        <v>159.48499341083587</v>
      </c>
      <c r="T252" s="11">
        <f t="shared" si="52"/>
        <v>0.92647831969077765</v>
      </c>
      <c r="V252" s="9">
        <v>40445</v>
      </c>
      <c r="W252">
        <v>7830.29</v>
      </c>
      <c r="X252">
        <v>9242.6704000000009</v>
      </c>
      <c r="Y252" t="s">
        <v>33</v>
      </c>
      <c r="AC252" s="24">
        <f t="shared" si="61"/>
        <v>2.3194886248825871E-2</v>
      </c>
      <c r="AE252" s="5">
        <f t="shared" si="62"/>
        <v>128.18941253045264</v>
      </c>
      <c r="AF252" s="6">
        <f t="shared" si="63"/>
        <v>159.48499341083587</v>
      </c>
      <c r="AH252" s="1">
        <f t="shared" si="53"/>
        <v>40445</v>
      </c>
      <c r="AI252">
        <f t="shared" si="57"/>
        <v>0.80377099932051088</v>
      </c>
      <c r="AJ252">
        <f t="shared" ca="1" si="64"/>
        <v>0.71038745748112708</v>
      </c>
      <c r="AK252">
        <f t="shared" ca="1" si="65"/>
        <v>0.76706624387111644</v>
      </c>
      <c r="AL252">
        <f t="shared" ca="1" si="66"/>
        <v>0.81148922389778155</v>
      </c>
      <c r="AM252">
        <f t="shared" ca="1" si="67"/>
        <v>0.87228143709396178</v>
      </c>
      <c r="AN252">
        <f t="shared" ca="1" si="68"/>
        <v>0.88867633792576439</v>
      </c>
      <c r="AP252" s="40"/>
      <c r="AQ252" s="41"/>
    </row>
    <row r="253" spans="2:43" x14ac:dyDescent="0.25">
      <c r="B253" s="1">
        <v>40452</v>
      </c>
      <c r="C253">
        <v>1.881</v>
      </c>
      <c r="D253">
        <v>0.96899999999999997</v>
      </c>
      <c r="E253" t="s">
        <v>33</v>
      </c>
      <c r="G253">
        <v>2652.29</v>
      </c>
      <c r="I253" s="14">
        <f t="shared" si="54"/>
        <v>3.0120481927710774E-2</v>
      </c>
      <c r="J253" s="15">
        <f t="shared" si="55"/>
        <v>1.4659685863874339E-2</v>
      </c>
      <c r="K253" s="15"/>
      <c r="L253" s="15"/>
      <c r="M253" s="16">
        <f t="shared" si="56"/>
        <v>2.8920682458277502E-2</v>
      </c>
      <c r="O253" s="13">
        <f t="shared" si="58"/>
        <v>2.2390083895792556E-2</v>
      </c>
      <c r="Q253" s="5">
        <f t="shared" si="59"/>
        <v>151.06773382080002</v>
      </c>
      <c r="R253" s="6">
        <f t="shared" si="60"/>
        <v>164.09740826213113</v>
      </c>
      <c r="T253" s="11">
        <f t="shared" si="52"/>
        <v>0.92059792668682883</v>
      </c>
      <c r="V253" s="9">
        <v>40452</v>
      </c>
      <c r="W253">
        <v>8063.45</v>
      </c>
      <c r="X253">
        <v>9381.6579000000002</v>
      </c>
      <c r="Y253" t="s">
        <v>33</v>
      </c>
      <c r="AC253" s="24">
        <f t="shared" si="61"/>
        <v>2.175057777566591E-2</v>
      </c>
      <c r="AE253" s="5">
        <f t="shared" si="62"/>
        <v>130.97760631771317</v>
      </c>
      <c r="AF253" s="6">
        <f t="shared" si="63"/>
        <v>164.09740826213113</v>
      </c>
      <c r="AH253" s="1">
        <f t="shared" si="53"/>
        <v>40452</v>
      </c>
      <c r="AI253">
        <f t="shared" si="57"/>
        <v>0.79816986572077964</v>
      </c>
      <c r="AJ253">
        <f t="shared" ca="1" si="64"/>
        <v>0.71038745748112708</v>
      </c>
      <c r="AK253">
        <f t="shared" ca="1" si="65"/>
        <v>0.76724561264267077</v>
      </c>
      <c r="AL253">
        <f t="shared" ca="1" si="66"/>
        <v>0.81148922389778155</v>
      </c>
      <c r="AM253">
        <f t="shared" ca="1" si="67"/>
        <v>0.87228143709396178</v>
      </c>
      <c r="AN253">
        <f t="shared" ca="1" si="68"/>
        <v>0.88867633792576439</v>
      </c>
      <c r="AP253" s="40"/>
      <c r="AQ253" s="41"/>
    </row>
    <row r="254" spans="2:43" x14ac:dyDescent="0.25">
      <c r="B254" s="1">
        <v>40459</v>
      </c>
      <c r="C254">
        <v>1.994</v>
      </c>
      <c r="D254">
        <v>1.01</v>
      </c>
      <c r="E254" t="s">
        <v>33</v>
      </c>
      <c r="G254">
        <v>2699.49</v>
      </c>
      <c r="I254" s="14">
        <f t="shared" si="54"/>
        <v>6.0074428495481058E-2</v>
      </c>
      <c r="J254" s="15">
        <f t="shared" si="55"/>
        <v>4.2311661506708065E-2</v>
      </c>
      <c r="K254" s="15"/>
      <c r="L254" s="15"/>
      <c r="M254" s="16">
        <f t="shared" si="56"/>
        <v>1.7795942374325469E-2</v>
      </c>
      <c r="O254" s="13">
        <f t="shared" si="58"/>
        <v>5.1193045001094561E-2</v>
      </c>
      <c r="Q254" s="5">
        <f t="shared" si="59"/>
        <v>158.80135111650159</v>
      </c>
      <c r="R254" s="6">
        <f t="shared" si="60"/>
        <v>167.01767628334017</v>
      </c>
      <c r="T254" s="11">
        <f t="shared" si="52"/>
        <v>0.95080565512778514</v>
      </c>
      <c r="V254" s="9">
        <v>40459</v>
      </c>
      <c r="W254">
        <v>8549.2000000000007</v>
      </c>
      <c r="X254">
        <v>9781.2469999999994</v>
      </c>
      <c r="Y254" t="s">
        <v>33</v>
      </c>
      <c r="AC254" s="24">
        <f t="shared" si="61"/>
        <v>5.0521939384990583E-2</v>
      </c>
      <c r="AE254" s="5">
        <f t="shared" si="62"/>
        <v>137.59484900488783</v>
      </c>
      <c r="AF254" s="6">
        <f t="shared" si="63"/>
        <v>167.01767628334017</v>
      </c>
      <c r="AH254" s="1">
        <f t="shared" si="53"/>
        <v>40459</v>
      </c>
      <c r="AI254">
        <f t="shared" si="57"/>
        <v>0.82383405198059723</v>
      </c>
      <c r="AJ254">
        <f t="shared" ca="1" si="64"/>
        <v>0.71038745748112708</v>
      </c>
      <c r="AK254">
        <f t="shared" ca="1" si="65"/>
        <v>0.77973629169328162</v>
      </c>
      <c r="AL254">
        <f t="shared" ca="1" si="66"/>
        <v>0.81148922389778155</v>
      </c>
      <c r="AM254">
        <f t="shared" ca="1" si="67"/>
        <v>0.87228143709396178</v>
      </c>
      <c r="AN254">
        <f t="shared" ca="1" si="68"/>
        <v>0.88867633792576439</v>
      </c>
      <c r="AP254" s="40"/>
      <c r="AQ254" s="41"/>
    </row>
    <row r="255" spans="2:43" x14ac:dyDescent="0.25">
      <c r="B255" s="1">
        <v>40466</v>
      </c>
      <c r="C255">
        <v>1.9390000000000001</v>
      </c>
      <c r="D255">
        <v>1.0349999999999999</v>
      </c>
      <c r="E255" t="s">
        <v>33</v>
      </c>
      <c r="G255">
        <v>2735.47</v>
      </c>
      <c r="I255" s="14">
        <f t="shared" si="54"/>
        <v>-2.7582748244734168E-2</v>
      </c>
      <c r="J255" s="15">
        <f t="shared" si="55"/>
        <v>2.4752475247524774E-2</v>
      </c>
      <c r="K255" s="15"/>
      <c r="L255" s="15"/>
      <c r="M255" s="16">
        <f t="shared" si="56"/>
        <v>1.3328443520813194E-2</v>
      </c>
      <c r="O255" s="13">
        <f t="shared" si="58"/>
        <v>-1.4151364986046966E-3</v>
      </c>
      <c r="Q255" s="5">
        <f t="shared" si="59"/>
        <v>158.57662552850888</v>
      </c>
      <c r="R255" s="6">
        <f t="shared" si="60"/>
        <v>169.24376194866014</v>
      </c>
      <c r="T255" s="11">
        <f t="shared" si="52"/>
        <v>0.93697176015629391</v>
      </c>
      <c r="V255" s="9">
        <v>40466</v>
      </c>
      <c r="W255">
        <v>8316.0400000000009</v>
      </c>
      <c r="X255">
        <v>10024.475200000001</v>
      </c>
      <c r="Y255" t="s">
        <v>33</v>
      </c>
      <c r="AC255" s="24">
        <f t="shared" si="61"/>
        <v>3.4367099523238887E-4</v>
      </c>
      <c r="AE255" s="5">
        <f t="shared" si="62"/>
        <v>137.6421363635842</v>
      </c>
      <c r="AF255" s="6">
        <f t="shared" si="63"/>
        <v>169.24376194866014</v>
      </c>
      <c r="AH255" s="1">
        <f t="shared" si="53"/>
        <v>40466</v>
      </c>
      <c r="AI255">
        <f t="shared" si="57"/>
        <v>0.81327745719418454</v>
      </c>
      <c r="AJ255">
        <f t="shared" ca="1" si="64"/>
        <v>0.71038745748112708</v>
      </c>
      <c r="AK255">
        <f t="shared" ca="1" si="65"/>
        <v>0.78646682491194875</v>
      </c>
      <c r="AL255">
        <f t="shared" ca="1" si="66"/>
        <v>0.81620605538394153</v>
      </c>
      <c r="AM255">
        <f t="shared" ca="1" si="67"/>
        <v>0.87228143709396178</v>
      </c>
      <c r="AN255">
        <f t="shared" ca="1" si="68"/>
        <v>0.88867633792576439</v>
      </c>
      <c r="AP255" s="40"/>
      <c r="AQ255" s="41"/>
    </row>
    <row r="256" spans="2:43" x14ac:dyDescent="0.25">
      <c r="B256" s="1">
        <v>40473</v>
      </c>
      <c r="C256">
        <v>1.9530000000000001</v>
      </c>
      <c r="D256">
        <v>1.0620000000000001</v>
      </c>
      <c r="E256" t="s">
        <v>33</v>
      </c>
      <c r="G256">
        <v>2851.91</v>
      </c>
      <c r="I256" s="14">
        <f t="shared" si="54"/>
        <v>7.2202166064982976E-3</v>
      </c>
      <c r="J256" s="15">
        <f t="shared" si="55"/>
        <v>2.6086956521739202E-2</v>
      </c>
      <c r="K256" s="15"/>
      <c r="L256" s="15"/>
      <c r="M256" s="16">
        <f t="shared" si="56"/>
        <v>4.256672527938532E-2</v>
      </c>
      <c r="O256" s="13">
        <f t="shared" si="58"/>
        <v>1.665358656411875E-2</v>
      </c>
      <c r="Q256" s="5">
        <f t="shared" si="59"/>
        <v>161.21749508879375</v>
      </c>
      <c r="R256" s="6">
        <f t="shared" si="60"/>
        <v>176.44791466877845</v>
      </c>
      <c r="T256" s="11">
        <f t="shared" si="52"/>
        <v>0.91368319875825854</v>
      </c>
      <c r="V256" s="9">
        <v>40473</v>
      </c>
      <c r="W256">
        <v>8374.33</v>
      </c>
      <c r="X256">
        <v>10285.076800000001</v>
      </c>
      <c r="Y256" t="s">
        <v>33</v>
      </c>
      <c r="AC256" s="24">
        <f t="shared" si="61"/>
        <v>1.7532313312766536E-2</v>
      </c>
      <c r="AE256" s="5">
        <f t="shared" si="62"/>
        <v>140.05532142334908</v>
      </c>
      <c r="AF256" s="6">
        <f t="shared" si="63"/>
        <v>176.44791466877845</v>
      </c>
      <c r="AH256" s="1">
        <f t="shared" si="53"/>
        <v>40473</v>
      </c>
      <c r="AI256">
        <f t="shared" si="57"/>
        <v>0.79374880505817136</v>
      </c>
      <c r="AJ256">
        <f t="shared" ca="1" si="64"/>
        <v>0.71834364099764692</v>
      </c>
      <c r="AK256">
        <f t="shared" ca="1" si="65"/>
        <v>0.78721786208022304</v>
      </c>
      <c r="AL256">
        <f t="shared" ca="1" si="66"/>
        <v>0.81620605538394153</v>
      </c>
      <c r="AM256">
        <f t="shared" ca="1" si="67"/>
        <v>0.87228143709396178</v>
      </c>
      <c r="AN256">
        <f t="shared" ca="1" si="68"/>
        <v>0.88867633792576439</v>
      </c>
      <c r="AP256" s="40"/>
      <c r="AQ256" s="41"/>
    </row>
    <row r="257" spans="2:43" x14ac:dyDescent="0.25">
      <c r="B257" s="1">
        <v>40480</v>
      </c>
      <c r="C257">
        <v>1.9670000000000001</v>
      </c>
      <c r="D257">
        <v>1.129</v>
      </c>
      <c r="E257" t="s">
        <v>33</v>
      </c>
      <c r="G257">
        <v>3007.41</v>
      </c>
      <c r="I257" s="14">
        <f t="shared" si="54"/>
        <v>7.1684587813620748E-3</v>
      </c>
      <c r="J257" s="15">
        <f t="shared" si="55"/>
        <v>6.3088512241054495E-2</v>
      </c>
      <c r="K257" s="15"/>
      <c r="L257" s="15"/>
      <c r="M257" s="16">
        <f t="shared" si="56"/>
        <v>5.4524862285275422E-2</v>
      </c>
      <c r="O257" s="13">
        <f t="shared" si="58"/>
        <v>3.5128485511208285E-2</v>
      </c>
      <c r="Q257" s="5">
        <f t="shared" si="59"/>
        <v>166.88082152917374</v>
      </c>
      <c r="R257" s="6">
        <f t="shared" si="60"/>
        <v>186.06871291661761</v>
      </c>
      <c r="T257" s="11">
        <f t="shared" si="52"/>
        <v>0.89687738961228547</v>
      </c>
      <c r="V257" s="9">
        <v>40480</v>
      </c>
      <c r="W257">
        <v>8432.6200000000008</v>
      </c>
      <c r="X257">
        <v>10927.8941</v>
      </c>
      <c r="Y257" t="s">
        <v>33</v>
      </c>
      <c r="AC257" s="24">
        <f t="shared" si="61"/>
        <v>3.7991627527168198E-2</v>
      </c>
      <c r="AE257" s="5">
        <f t="shared" si="62"/>
        <v>145.37625102806277</v>
      </c>
      <c r="AF257" s="6">
        <f t="shared" si="63"/>
        <v>186.06871291661761</v>
      </c>
      <c r="AH257" s="1">
        <f t="shared" si="53"/>
        <v>40480</v>
      </c>
      <c r="AI257">
        <f t="shared" si="57"/>
        <v>0.78130411475039208</v>
      </c>
      <c r="AJ257">
        <f t="shared" ca="1" si="64"/>
        <v>0.71834364099764692</v>
      </c>
      <c r="AK257">
        <f t="shared" ca="1" si="65"/>
        <v>0.79214303843733236</v>
      </c>
      <c r="AL257">
        <f t="shared" ca="1" si="66"/>
        <v>0.81620605538394153</v>
      </c>
      <c r="AM257">
        <f t="shared" ca="1" si="67"/>
        <v>0.87228143709396178</v>
      </c>
      <c r="AN257">
        <f t="shared" ca="1" si="68"/>
        <v>0.88867633792576439</v>
      </c>
      <c r="AP257" s="40"/>
      <c r="AQ257" s="41"/>
    </row>
    <row r="258" spans="2:43" x14ac:dyDescent="0.25">
      <c r="B258" s="1">
        <v>40487</v>
      </c>
      <c r="C258">
        <v>2.2069999999999999</v>
      </c>
      <c r="D258">
        <v>1.177</v>
      </c>
      <c r="E258" t="s">
        <v>33</v>
      </c>
      <c r="G258">
        <v>3352.33</v>
      </c>
      <c r="I258" s="14">
        <f t="shared" si="54"/>
        <v>0.12201321809862731</v>
      </c>
      <c r="J258" s="15">
        <f t="shared" si="55"/>
        <v>4.2515500442869891E-2</v>
      </c>
      <c r="K258" s="15"/>
      <c r="L258" s="15"/>
      <c r="M258" s="16">
        <f t="shared" si="56"/>
        <v>0.11469004891251955</v>
      </c>
      <c r="O258" s="13">
        <f t="shared" si="58"/>
        <v>8.2264359270748599E-2</v>
      </c>
      <c r="Q258" s="5">
        <f t="shared" si="59"/>
        <v>180.60916538684737</v>
      </c>
      <c r="R258" s="6">
        <f t="shared" si="60"/>
        <v>207.40894270211405</v>
      </c>
      <c r="T258" s="11">
        <f t="shared" si="52"/>
        <v>0.87078774441390794</v>
      </c>
      <c r="V258" s="9">
        <v>40487</v>
      </c>
      <c r="W258">
        <v>9462.41</v>
      </c>
      <c r="X258">
        <v>11396.977000000001</v>
      </c>
      <c r="Y258" t="s">
        <v>33</v>
      </c>
      <c r="AC258" s="24">
        <f t="shared" si="61"/>
        <v>7.714133942605543E-2</v>
      </c>
      <c r="AE258" s="5">
        <f t="shared" si="62"/>
        <v>156.590769753106</v>
      </c>
      <c r="AF258" s="6">
        <f t="shared" si="63"/>
        <v>207.40894270211405</v>
      </c>
      <c r="AH258" s="1">
        <f t="shared" si="53"/>
        <v>40487</v>
      </c>
      <c r="AI258">
        <f t="shared" si="57"/>
        <v>0.7549856226691517</v>
      </c>
      <c r="AJ258">
        <f t="shared" ca="1" si="64"/>
        <v>0.7213153657357575</v>
      </c>
      <c r="AK258">
        <f t="shared" ca="1" si="65"/>
        <v>0.79214303843733236</v>
      </c>
      <c r="AL258">
        <f t="shared" ca="1" si="66"/>
        <v>0.81620605538394153</v>
      </c>
      <c r="AM258">
        <f t="shared" ca="1" si="67"/>
        <v>0.87228143709396178</v>
      </c>
      <c r="AN258">
        <f t="shared" ca="1" si="68"/>
        <v>0.88867633792576439</v>
      </c>
      <c r="AP258" s="40"/>
      <c r="AQ258" s="41"/>
    </row>
    <row r="259" spans="2:43" x14ac:dyDescent="0.25">
      <c r="B259" s="1">
        <v>40494</v>
      </c>
      <c r="C259">
        <v>2.3610000000000002</v>
      </c>
      <c r="D259">
        <v>1.095</v>
      </c>
      <c r="E259" t="s">
        <v>33</v>
      </c>
      <c r="G259">
        <v>3215.48</v>
      </c>
      <c r="I259" s="14">
        <f t="shared" si="54"/>
        <v>6.9777979157227277E-2</v>
      </c>
      <c r="J259" s="15">
        <f t="shared" si="55"/>
        <v>-6.9668649107901492E-2</v>
      </c>
      <c r="K259" s="15"/>
      <c r="L259" s="15"/>
      <c r="M259" s="16">
        <f t="shared" si="56"/>
        <v>-4.0822353407928169E-2</v>
      </c>
      <c r="O259" s="13">
        <f t="shared" si="58"/>
        <v>5.4665024662892137E-5</v>
      </c>
      <c r="Q259" s="5">
        <f t="shared" si="59"/>
        <v>180.61903839132759</v>
      </c>
      <c r="R259" s="6">
        <f t="shared" si="60"/>
        <v>198.94202154316363</v>
      </c>
      <c r="T259" s="11">
        <f t="shared" si="52"/>
        <v>0.90789787391468435</v>
      </c>
      <c r="V259" s="9">
        <v>40494</v>
      </c>
      <c r="W259">
        <v>10123.030000000001</v>
      </c>
      <c r="X259">
        <v>10597.798699999999</v>
      </c>
      <c r="Y259" t="s">
        <v>33</v>
      </c>
      <c r="AC259" s="24">
        <f t="shared" si="61"/>
        <v>-6.4117005809751224E-3</v>
      </c>
      <c r="AE259" s="5">
        <f t="shared" si="62"/>
        <v>155.58675662370467</v>
      </c>
      <c r="AF259" s="6">
        <f t="shared" si="63"/>
        <v>198.94202154316363</v>
      </c>
      <c r="AH259" s="1">
        <f t="shared" si="53"/>
        <v>40494</v>
      </c>
      <c r="AI259">
        <f t="shared" si="57"/>
        <v>0.78207085369315832</v>
      </c>
      <c r="AJ259">
        <f t="shared" ca="1" si="64"/>
        <v>0.73214300347005412</v>
      </c>
      <c r="AK259">
        <f t="shared" ca="1" si="65"/>
        <v>0.79214303843733236</v>
      </c>
      <c r="AL259">
        <f t="shared" ca="1" si="66"/>
        <v>0.81620605538394153</v>
      </c>
      <c r="AM259">
        <f t="shared" ca="1" si="67"/>
        <v>0.87228143709396178</v>
      </c>
      <c r="AN259">
        <f t="shared" ca="1" si="68"/>
        <v>0.88867633792576439</v>
      </c>
      <c r="AP259" s="40"/>
      <c r="AQ259" s="41"/>
    </row>
    <row r="260" spans="2:43" x14ac:dyDescent="0.25">
      <c r="B260" s="1">
        <v>40501</v>
      </c>
      <c r="C260">
        <v>2.4239999999999999</v>
      </c>
      <c r="D260">
        <v>1.08</v>
      </c>
      <c r="E260" t="s">
        <v>33</v>
      </c>
      <c r="G260">
        <v>3260.8</v>
      </c>
      <c r="I260" s="14">
        <f t="shared" si="54"/>
        <v>2.6683608640406531E-2</v>
      </c>
      <c r="J260" s="15">
        <f t="shared" si="55"/>
        <v>-1.3698630136986245E-2</v>
      </c>
      <c r="K260" s="15"/>
      <c r="L260" s="15"/>
      <c r="M260" s="16">
        <f t="shared" si="56"/>
        <v>1.4094318733128608E-2</v>
      </c>
      <c r="O260" s="13">
        <f t="shared" si="58"/>
        <v>6.4924892517101429E-3</v>
      </c>
      <c r="Q260" s="5">
        <f t="shared" si="59"/>
        <v>181.79170555673753</v>
      </c>
      <c r="R260" s="6">
        <f t="shared" si="60"/>
        <v>201.74597380420593</v>
      </c>
      <c r="T260" s="11">
        <f t="shared" si="52"/>
        <v>0.90109211167290015</v>
      </c>
      <c r="V260" s="9">
        <v>40501</v>
      </c>
      <c r="W260">
        <v>10395.049999999999</v>
      </c>
      <c r="X260">
        <v>10458.8112</v>
      </c>
      <c r="Y260" t="s">
        <v>33</v>
      </c>
      <c r="AC260" s="24">
        <f t="shared" si="61"/>
        <v>6.0298575856457389E-3</v>
      </c>
      <c r="AE260" s="5">
        <f t="shared" si="62"/>
        <v>156.52492260835814</v>
      </c>
      <c r="AF260" s="6">
        <f t="shared" si="63"/>
        <v>201.74597380420593</v>
      </c>
      <c r="AH260" s="1">
        <f t="shared" si="53"/>
        <v>40501</v>
      </c>
      <c r="AI260">
        <f t="shared" si="57"/>
        <v>0.7758515307981575</v>
      </c>
      <c r="AJ260">
        <f t="shared" ca="1" si="64"/>
        <v>0.75318829658318998</v>
      </c>
      <c r="AK260">
        <f t="shared" ca="1" si="65"/>
        <v>0.79214303843733236</v>
      </c>
      <c r="AL260">
        <f t="shared" ca="1" si="66"/>
        <v>0.81620605538394153</v>
      </c>
      <c r="AM260">
        <f t="shared" ca="1" si="67"/>
        <v>0.87228143709396178</v>
      </c>
      <c r="AN260">
        <f t="shared" ca="1" si="68"/>
        <v>0.88867633792576439</v>
      </c>
      <c r="AP260" s="40"/>
      <c r="AQ260" s="41"/>
    </row>
    <row r="261" spans="2:43" x14ac:dyDescent="0.25">
      <c r="B261" s="1">
        <v>40508</v>
      </c>
      <c r="C261">
        <v>2.3559999999999999</v>
      </c>
      <c r="D261">
        <v>1.048</v>
      </c>
      <c r="E261" t="s">
        <v>33</v>
      </c>
      <c r="G261">
        <v>3302.88</v>
      </c>
      <c r="I261" s="14">
        <f t="shared" si="54"/>
        <v>-2.8052805280528115E-2</v>
      </c>
      <c r="J261" s="15">
        <f t="shared" si="55"/>
        <v>-2.9629629629629672E-2</v>
      </c>
      <c r="K261" s="15"/>
      <c r="L261" s="15"/>
      <c r="M261" s="16">
        <f t="shared" si="56"/>
        <v>1.2904808635917586E-2</v>
      </c>
      <c r="O261" s="13">
        <f t="shared" si="58"/>
        <v>-2.8841217455078894E-2</v>
      </c>
      <c r="Q261" s="5">
        <f t="shared" si="59"/>
        <v>176.54861144524597</v>
      </c>
      <c r="R261" s="6">
        <f t="shared" si="60"/>
        <v>204.34946698921604</v>
      </c>
      <c r="T261" s="11">
        <f t="shared" si="52"/>
        <v>0.86395435254334585</v>
      </c>
      <c r="V261" s="9">
        <v>40508</v>
      </c>
      <c r="W261">
        <v>10103.6</v>
      </c>
      <c r="X261">
        <v>10146.0893</v>
      </c>
      <c r="Y261" t="s">
        <v>33</v>
      </c>
      <c r="AC261" s="24">
        <f t="shared" si="61"/>
        <v>-2.8843628044938577E-2</v>
      </c>
      <c r="AE261" s="5">
        <f t="shared" si="62"/>
        <v>152.01017596087985</v>
      </c>
      <c r="AF261" s="6">
        <f t="shared" si="63"/>
        <v>204.34946698921604</v>
      </c>
      <c r="AH261" s="1">
        <f t="shared" si="53"/>
        <v>40508</v>
      </c>
      <c r="AI261">
        <f t="shared" si="57"/>
        <v>0.74387361122356999</v>
      </c>
      <c r="AJ261">
        <f t="shared" ca="1" si="64"/>
        <v>0.75572946502440363</v>
      </c>
      <c r="AK261">
        <f t="shared" ca="1" si="65"/>
        <v>0.79214303843733236</v>
      </c>
      <c r="AL261">
        <f t="shared" ca="1" si="66"/>
        <v>0.81620605538394153</v>
      </c>
      <c r="AM261">
        <f t="shared" ca="1" si="67"/>
        <v>0.87228143709396178</v>
      </c>
      <c r="AN261">
        <f t="shared" ca="1" si="68"/>
        <v>0.88867633792576439</v>
      </c>
      <c r="AP261" s="40"/>
      <c r="AQ261" s="41"/>
    </row>
    <row r="262" spans="2:43" x14ac:dyDescent="0.25">
      <c r="B262" s="1">
        <v>40515</v>
      </c>
      <c r="C262">
        <v>2.3340000000000001</v>
      </c>
      <c r="D262">
        <v>1.052</v>
      </c>
      <c r="E262" t="s">
        <v>33</v>
      </c>
      <c r="G262">
        <v>3422.43</v>
      </c>
      <c r="I262" s="14">
        <f t="shared" si="54"/>
        <v>-9.3378607809846415E-3</v>
      </c>
      <c r="J262" s="15">
        <f t="shared" si="55"/>
        <v>3.8167938931297218E-3</v>
      </c>
      <c r="K262" s="15"/>
      <c r="L262" s="15"/>
      <c r="M262" s="16">
        <f t="shared" si="56"/>
        <v>3.6195683766894193E-2</v>
      </c>
      <c r="O262" s="13">
        <f t="shared" si="58"/>
        <v>-2.7605334439274598E-3</v>
      </c>
      <c r="Q262" s="5">
        <f t="shared" si="59"/>
        <v>176.06124309887241</v>
      </c>
      <c r="R262" s="6">
        <f t="shared" si="60"/>
        <v>211.74603567429108</v>
      </c>
      <c r="T262" s="11">
        <f t="shared" ref="T262:T325" si="69">+Q262/R262</f>
        <v>0.83147362139846992</v>
      </c>
      <c r="V262" s="9">
        <v>40515</v>
      </c>
      <c r="W262">
        <v>10006.450000000001</v>
      </c>
      <c r="X262">
        <v>10180.8362</v>
      </c>
      <c r="Y262" t="s">
        <v>33</v>
      </c>
      <c r="AC262" s="24">
        <f t="shared" si="61"/>
        <v>-2.7467324403524364E-3</v>
      </c>
      <c r="AE262" s="5">
        <f t="shared" si="62"/>
        <v>151.59264467930441</v>
      </c>
      <c r="AF262" s="6">
        <f t="shared" si="63"/>
        <v>211.74603567429108</v>
      </c>
      <c r="AH262" s="1">
        <f t="shared" ref="AH262:AH325" si="70">+B262</f>
        <v>40515</v>
      </c>
      <c r="AI262">
        <f t="shared" si="57"/>
        <v>0.71591727418446249</v>
      </c>
      <c r="AJ262">
        <f t="shared" ca="1" si="64"/>
        <v>0.75572946502440363</v>
      </c>
      <c r="AK262">
        <f t="shared" ca="1" si="65"/>
        <v>0.79214303843733236</v>
      </c>
      <c r="AL262">
        <f t="shared" ca="1" si="66"/>
        <v>0.81620605538394153</v>
      </c>
      <c r="AM262">
        <f t="shared" ca="1" si="67"/>
        <v>0.87228143709396178</v>
      </c>
      <c r="AN262">
        <f t="shared" ca="1" si="68"/>
        <v>0.88867633792576439</v>
      </c>
      <c r="AP262" s="40"/>
      <c r="AQ262" s="41"/>
    </row>
    <row r="263" spans="2:43" x14ac:dyDescent="0.25">
      <c r="B263" s="1">
        <v>40522</v>
      </c>
      <c r="C263">
        <v>2.2879999999999998</v>
      </c>
      <c r="D263">
        <v>1.0820000000000001</v>
      </c>
      <c r="E263" t="s">
        <v>33</v>
      </c>
      <c r="G263">
        <v>3390.87</v>
      </c>
      <c r="I263" s="14">
        <f t="shared" ref="I263:I326" si="71">+C263/C262-1</f>
        <v>-1.9708654670094417E-2</v>
      </c>
      <c r="J263" s="15">
        <f t="shared" ref="J263:J326" si="72">+D263/D262-1</f>
        <v>2.8517110266159662E-2</v>
      </c>
      <c r="K263" s="15"/>
      <c r="L263" s="15"/>
      <c r="M263" s="16">
        <f t="shared" ref="M263:M326" si="73">+G263/G262-1</f>
        <v>-9.221518044196686E-3</v>
      </c>
      <c r="O263" s="13">
        <f t="shared" si="58"/>
        <v>4.4042277980326228E-3</v>
      </c>
      <c r="Q263" s="5">
        <f t="shared" si="59"/>
        <v>176.83665691988463</v>
      </c>
      <c r="R263" s="6">
        <f t="shared" si="60"/>
        <v>209.79341578553348</v>
      </c>
      <c r="T263" s="11">
        <f t="shared" si="69"/>
        <v>0.84290851673181333</v>
      </c>
      <c r="V263" s="9">
        <v>40522</v>
      </c>
      <c r="W263">
        <v>9812.15</v>
      </c>
      <c r="X263">
        <v>10476.1847</v>
      </c>
      <c r="Y263" t="s">
        <v>33</v>
      </c>
      <c r="AC263" s="24">
        <f t="shared" si="61"/>
        <v>4.6125249362910219E-3</v>
      </c>
      <c r="AE263" s="5">
        <f t="shared" si="62"/>
        <v>152.291869533046</v>
      </c>
      <c r="AF263" s="6">
        <f t="shared" si="63"/>
        <v>209.79341578553348</v>
      </c>
      <c r="AH263" s="1">
        <f t="shared" si="70"/>
        <v>40522</v>
      </c>
      <c r="AI263">
        <f t="shared" ref="AI263:AI326" si="74">+(AE263/$AE$6)/(AF263/$AF$6)</f>
        <v>0.72591348476222017</v>
      </c>
      <c r="AJ263">
        <f t="shared" ca="1" si="64"/>
        <v>0.75572946502440363</v>
      </c>
      <c r="AK263">
        <f t="shared" ca="1" si="65"/>
        <v>0.79214303843733236</v>
      </c>
      <c r="AL263">
        <f t="shared" ca="1" si="66"/>
        <v>0.81620605538394153</v>
      </c>
      <c r="AM263">
        <f t="shared" ca="1" si="67"/>
        <v>0.87228143709396178</v>
      </c>
      <c r="AN263">
        <f t="shared" ca="1" si="68"/>
        <v>0.88867633792576439</v>
      </c>
      <c r="AP263" s="40"/>
      <c r="AQ263" s="41"/>
    </row>
    <row r="264" spans="2:43" x14ac:dyDescent="0.25">
      <c r="B264" s="1">
        <v>40529</v>
      </c>
      <c r="C264">
        <v>2.3559999999999999</v>
      </c>
      <c r="D264">
        <v>1.206</v>
      </c>
      <c r="E264" t="s">
        <v>33</v>
      </c>
      <c r="G264">
        <v>3403.08</v>
      </c>
      <c r="I264" s="14">
        <f t="shared" si="71"/>
        <v>2.9720279720279796E-2</v>
      </c>
      <c r="J264" s="15">
        <f t="shared" si="72"/>
        <v>0.11460258780036958</v>
      </c>
      <c r="K264" s="15"/>
      <c r="L264" s="15"/>
      <c r="M264" s="16">
        <f t="shared" si="73"/>
        <v>3.600845800635355E-3</v>
      </c>
      <c r="O264" s="13">
        <f t="shared" ref="O264:O327" si="75">+AVERAGE(I264:J264)</f>
        <v>7.2161433760324689E-2</v>
      </c>
      <c r="Q264" s="5">
        <f t="shared" ref="Q264:Q327" si="76">+Q263*(1+O264)</f>
        <v>189.59744362460614</v>
      </c>
      <c r="R264" s="6">
        <f t="shared" ref="R264:R327" si="77">+R263*(1+M264)</f>
        <v>210.54884952576577</v>
      </c>
      <c r="T264" s="11">
        <f t="shared" si="69"/>
        <v>0.9004914728893082</v>
      </c>
      <c r="V264" s="9">
        <v>40529</v>
      </c>
      <c r="W264">
        <v>10103.6</v>
      </c>
      <c r="X264">
        <v>11674.9521</v>
      </c>
      <c r="Y264" t="s">
        <v>33</v>
      </c>
      <c r="AC264" s="24">
        <f t="shared" ref="AC264:AC327" si="78">+SUMPRODUCT(I264:L264,W263:Z263)/SUM(W263:AA263)</f>
        <v>7.3550527513329203E-2</v>
      </c>
      <c r="AE264" s="5">
        <f t="shared" ref="AE264:AE327" si="79">+AE263*(1+AC264)</f>
        <v>163.49301687319263</v>
      </c>
      <c r="AF264" s="6">
        <f t="shared" ref="AF264:AF327" si="80">+AF263*(1+M264)</f>
        <v>210.54884952576577</v>
      </c>
      <c r="AH264" s="1">
        <f t="shared" si="70"/>
        <v>40529</v>
      </c>
      <c r="AI264">
        <f t="shared" si="74"/>
        <v>0.77650871634511243</v>
      </c>
      <c r="AJ264">
        <f t="shared" ca="1" si="64"/>
        <v>0.75572946502440363</v>
      </c>
      <c r="AK264">
        <f t="shared" ca="1" si="65"/>
        <v>0.79214303843733236</v>
      </c>
      <c r="AL264">
        <f t="shared" ca="1" si="66"/>
        <v>0.81620605538394153</v>
      </c>
      <c r="AM264">
        <f t="shared" ca="1" si="67"/>
        <v>0.87228143709396178</v>
      </c>
      <c r="AN264">
        <f t="shared" ca="1" si="68"/>
        <v>0.88867633792576439</v>
      </c>
      <c r="AP264" s="40"/>
      <c r="AQ264" s="41"/>
    </row>
    <row r="265" spans="2:43" x14ac:dyDescent="0.25">
      <c r="B265" s="1">
        <v>40536</v>
      </c>
      <c r="C265">
        <v>2.4060000000000001</v>
      </c>
      <c r="D265">
        <v>1.2450000000000001</v>
      </c>
      <c r="E265" t="s">
        <v>33</v>
      </c>
      <c r="G265">
        <v>3476.42</v>
      </c>
      <c r="I265" s="14">
        <f t="shared" si="71"/>
        <v>2.1222410865874508E-2</v>
      </c>
      <c r="J265" s="15">
        <f t="shared" si="72"/>
        <v>3.2338308457711573E-2</v>
      </c>
      <c r="K265" s="15"/>
      <c r="L265" s="15"/>
      <c r="M265" s="16">
        <f t="shared" si="73"/>
        <v>2.1551065505365674E-2</v>
      </c>
      <c r="O265" s="13">
        <f t="shared" si="75"/>
        <v>2.6780359661793041E-2</v>
      </c>
      <c r="Q265" s="5">
        <f t="shared" si="76"/>
        <v>194.67493135582961</v>
      </c>
      <c r="R265" s="6">
        <f t="shared" si="77"/>
        <v>215.08640157397494</v>
      </c>
      <c r="T265" s="11">
        <f t="shared" si="69"/>
        <v>0.90510106604240537</v>
      </c>
      <c r="V265" s="9">
        <v>40536</v>
      </c>
      <c r="W265">
        <v>10317.33</v>
      </c>
      <c r="X265">
        <v>12057.1677</v>
      </c>
      <c r="Y265" t="s">
        <v>33</v>
      </c>
      <c r="AC265" s="24">
        <f t="shared" si="78"/>
        <v>2.7181373212742513E-2</v>
      </c>
      <c r="AE265" s="5">
        <f t="shared" si="79"/>
        <v>167.9369815825001</v>
      </c>
      <c r="AF265" s="6">
        <f t="shared" si="80"/>
        <v>215.08640157397494</v>
      </c>
      <c r="AH265" s="1">
        <f t="shared" si="70"/>
        <v>40536</v>
      </c>
      <c r="AI265">
        <f t="shared" si="74"/>
        <v>0.78078846618641917</v>
      </c>
      <c r="AJ265">
        <f t="shared" ca="1" si="64"/>
        <v>0.76376679467931918</v>
      </c>
      <c r="AK265">
        <f t="shared" ca="1" si="65"/>
        <v>0.79214303843733236</v>
      </c>
      <c r="AL265">
        <f t="shared" ca="1" si="66"/>
        <v>0.81620605538394153</v>
      </c>
      <c r="AM265">
        <f t="shared" ca="1" si="67"/>
        <v>0.87228143709396178</v>
      </c>
      <c r="AN265">
        <f t="shared" ca="1" si="68"/>
        <v>0.88867633792576439</v>
      </c>
      <c r="AP265" s="40"/>
      <c r="AQ265" s="41"/>
    </row>
    <row r="266" spans="2:43" x14ac:dyDescent="0.25">
      <c r="B266" s="1">
        <v>40543</v>
      </c>
      <c r="C266">
        <v>2.48</v>
      </c>
      <c r="D266">
        <v>1.2529999999999999</v>
      </c>
      <c r="E266" t="s">
        <v>33</v>
      </c>
      <c r="G266">
        <v>3523.59</v>
      </c>
      <c r="I266" s="14">
        <f t="shared" si="71"/>
        <v>3.0756442227763747E-2</v>
      </c>
      <c r="J266" s="15">
        <f t="shared" si="72"/>
        <v>6.4257028112448822E-3</v>
      </c>
      <c r="K266" s="15"/>
      <c r="L266" s="15"/>
      <c r="M266" s="16">
        <f t="shared" si="73"/>
        <v>1.3568556158346734E-2</v>
      </c>
      <c r="O266" s="13">
        <f t="shared" si="75"/>
        <v>1.8591072519504315E-2</v>
      </c>
      <c r="Q266" s="5">
        <f t="shared" si="76"/>
        <v>198.2941471223954</v>
      </c>
      <c r="R266" s="6">
        <f t="shared" si="77"/>
        <v>218.00481349262813</v>
      </c>
      <c r="T266" s="11">
        <f t="shared" si="69"/>
        <v>0.90958609557995262</v>
      </c>
      <c r="V266" s="9">
        <v>40543</v>
      </c>
      <c r="W266">
        <v>10608.78</v>
      </c>
      <c r="X266">
        <v>12126.6615</v>
      </c>
      <c r="Y266" t="s">
        <v>33</v>
      </c>
      <c r="AC266" s="24">
        <f t="shared" si="78"/>
        <v>1.7645095133255875E-2</v>
      </c>
      <c r="AE266" s="5">
        <f t="shared" si="79"/>
        <v>170.90024559891515</v>
      </c>
      <c r="AF266" s="6">
        <f t="shared" si="80"/>
        <v>218.00481349262813</v>
      </c>
      <c r="AH266" s="1">
        <f t="shared" si="70"/>
        <v>40543</v>
      </c>
      <c r="AI266">
        <f t="shared" si="74"/>
        <v>0.78392877139244521</v>
      </c>
      <c r="AJ266">
        <f t="shared" ca="1" si="64"/>
        <v>0.775917249352853</v>
      </c>
      <c r="AK266">
        <f t="shared" ca="1" si="65"/>
        <v>0.79214303843733236</v>
      </c>
      <c r="AL266">
        <f t="shared" ca="1" si="66"/>
        <v>0.81620605538394153</v>
      </c>
      <c r="AM266">
        <f t="shared" ca="1" si="67"/>
        <v>0.87228143709396178</v>
      </c>
      <c r="AN266">
        <f t="shared" ca="1" si="68"/>
        <v>0.88867633792576439</v>
      </c>
      <c r="AP266" s="40"/>
      <c r="AQ266" s="41"/>
    </row>
    <row r="267" spans="2:43" x14ac:dyDescent="0.25">
      <c r="B267" s="1">
        <v>40550</v>
      </c>
      <c r="C267">
        <v>2.7250000000000001</v>
      </c>
      <c r="D267">
        <v>1.2529999999999999</v>
      </c>
      <c r="E267" t="s">
        <v>33</v>
      </c>
      <c r="G267">
        <v>3546.26</v>
      </c>
      <c r="I267" s="14">
        <f t="shared" si="71"/>
        <v>9.879032258064524E-2</v>
      </c>
      <c r="J267" s="15">
        <f t="shared" si="72"/>
        <v>0</v>
      </c>
      <c r="K267" s="15"/>
      <c r="L267" s="15"/>
      <c r="M267" s="16">
        <f t="shared" si="73"/>
        <v>6.4337791854329751E-3</v>
      </c>
      <c r="O267" s="13">
        <f t="shared" si="75"/>
        <v>4.939516129032262E-2</v>
      </c>
      <c r="Q267" s="5">
        <f t="shared" si="76"/>
        <v>208.08891850243307</v>
      </c>
      <c r="R267" s="6">
        <f t="shared" si="77"/>
        <v>219.40740832400121</v>
      </c>
      <c r="T267" s="11">
        <f t="shared" si="69"/>
        <v>0.94841336530964349</v>
      </c>
      <c r="V267" s="9">
        <v>40550</v>
      </c>
      <c r="W267">
        <v>11658</v>
      </c>
      <c r="X267">
        <v>12126.6615</v>
      </c>
      <c r="Y267" t="s">
        <v>33</v>
      </c>
      <c r="AC267" s="24">
        <f t="shared" si="78"/>
        <v>4.6097402524032695E-2</v>
      </c>
      <c r="AE267" s="5">
        <f t="shared" si="79"/>
        <v>178.77830301174438</v>
      </c>
      <c r="AF267" s="6">
        <f t="shared" si="80"/>
        <v>219.40740832400121</v>
      </c>
      <c r="AH267" s="1">
        <f t="shared" si="70"/>
        <v>40550</v>
      </c>
      <c r="AI267">
        <f t="shared" si="74"/>
        <v>0.81482345731799799</v>
      </c>
      <c r="AJ267">
        <f t="shared" ca="1" si="64"/>
        <v>0.775917249352853</v>
      </c>
      <c r="AK267">
        <f t="shared" ca="1" si="65"/>
        <v>0.78721786208022304</v>
      </c>
      <c r="AL267">
        <f t="shared" ca="1" si="66"/>
        <v>0.81597804748214331</v>
      </c>
      <c r="AM267">
        <f t="shared" ca="1" si="67"/>
        <v>0.87228143709396178</v>
      </c>
      <c r="AN267">
        <f t="shared" ca="1" si="68"/>
        <v>0.88867633792576439</v>
      </c>
      <c r="AP267" s="40"/>
      <c r="AQ267" s="41"/>
    </row>
    <row r="268" spans="2:43" x14ac:dyDescent="0.25">
      <c r="B268" s="1">
        <v>40557</v>
      </c>
      <c r="C268">
        <v>2.7290000000000001</v>
      </c>
      <c r="D268">
        <v>1.242</v>
      </c>
      <c r="E268" t="s">
        <v>33</v>
      </c>
      <c r="G268">
        <v>3539.06</v>
      </c>
      <c r="I268" s="14">
        <f t="shared" si="71"/>
        <v>1.4678899082569696E-3</v>
      </c>
      <c r="J268" s="15">
        <f t="shared" si="72"/>
        <v>-8.7789305666400308E-3</v>
      </c>
      <c r="K268" s="15"/>
      <c r="L268" s="15"/>
      <c r="M268" s="16">
        <f t="shared" si="73"/>
        <v>-2.0303079864421036E-3</v>
      </c>
      <c r="O268" s="13">
        <f t="shared" si="75"/>
        <v>-3.6555203291915306E-3</v>
      </c>
      <c r="Q268" s="5">
        <f t="shared" si="76"/>
        <v>207.32824523056797</v>
      </c>
      <c r="R268" s="6">
        <f t="shared" si="77"/>
        <v>218.96194371059642</v>
      </c>
      <c r="T268" s="11">
        <f t="shared" si="69"/>
        <v>0.94686885637348572</v>
      </c>
      <c r="V268" s="9">
        <v>40557</v>
      </c>
      <c r="W268">
        <v>11677.43</v>
      </c>
      <c r="X268">
        <v>12022.420899999999</v>
      </c>
      <c r="Y268" t="s">
        <v>33</v>
      </c>
      <c r="AC268" s="24">
        <f t="shared" si="78"/>
        <v>-3.7564738418996249E-3</v>
      </c>
      <c r="AE268" s="5">
        <f t="shared" si="79"/>
        <v>178.10672699298158</v>
      </c>
      <c r="AF268" s="6">
        <f t="shared" si="80"/>
        <v>218.96194371059642</v>
      </c>
      <c r="AH268" s="1">
        <f t="shared" si="70"/>
        <v>40557</v>
      </c>
      <c r="AI268">
        <f t="shared" si="74"/>
        <v>0.81341407540840305</v>
      </c>
      <c r="AJ268">
        <f t="shared" ca="1" si="64"/>
        <v>0.775917249352853</v>
      </c>
      <c r="AK268">
        <f t="shared" ca="1" si="65"/>
        <v>0.78721786208022304</v>
      </c>
      <c r="AL268">
        <f t="shared" ca="1" si="66"/>
        <v>0.81675104754405004</v>
      </c>
      <c r="AM268">
        <f t="shared" ca="1" si="67"/>
        <v>0.87228143709396178</v>
      </c>
      <c r="AN268">
        <f t="shared" ca="1" si="68"/>
        <v>0.88867633792576439</v>
      </c>
      <c r="AP268" s="40"/>
      <c r="AQ268" s="41"/>
    </row>
    <row r="269" spans="2:43" x14ac:dyDescent="0.25">
      <c r="B269" s="1">
        <v>40564</v>
      </c>
      <c r="C269">
        <v>2.702</v>
      </c>
      <c r="D269">
        <v>1.2170000000000001</v>
      </c>
      <c r="E269" t="s">
        <v>33</v>
      </c>
      <c r="G269">
        <v>3648.26</v>
      </c>
      <c r="I269" s="14">
        <f t="shared" si="71"/>
        <v>-9.8937339684866954E-3</v>
      </c>
      <c r="J269" s="15">
        <f t="shared" si="72"/>
        <v>-2.0128824476650542E-2</v>
      </c>
      <c r="K269" s="15"/>
      <c r="L269" s="15"/>
      <c r="M269" s="16">
        <f t="shared" si="73"/>
        <v>3.0855650935559309E-2</v>
      </c>
      <c r="O269" s="13">
        <f t="shared" si="75"/>
        <v>-1.5011279222568619E-2</v>
      </c>
      <c r="Q269" s="5">
        <f t="shared" si="76"/>
        <v>204.21598305068673</v>
      </c>
      <c r="R269" s="6">
        <f t="shared" si="77"/>
        <v>225.71815701390216</v>
      </c>
      <c r="T269" s="11">
        <f t="shared" si="69"/>
        <v>0.90473883781582054</v>
      </c>
      <c r="V269" s="9">
        <v>40564</v>
      </c>
      <c r="W269">
        <v>11560.85</v>
      </c>
      <c r="X269">
        <v>11779.1927</v>
      </c>
      <c r="Y269" t="s">
        <v>33</v>
      </c>
      <c r="AC269" s="24">
        <f t="shared" si="78"/>
        <v>-1.5085773638185236E-2</v>
      </c>
      <c r="AE269" s="5">
        <f t="shared" si="79"/>
        <v>175.41984922612741</v>
      </c>
      <c r="AF269" s="6">
        <f t="shared" si="80"/>
        <v>225.71815701390216</v>
      </c>
      <c r="AH269" s="1">
        <f t="shared" si="70"/>
        <v>40564</v>
      </c>
      <c r="AI269">
        <f t="shared" si="74"/>
        <v>0.77716321782355846</v>
      </c>
      <c r="AJ269">
        <f t="shared" ca="1" si="64"/>
        <v>0.775917249352853</v>
      </c>
      <c r="AK269">
        <f t="shared" ca="1" si="65"/>
        <v>0.79214303843733236</v>
      </c>
      <c r="AL269">
        <f t="shared" ca="1" si="66"/>
        <v>0.81675104754405004</v>
      </c>
      <c r="AM269">
        <f t="shared" ca="1" si="67"/>
        <v>0.87228143709396178</v>
      </c>
      <c r="AN269">
        <f t="shared" ca="1" si="68"/>
        <v>0.88867633792576439</v>
      </c>
      <c r="AP269" s="40"/>
      <c r="AQ269" s="41"/>
    </row>
    <row r="270" spans="2:43" x14ac:dyDescent="0.25">
      <c r="B270" s="1">
        <v>40571</v>
      </c>
      <c r="C270">
        <v>2.698</v>
      </c>
      <c r="D270">
        <v>1.202</v>
      </c>
      <c r="E270" t="s">
        <v>33</v>
      </c>
      <c r="G270">
        <v>3583.11</v>
      </c>
      <c r="I270" s="14">
        <f t="shared" si="71"/>
        <v>-1.4803849000740721E-3</v>
      </c>
      <c r="J270" s="15">
        <f t="shared" si="72"/>
        <v>-1.2325390304026351E-2</v>
      </c>
      <c r="K270" s="15"/>
      <c r="L270" s="15"/>
      <c r="M270" s="16">
        <f t="shared" si="73"/>
        <v>-1.7857828115320773E-2</v>
      </c>
      <c r="O270" s="13">
        <f t="shared" si="75"/>
        <v>-6.9028876020502117E-3</v>
      </c>
      <c r="Q270" s="5">
        <f t="shared" si="76"/>
        <v>202.80630307314564</v>
      </c>
      <c r="R270" s="6">
        <f t="shared" si="77"/>
        <v>221.6873209634409</v>
      </c>
      <c r="T270" s="11">
        <f t="shared" si="69"/>
        <v>0.91483041155335632</v>
      </c>
      <c r="V270" s="9">
        <v>40571</v>
      </c>
      <c r="W270">
        <v>11541.42</v>
      </c>
      <c r="X270">
        <v>11640.2052</v>
      </c>
      <c r="Y270" t="s">
        <v>33</v>
      </c>
      <c r="AC270" s="24">
        <f t="shared" si="78"/>
        <v>-6.9536143250440293E-3</v>
      </c>
      <c r="AE270" s="5">
        <f t="shared" si="79"/>
        <v>174.20004724965153</v>
      </c>
      <c r="AF270" s="6">
        <f t="shared" si="80"/>
        <v>221.6873209634409</v>
      </c>
      <c r="AH270" s="1">
        <f t="shared" si="70"/>
        <v>40571</v>
      </c>
      <c r="AI270">
        <f t="shared" si="74"/>
        <v>0.78579165688225971</v>
      </c>
      <c r="AJ270">
        <f t="shared" ca="1" si="64"/>
        <v>0.775917249352853</v>
      </c>
      <c r="AK270">
        <f t="shared" ca="1" si="65"/>
        <v>0.78721786208022304</v>
      </c>
      <c r="AL270">
        <f t="shared" ca="1" si="66"/>
        <v>0.81675104754405004</v>
      </c>
      <c r="AM270">
        <f t="shared" ca="1" si="67"/>
        <v>0.87228143709396178</v>
      </c>
      <c r="AN270">
        <f t="shared" ca="1" si="68"/>
        <v>0.88867633792576439</v>
      </c>
      <c r="AP270" s="40"/>
      <c r="AQ270" s="41"/>
    </row>
    <row r="271" spans="2:43" x14ac:dyDescent="0.25">
      <c r="B271" s="1">
        <v>40578</v>
      </c>
      <c r="C271">
        <v>2.7610000000000001</v>
      </c>
      <c r="D271">
        <v>1.218</v>
      </c>
      <c r="E271" t="s">
        <v>33</v>
      </c>
      <c r="G271">
        <v>3631.22</v>
      </c>
      <c r="I271" s="14">
        <f t="shared" si="71"/>
        <v>2.335063009636773E-2</v>
      </c>
      <c r="J271" s="15">
        <f t="shared" si="72"/>
        <v>1.3311148086522451E-2</v>
      </c>
      <c r="K271" s="15"/>
      <c r="L271" s="15"/>
      <c r="M271" s="16">
        <f t="shared" si="73"/>
        <v>1.3426883349938912E-2</v>
      </c>
      <c r="O271" s="13">
        <f t="shared" si="75"/>
        <v>1.8330889091445091E-2</v>
      </c>
      <c r="Q271" s="5">
        <f t="shared" si="76"/>
        <v>206.52392292182549</v>
      </c>
      <c r="R271" s="6">
        <f t="shared" si="77"/>
        <v>224.66389076217749</v>
      </c>
      <c r="T271" s="11">
        <f t="shared" si="69"/>
        <v>0.9192573057521094</v>
      </c>
      <c r="V271" s="9">
        <v>40578</v>
      </c>
      <c r="W271">
        <v>11813.44</v>
      </c>
      <c r="X271">
        <v>11796.5661</v>
      </c>
      <c r="Y271" t="s">
        <v>33</v>
      </c>
      <c r="AC271" s="24">
        <f t="shared" si="78"/>
        <v>1.8309498178821784E-2</v>
      </c>
      <c r="AE271" s="5">
        <f t="shared" si="79"/>
        <v>177.38956269751972</v>
      </c>
      <c r="AF271" s="6">
        <f t="shared" si="80"/>
        <v>224.66389076217749</v>
      </c>
      <c r="AH271" s="1">
        <f t="shared" si="70"/>
        <v>40578</v>
      </c>
      <c r="AI271">
        <f t="shared" si="74"/>
        <v>0.78957754223752419</v>
      </c>
      <c r="AJ271">
        <f t="shared" ca="1" si="64"/>
        <v>0.775917249352853</v>
      </c>
      <c r="AK271">
        <f t="shared" ca="1" si="65"/>
        <v>0.78653797908655898</v>
      </c>
      <c r="AL271">
        <f t="shared" ca="1" si="66"/>
        <v>0.81675104754405004</v>
      </c>
      <c r="AM271">
        <f t="shared" ca="1" si="67"/>
        <v>0.87228143709396178</v>
      </c>
      <c r="AN271">
        <f t="shared" ca="1" si="68"/>
        <v>0.88867633792576439</v>
      </c>
      <c r="AP271" s="40"/>
      <c r="AQ271" s="41"/>
    </row>
    <row r="272" spans="2:43" x14ac:dyDescent="0.25">
      <c r="B272" s="1">
        <v>40585</v>
      </c>
      <c r="C272">
        <v>2.5750000000000002</v>
      </c>
      <c r="D272">
        <v>1.1299999999999999</v>
      </c>
      <c r="E272" t="s">
        <v>33</v>
      </c>
      <c r="G272">
        <v>3460.04</v>
      </c>
      <c r="I272" s="14">
        <f t="shared" si="71"/>
        <v>-6.7366896052154956E-2</v>
      </c>
      <c r="J272" s="15">
        <f t="shared" si="72"/>
        <v>-7.2249589490968824E-2</v>
      </c>
      <c r="K272" s="15"/>
      <c r="L272" s="15"/>
      <c r="M272" s="16">
        <f t="shared" si="73"/>
        <v>-4.7141181200808457E-2</v>
      </c>
      <c r="O272" s="13">
        <f t="shared" si="75"/>
        <v>-6.980824277156189E-2</v>
      </c>
      <c r="Q272" s="5">
        <f t="shared" si="76"/>
        <v>192.10685077236337</v>
      </c>
      <c r="R272" s="6">
        <f t="shared" si="77"/>
        <v>214.07296957847905</v>
      </c>
      <c r="T272" s="11">
        <f t="shared" si="69"/>
        <v>0.89738957305367362</v>
      </c>
      <c r="V272" s="9">
        <v>40585</v>
      </c>
      <c r="W272">
        <v>11016.81</v>
      </c>
      <c r="X272">
        <v>10945.2675</v>
      </c>
      <c r="Y272" t="s">
        <v>33</v>
      </c>
      <c r="AC272" s="24">
        <f t="shared" si="78"/>
        <v>-6.9806497958780647E-2</v>
      </c>
      <c r="AE272" s="5">
        <f t="shared" si="79"/>
        <v>165.00661855116633</v>
      </c>
      <c r="AF272" s="6">
        <f t="shared" si="80"/>
        <v>214.07296957847905</v>
      </c>
      <c r="AH272" s="1">
        <f t="shared" si="70"/>
        <v>40585</v>
      </c>
      <c r="AI272">
        <f t="shared" si="74"/>
        <v>0.77079613963441085</v>
      </c>
      <c r="AJ272">
        <f t="shared" ca="1" si="64"/>
        <v>0.775917249352853</v>
      </c>
      <c r="AK272">
        <f t="shared" ca="1" si="65"/>
        <v>0.78653797908655898</v>
      </c>
      <c r="AL272">
        <f t="shared" ca="1" si="66"/>
        <v>0.81675104754405004</v>
      </c>
      <c r="AM272">
        <f t="shared" ca="1" si="67"/>
        <v>0.87228143709396178</v>
      </c>
      <c r="AN272">
        <f t="shared" ca="1" si="68"/>
        <v>0.88867633792576439</v>
      </c>
      <c r="AP272" s="40"/>
      <c r="AQ272" s="41"/>
    </row>
    <row r="273" spans="2:43" x14ac:dyDescent="0.25">
      <c r="B273" s="1">
        <v>40592</v>
      </c>
      <c r="C273">
        <v>2.6819999999999999</v>
      </c>
      <c r="D273">
        <v>1.1719999999999999</v>
      </c>
      <c r="E273" t="s">
        <v>33</v>
      </c>
      <c r="G273">
        <v>3537.06</v>
      </c>
      <c r="I273" s="14">
        <f t="shared" si="71"/>
        <v>4.1553398058252311E-2</v>
      </c>
      <c r="J273" s="15">
        <f t="shared" si="72"/>
        <v>3.7168141592920367E-2</v>
      </c>
      <c r="K273" s="15"/>
      <c r="L273" s="15"/>
      <c r="M273" s="16">
        <f t="shared" si="73"/>
        <v>2.2259858267534405E-2</v>
      </c>
      <c r="O273" s="13">
        <f t="shared" si="75"/>
        <v>3.9360769825586339E-2</v>
      </c>
      <c r="Q273" s="5">
        <f t="shared" si="76"/>
        <v>199.6683243075326</v>
      </c>
      <c r="R273" s="6">
        <f t="shared" si="77"/>
        <v>218.83820354020619</v>
      </c>
      <c r="T273" s="11">
        <f t="shared" si="69"/>
        <v>0.91240158746253097</v>
      </c>
      <c r="V273" s="9">
        <v>40592</v>
      </c>
      <c r="W273">
        <v>11308.26</v>
      </c>
      <c r="X273">
        <v>11344.8567</v>
      </c>
      <c r="Y273" t="s">
        <v>33</v>
      </c>
      <c r="AC273" s="24">
        <f t="shared" si="78"/>
        <v>3.9367912415140337E-2</v>
      </c>
      <c r="AE273" s="5">
        <f t="shared" si="79"/>
        <v>171.5025846582071</v>
      </c>
      <c r="AF273" s="6">
        <f t="shared" si="80"/>
        <v>218.83820354020619</v>
      </c>
      <c r="AH273" s="1">
        <f t="shared" si="70"/>
        <v>40592</v>
      </c>
      <c r="AI273">
        <f t="shared" si="74"/>
        <v>0.783695816743888</v>
      </c>
      <c r="AJ273">
        <f t="shared" ca="1" si="64"/>
        <v>0.77130167875078548</v>
      </c>
      <c r="AK273">
        <f t="shared" ca="1" si="65"/>
        <v>0.78532593550980612</v>
      </c>
      <c r="AL273">
        <f t="shared" ca="1" si="66"/>
        <v>0.81675104754405004</v>
      </c>
      <c r="AM273">
        <f t="shared" ca="1" si="67"/>
        <v>0.87228143709396178</v>
      </c>
      <c r="AN273">
        <f t="shared" ca="1" si="68"/>
        <v>0.88867633792576439</v>
      </c>
      <c r="AP273" s="40"/>
      <c r="AQ273" s="41"/>
    </row>
    <row r="274" spans="2:43" x14ac:dyDescent="0.25">
      <c r="B274" s="1">
        <v>40599</v>
      </c>
      <c r="C274">
        <v>2.589</v>
      </c>
      <c r="D274">
        <v>1.113</v>
      </c>
      <c r="E274" t="s">
        <v>33</v>
      </c>
      <c r="G274">
        <v>3435.44</v>
      </c>
      <c r="I274" s="14">
        <f t="shared" si="71"/>
        <v>-3.4675615212527933E-2</v>
      </c>
      <c r="J274" s="15">
        <f t="shared" si="72"/>
        <v>-5.0341296928327561E-2</v>
      </c>
      <c r="K274" s="15"/>
      <c r="L274" s="15"/>
      <c r="M274" s="16">
        <f t="shared" si="73"/>
        <v>-2.8730075260244403E-2</v>
      </c>
      <c r="O274" s="13">
        <f t="shared" si="75"/>
        <v>-4.2508456070427747E-2</v>
      </c>
      <c r="Q274" s="5">
        <f t="shared" si="76"/>
        <v>191.18073211504992</v>
      </c>
      <c r="R274" s="6">
        <f t="shared" si="77"/>
        <v>212.55096548267937</v>
      </c>
      <c r="T274" s="11">
        <f t="shared" si="69"/>
        <v>0.8994583095913018</v>
      </c>
      <c r="V274" s="9">
        <v>40599</v>
      </c>
      <c r="W274">
        <v>10919.66</v>
      </c>
      <c r="X274">
        <v>10771.533100000001</v>
      </c>
      <c r="Y274" t="s">
        <v>33</v>
      </c>
      <c r="AC274" s="24">
        <f t="shared" si="78"/>
        <v>-4.2521110228829907E-2</v>
      </c>
      <c r="AE274" s="5">
        <f t="shared" si="79"/>
        <v>164.21010435142625</v>
      </c>
      <c r="AF274" s="6">
        <f t="shared" si="80"/>
        <v>212.55096548267937</v>
      </c>
      <c r="AH274" s="1">
        <f t="shared" si="70"/>
        <v>40599</v>
      </c>
      <c r="AI274">
        <f t="shared" si="74"/>
        <v>0.77256814137975582</v>
      </c>
      <c r="AJ274">
        <f t="shared" ca="1" si="64"/>
        <v>0.775917249352853</v>
      </c>
      <c r="AK274">
        <f t="shared" ca="1" si="65"/>
        <v>0.78532593550980612</v>
      </c>
      <c r="AL274">
        <f t="shared" ca="1" si="66"/>
        <v>0.81675104754405004</v>
      </c>
      <c r="AM274">
        <f t="shared" ca="1" si="67"/>
        <v>0.87228143709396178</v>
      </c>
      <c r="AN274">
        <f t="shared" ca="1" si="68"/>
        <v>0.88867633792576439</v>
      </c>
      <c r="AP274" s="40"/>
      <c r="AQ274" s="41"/>
    </row>
    <row r="275" spans="2:43" x14ac:dyDescent="0.25">
      <c r="B275" s="1">
        <v>40606</v>
      </c>
      <c r="C275">
        <v>2.6349999999999998</v>
      </c>
      <c r="D275">
        <v>1.1539999999999999</v>
      </c>
      <c r="E275" t="s">
        <v>33</v>
      </c>
      <c r="G275">
        <v>3467.72</v>
      </c>
      <c r="I275" s="14">
        <f t="shared" si="71"/>
        <v>1.7767477790652686E-2</v>
      </c>
      <c r="J275" s="15">
        <f t="shared" si="72"/>
        <v>3.6837376460017834E-2</v>
      </c>
      <c r="K275" s="15"/>
      <c r="L275" s="15"/>
      <c r="M275" s="16">
        <f t="shared" si="73"/>
        <v>9.3961763267587095E-3</v>
      </c>
      <c r="O275" s="13">
        <f t="shared" si="75"/>
        <v>2.730242712533526E-2</v>
      </c>
      <c r="Q275" s="5">
        <f t="shared" si="76"/>
        <v>196.40043012138932</v>
      </c>
      <c r="R275" s="6">
        <f t="shared" si="77"/>
        <v>214.54813183277744</v>
      </c>
      <c r="T275" s="11">
        <f t="shared" si="69"/>
        <v>0.91541431026986164</v>
      </c>
      <c r="V275" s="9">
        <v>40606</v>
      </c>
      <c r="W275">
        <v>11113.96</v>
      </c>
      <c r="X275">
        <v>11171.122300000001</v>
      </c>
      <c r="Y275" t="s">
        <v>33</v>
      </c>
      <c r="AC275" s="24">
        <f t="shared" si="78"/>
        <v>2.7237313948752846E-2</v>
      </c>
      <c r="AE275" s="5">
        <f t="shared" si="79"/>
        <v>168.68274651720353</v>
      </c>
      <c r="AF275" s="6">
        <f t="shared" si="80"/>
        <v>214.54813183277744</v>
      </c>
      <c r="AH275" s="1">
        <f t="shared" si="70"/>
        <v>40606</v>
      </c>
      <c r="AI275">
        <f t="shared" si="74"/>
        <v>0.7862233293584574</v>
      </c>
      <c r="AJ275">
        <f t="shared" ca="1" si="64"/>
        <v>0.77289648032159597</v>
      </c>
      <c r="AK275">
        <f t="shared" ca="1" si="65"/>
        <v>0.78387053273030594</v>
      </c>
      <c r="AL275">
        <f t="shared" ca="1" si="66"/>
        <v>0.81675104754405004</v>
      </c>
      <c r="AM275">
        <f t="shared" ca="1" si="67"/>
        <v>0.87228143709396178</v>
      </c>
      <c r="AN275">
        <f t="shared" ca="1" si="68"/>
        <v>0.88867633792576439</v>
      </c>
      <c r="AP275" s="40"/>
      <c r="AQ275" s="41"/>
    </row>
    <row r="276" spans="2:43" x14ac:dyDescent="0.25">
      <c r="B276" s="1">
        <v>40613</v>
      </c>
      <c r="C276">
        <v>2.5939999999999999</v>
      </c>
      <c r="D276">
        <v>1.113</v>
      </c>
      <c r="E276" t="s">
        <v>33</v>
      </c>
      <c r="G276">
        <v>3403.51</v>
      </c>
      <c r="I276" s="14">
        <f t="shared" si="71"/>
        <v>-1.5559772296015129E-2</v>
      </c>
      <c r="J276" s="15">
        <f t="shared" si="72"/>
        <v>-3.5528596187174966E-2</v>
      </c>
      <c r="K276" s="15"/>
      <c r="L276" s="15"/>
      <c r="M276" s="16">
        <f t="shared" si="73"/>
        <v>-1.851648922058291E-2</v>
      </c>
      <c r="O276" s="13">
        <f t="shared" si="75"/>
        <v>-2.5544184241595047E-2</v>
      </c>
      <c r="Q276" s="5">
        <f t="shared" si="76"/>
        <v>191.38354134924003</v>
      </c>
      <c r="R276" s="6">
        <f t="shared" si="77"/>
        <v>210.57545366239961</v>
      </c>
      <c r="T276" s="11">
        <f t="shared" si="69"/>
        <v>0.90885968910731363</v>
      </c>
      <c r="V276" s="9">
        <v>40613</v>
      </c>
      <c r="W276">
        <v>10939.09</v>
      </c>
      <c r="X276">
        <v>10771.533100000001</v>
      </c>
      <c r="Y276" t="s">
        <v>33</v>
      </c>
      <c r="AC276" s="24">
        <f t="shared" si="78"/>
        <v>-2.5569794734896064E-2</v>
      </c>
      <c r="AE276" s="5">
        <f t="shared" si="79"/>
        <v>164.36956331344012</v>
      </c>
      <c r="AF276" s="6">
        <f t="shared" si="80"/>
        <v>210.57545366239961</v>
      </c>
      <c r="AH276" s="1">
        <f t="shared" si="70"/>
        <v>40613</v>
      </c>
      <c r="AI276">
        <f t="shared" si="74"/>
        <v>0.78057323612353202</v>
      </c>
      <c r="AJ276">
        <f t="shared" ca="1" si="64"/>
        <v>0.77289648032159597</v>
      </c>
      <c r="AK276">
        <f t="shared" ca="1" si="65"/>
        <v>0.78387053273030594</v>
      </c>
      <c r="AL276">
        <f t="shared" ca="1" si="66"/>
        <v>0.81675104754405004</v>
      </c>
      <c r="AM276">
        <f t="shared" ca="1" si="67"/>
        <v>0.87228143709396178</v>
      </c>
      <c r="AN276">
        <f t="shared" ca="1" si="68"/>
        <v>0.88867633792576439</v>
      </c>
      <c r="AP276" s="40"/>
      <c r="AQ276" s="41"/>
    </row>
    <row r="277" spans="2:43" x14ac:dyDescent="0.25">
      <c r="B277" s="1">
        <v>40620</v>
      </c>
      <c r="C277">
        <v>2.4510000000000001</v>
      </c>
      <c r="D277">
        <v>1.077</v>
      </c>
      <c r="E277" t="s">
        <v>33</v>
      </c>
      <c r="G277">
        <v>3277.87</v>
      </c>
      <c r="I277" s="14">
        <f t="shared" si="71"/>
        <v>-5.5127216653816369E-2</v>
      </c>
      <c r="J277" s="15">
        <f t="shared" si="72"/>
        <v>-3.2345013477088957E-2</v>
      </c>
      <c r="K277" s="15"/>
      <c r="L277" s="15"/>
      <c r="M277" s="16">
        <f t="shared" si="73"/>
        <v>-3.6914832041040069E-2</v>
      </c>
      <c r="O277" s="13">
        <f t="shared" si="75"/>
        <v>-4.3736115065452663E-2</v>
      </c>
      <c r="Q277" s="5">
        <f t="shared" si="76"/>
        <v>183.01316876315585</v>
      </c>
      <c r="R277" s="6">
        <f t="shared" si="77"/>
        <v>202.80209615848631</v>
      </c>
      <c r="T277" s="11">
        <f t="shared" si="69"/>
        <v>0.90242247111752849</v>
      </c>
      <c r="V277" s="9">
        <v>40620</v>
      </c>
      <c r="W277">
        <v>10336.76</v>
      </c>
      <c r="X277">
        <v>10424.0643</v>
      </c>
      <c r="Y277" t="s">
        <v>33</v>
      </c>
      <c r="AC277" s="24">
        <f t="shared" si="78"/>
        <v>-4.3824028602569488E-2</v>
      </c>
      <c r="AE277" s="5">
        <f t="shared" si="79"/>
        <v>157.16622686940008</v>
      </c>
      <c r="AF277" s="6">
        <f t="shared" si="80"/>
        <v>202.80209615848631</v>
      </c>
      <c r="AH277" s="1">
        <f t="shared" si="70"/>
        <v>40620</v>
      </c>
      <c r="AI277">
        <f t="shared" si="74"/>
        <v>0.77497338462703758</v>
      </c>
      <c r="AJ277">
        <f t="shared" ca="1" si="64"/>
        <v>0.77289648032159597</v>
      </c>
      <c r="AK277">
        <f t="shared" ca="1" si="65"/>
        <v>0.78328957598120552</v>
      </c>
      <c r="AL277">
        <f t="shared" ca="1" si="66"/>
        <v>0.81675104754405004</v>
      </c>
      <c r="AM277">
        <f t="shared" ca="1" si="67"/>
        <v>0.87228143709396178</v>
      </c>
      <c r="AN277">
        <f t="shared" ca="1" si="68"/>
        <v>0.88867633792576439</v>
      </c>
      <c r="AP277" s="40"/>
      <c r="AQ277" s="41"/>
    </row>
    <row r="278" spans="2:43" x14ac:dyDescent="0.25">
      <c r="B278" s="1">
        <v>40627</v>
      </c>
      <c r="C278">
        <v>2.4649999999999999</v>
      </c>
      <c r="D278">
        <v>1.077</v>
      </c>
      <c r="E278" t="s">
        <v>33</v>
      </c>
      <c r="G278">
        <v>3348.83</v>
      </c>
      <c r="I278" s="14">
        <f t="shared" si="71"/>
        <v>5.7119543043655518E-3</v>
      </c>
      <c r="J278" s="15">
        <f t="shared" si="72"/>
        <v>0</v>
      </c>
      <c r="K278" s="15"/>
      <c r="L278" s="15"/>
      <c r="M278" s="16">
        <f t="shared" si="73"/>
        <v>2.1648204474246979E-2</v>
      </c>
      <c r="O278" s="13">
        <f t="shared" si="75"/>
        <v>2.8559771521827759E-3</v>
      </c>
      <c r="Q278" s="5">
        <f t="shared" si="76"/>
        <v>183.53585019169199</v>
      </c>
      <c r="R278" s="6">
        <f t="shared" si="77"/>
        <v>207.19239740393112</v>
      </c>
      <c r="T278" s="11">
        <f t="shared" si="69"/>
        <v>0.88582328546486377</v>
      </c>
      <c r="V278" s="9">
        <v>40627</v>
      </c>
      <c r="W278">
        <v>10395.049999999999</v>
      </c>
      <c r="X278">
        <v>10424.0643</v>
      </c>
      <c r="Y278" t="s">
        <v>33</v>
      </c>
      <c r="AC278" s="24">
        <f t="shared" si="78"/>
        <v>2.8439670757771244E-3</v>
      </c>
      <c r="AE278" s="5">
        <f t="shared" si="79"/>
        <v>157.61320244404078</v>
      </c>
      <c r="AF278" s="6">
        <f t="shared" si="80"/>
        <v>207.19239740393112</v>
      </c>
      <c r="AH278" s="1">
        <f t="shared" si="70"/>
        <v>40627</v>
      </c>
      <c r="AI278">
        <f t="shared" si="74"/>
        <v>0.76070939097618806</v>
      </c>
      <c r="AJ278">
        <f t="shared" ca="1" si="64"/>
        <v>0.77280866570448403</v>
      </c>
      <c r="AK278">
        <f t="shared" ca="1" si="65"/>
        <v>0.78187916895746679</v>
      </c>
      <c r="AL278">
        <f t="shared" ca="1" si="66"/>
        <v>0.81675104754405004</v>
      </c>
      <c r="AM278">
        <f t="shared" ca="1" si="67"/>
        <v>0.87228143709396178</v>
      </c>
      <c r="AN278">
        <f t="shared" ca="1" si="68"/>
        <v>0.88867633792576439</v>
      </c>
      <c r="AP278" s="40"/>
      <c r="AQ278" s="41"/>
    </row>
    <row r="279" spans="2:43" x14ac:dyDescent="0.25">
      <c r="B279" s="1">
        <v>40634</v>
      </c>
      <c r="C279">
        <v>2.5710000000000002</v>
      </c>
      <c r="D279">
        <v>1.1000000000000001</v>
      </c>
      <c r="E279" t="s">
        <v>33</v>
      </c>
      <c r="G279">
        <v>3471.95</v>
      </c>
      <c r="I279" s="14">
        <f t="shared" si="71"/>
        <v>4.3002028397566061E-2</v>
      </c>
      <c r="J279" s="15">
        <f t="shared" si="72"/>
        <v>2.1355617455896203E-2</v>
      </c>
      <c r="K279" s="15"/>
      <c r="L279" s="15"/>
      <c r="M279" s="16">
        <f t="shared" si="73"/>
        <v>3.6765079147045299E-2</v>
      </c>
      <c r="O279" s="13">
        <f t="shared" si="75"/>
        <v>3.2178822926731132E-2</v>
      </c>
      <c r="Q279" s="5">
        <f t="shared" si="76"/>
        <v>189.44181781571751</v>
      </c>
      <c r="R279" s="6">
        <f t="shared" si="77"/>
        <v>214.80984229315271</v>
      </c>
      <c r="T279" s="11">
        <f t="shared" si="69"/>
        <v>0.88190473859752083</v>
      </c>
      <c r="V279" s="9">
        <v>40634</v>
      </c>
      <c r="W279">
        <v>10841.94</v>
      </c>
      <c r="X279">
        <v>10649.919099999999</v>
      </c>
      <c r="Y279" t="s">
        <v>33</v>
      </c>
      <c r="AC279" s="24">
        <f t="shared" si="78"/>
        <v>3.2163739300887714E-2</v>
      </c>
      <c r="AE279" s="5">
        <f t="shared" si="79"/>
        <v>162.68263239782897</v>
      </c>
      <c r="AF279" s="6">
        <f t="shared" si="80"/>
        <v>214.80984229315271</v>
      </c>
      <c r="AH279" s="1">
        <f t="shared" si="70"/>
        <v>40634</v>
      </c>
      <c r="AI279">
        <f t="shared" si="74"/>
        <v>0.75733323325015367</v>
      </c>
      <c r="AJ279">
        <f t="shared" ca="1" si="64"/>
        <v>0.77097333980894533</v>
      </c>
      <c r="AK279">
        <f t="shared" ca="1" si="65"/>
        <v>0.78117520260939888</v>
      </c>
      <c r="AL279">
        <f t="shared" ca="1" si="66"/>
        <v>0.81675104754405004</v>
      </c>
      <c r="AM279">
        <f t="shared" ca="1" si="67"/>
        <v>0.87228143709396178</v>
      </c>
      <c r="AN279">
        <f t="shared" ca="1" si="68"/>
        <v>0.88867633792576439</v>
      </c>
      <c r="AP279" s="40"/>
      <c r="AQ279" s="41"/>
    </row>
    <row r="280" spans="2:43" x14ac:dyDescent="0.25">
      <c r="B280" s="1">
        <v>40641</v>
      </c>
      <c r="C280">
        <v>2.5569999999999999</v>
      </c>
      <c r="D280">
        <v>1.089</v>
      </c>
      <c r="E280" t="s">
        <v>33</v>
      </c>
      <c r="G280">
        <v>3480.39</v>
      </c>
      <c r="I280" s="14">
        <f t="shared" si="71"/>
        <v>-5.445352003111692E-3</v>
      </c>
      <c r="J280" s="15">
        <f t="shared" si="72"/>
        <v>-1.000000000000012E-2</v>
      </c>
      <c r="K280" s="15"/>
      <c r="L280" s="15"/>
      <c r="M280" s="16">
        <f t="shared" si="73"/>
        <v>2.4309105833897338E-3</v>
      </c>
      <c r="O280" s="13">
        <f t="shared" si="75"/>
        <v>-7.7226760015559059E-3</v>
      </c>
      <c r="Q280" s="5">
        <f t="shared" si="76"/>
        <v>187.97882003558095</v>
      </c>
      <c r="R280" s="6">
        <f t="shared" si="77"/>
        <v>215.33202581219942</v>
      </c>
      <c r="T280" s="11">
        <f t="shared" si="69"/>
        <v>0.87297195726717214</v>
      </c>
      <c r="V280" s="9">
        <v>40641</v>
      </c>
      <c r="W280">
        <v>10783.65</v>
      </c>
      <c r="X280">
        <v>10545.678400000001</v>
      </c>
      <c r="Y280" t="s">
        <v>33</v>
      </c>
      <c r="AC280" s="24">
        <f t="shared" si="78"/>
        <v>-7.7023290505667807E-3</v>
      </c>
      <c r="AE280" s="5">
        <f t="shared" si="79"/>
        <v>161.4295972322885</v>
      </c>
      <c r="AF280" s="6">
        <f t="shared" si="80"/>
        <v>215.33202581219942</v>
      </c>
      <c r="AH280" s="1">
        <f t="shared" si="70"/>
        <v>40641</v>
      </c>
      <c r="AI280">
        <f t="shared" si="74"/>
        <v>0.74967760426439478</v>
      </c>
      <c r="AJ280">
        <f t="shared" ca="1" si="64"/>
        <v>0.76171806584201029</v>
      </c>
      <c r="AK280">
        <f t="shared" ca="1" si="65"/>
        <v>0.78073465867069736</v>
      </c>
      <c r="AL280">
        <f t="shared" ca="1" si="66"/>
        <v>0.81411876636320057</v>
      </c>
      <c r="AM280">
        <f t="shared" ca="1" si="67"/>
        <v>0.87228143709396178</v>
      </c>
      <c r="AN280">
        <f t="shared" ca="1" si="68"/>
        <v>0.88867633792576439</v>
      </c>
      <c r="AP280" s="40"/>
      <c r="AQ280" s="41"/>
    </row>
    <row r="281" spans="2:43" x14ac:dyDescent="0.25">
      <c r="B281" s="1">
        <v>40648</v>
      </c>
      <c r="C281">
        <v>2.52</v>
      </c>
      <c r="D281">
        <v>1.1379999999999999</v>
      </c>
      <c r="E281" t="s">
        <v>33</v>
      </c>
      <c r="G281">
        <v>3381.25</v>
      </c>
      <c r="I281" s="14">
        <f t="shared" si="71"/>
        <v>-1.4470082127493122E-2</v>
      </c>
      <c r="J281" s="15">
        <f t="shared" si="72"/>
        <v>4.4995408631772316E-2</v>
      </c>
      <c r="K281" s="15"/>
      <c r="L281" s="15"/>
      <c r="M281" s="16">
        <f t="shared" si="73"/>
        <v>-2.8485313427518144E-2</v>
      </c>
      <c r="O281" s="13">
        <f t="shared" si="75"/>
        <v>1.5262663252139597E-2</v>
      </c>
      <c r="Q281" s="5">
        <f t="shared" si="76"/>
        <v>190.84787746431857</v>
      </c>
      <c r="R281" s="6">
        <f t="shared" si="77"/>
        <v>209.19822556595648</v>
      </c>
      <c r="T281" s="11">
        <f t="shared" si="69"/>
        <v>0.91228248685191471</v>
      </c>
      <c r="V281" s="9">
        <v>40648</v>
      </c>
      <c r="W281">
        <v>10628.21</v>
      </c>
      <c r="X281">
        <v>11014.7613</v>
      </c>
      <c r="Y281" t="s">
        <v>33</v>
      </c>
      <c r="AC281" s="24">
        <f t="shared" si="78"/>
        <v>1.4930934617384097E-2</v>
      </c>
      <c r="AE281" s="5">
        <f t="shared" si="79"/>
        <v>163.83989199387443</v>
      </c>
      <c r="AF281" s="6">
        <f t="shared" si="80"/>
        <v>209.19822556595648</v>
      </c>
      <c r="AH281" s="1">
        <f t="shared" si="70"/>
        <v>40648</v>
      </c>
      <c r="AI281">
        <f t="shared" si="74"/>
        <v>0.78318012282670446</v>
      </c>
      <c r="AJ281">
        <f t="shared" ca="1" si="64"/>
        <v>0.75767084902275716</v>
      </c>
      <c r="AK281">
        <f t="shared" ca="1" si="65"/>
        <v>0.7797207315485386</v>
      </c>
      <c r="AL281">
        <f t="shared" ca="1" si="66"/>
        <v>0.81334576630129374</v>
      </c>
      <c r="AM281">
        <f t="shared" ca="1" si="67"/>
        <v>0.87228143709396178</v>
      </c>
      <c r="AN281">
        <f t="shared" ca="1" si="68"/>
        <v>0.88867633792576439</v>
      </c>
      <c r="AP281" s="40"/>
      <c r="AQ281" s="41"/>
    </row>
    <row r="282" spans="2:43" x14ac:dyDescent="0.25">
      <c r="B282" s="1">
        <v>40655</v>
      </c>
      <c r="C282">
        <v>2.4969999999999999</v>
      </c>
      <c r="D282">
        <v>1.1200000000000001</v>
      </c>
      <c r="E282" t="s">
        <v>33</v>
      </c>
      <c r="G282">
        <v>3413.94</v>
      </c>
      <c r="I282" s="14">
        <f t="shared" si="71"/>
        <v>-9.1269841269842056E-3</v>
      </c>
      <c r="J282" s="15">
        <f t="shared" si="72"/>
        <v>-1.5817223198593799E-2</v>
      </c>
      <c r="K282" s="15"/>
      <c r="L282" s="15"/>
      <c r="M282" s="16">
        <f t="shared" si="73"/>
        <v>9.6680221811460409E-3</v>
      </c>
      <c r="O282" s="13">
        <f t="shared" si="75"/>
        <v>-1.2472103662789003E-2</v>
      </c>
      <c r="Q282" s="5">
        <f t="shared" si="76"/>
        <v>188.46760295276033</v>
      </c>
      <c r="R282" s="6">
        <f t="shared" si="77"/>
        <v>211.22075865098455</v>
      </c>
      <c r="T282" s="11">
        <f t="shared" si="69"/>
        <v>0.89227784312705305</v>
      </c>
      <c r="V282" s="9">
        <v>40655</v>
      </c>
      <c r="W282">
        <v>10531.06</v>
      </c>
      <c r="X282">
        <v>10841.026900000001</v>
      </c>
      <c r="Y282" t="s">
        <v>33</v>
      </c>
      <c r="AC282" s="24">
        <f t="shared" si="78"/>
        <v>-1.2531848708295797E-2</v>
      </c>
      <c r="AE282" s="5">
        <f t="shared" si="79"/>
        <v>161.78667525502368</v>
      </c>
      <c r="AF282" s="6">
        <f t="shared" si="80"/>
        <v>211.22075865098455</v>
      </c>
      <c r="AH282" s="1">
        <f t="shared" si="70"/>
        <v>40655</v>
      </c>
      <c r="AI282">
        <f t="shared" si="74"/>
        <v>0.76596010869535602</v>
      </c>
      <c r="AJ282">
        <f t="shared" ca="1" si="64"/>
        <v>0.75767084902275716</v>
      </c>
      <c r="AK282">
        <f t="shared" ca="1" si="65"/>
        <v>0.7797207315485386</v>
      </c>
      <c r="AL282">
        <f t="shared" ca="1" si="66"/>
        <v>0.80852422825734771</v>
      </c>
      <c r="AM282">
        <f t="shared" ca="1" si="67"/>
        <v>0.87228143709396178</v>
      </c>
      <c r="AN282">
        <f t="shared" ca="1" si="68"/>
        <v>0.88867633792576439</v>
      </c>
      <c r="AP282" s="40"/>
      <c r="AQ282" s="41"/>
    </row>
    <row r="283" spans="2:43" x14ac:dyDescent="0.25">
      <c r="B283" s="1">
        <v>40662</v>
      </c>
      <c r="C283">
        <v>2.4830000000000001</v>
      </c>
      <c r="D283">
        <v>1.1479999999999999</v>
      </c>
      <c r="E283" t="s">
        <v>33</v>
      </c>
      <c r="G283">
        <v>3406.02</v>
      </c>
      <c r="I283" s="14">
        <f t="shared" si="71"/>
        <v>-5.6067280736883385E-3</v>
      </c>
      <c r="J283" s="15">
        <f t="shared" si="72"/>
        <v>2.4999999999999911E-2</v>
      </c>
      <c r="K283" s="15"/>
      <c r="L283" s="15"/>
      <c r="M283" s="16">
        <f t="shared" si="73"/>
        <v>-2.3199001739925285E-3</v>
      </c>
      <c r="O283" s="13">
        <f t="shared" si="75"/>
        <v>9.6966359631557864E-3</v>
      </c>
      <c r="Q283" s="5">
        <f t="shared" si="76"/>
        <v>190.29510468944184</v>
      </c>
      <c r="R283" s="6">
        <f t="shared" si="77"/>
        <v>210.73074757623931</v>
      </c>
      <c r="T283" s="11">
        <f t="shared" si="69"/>
        <v>0.90302486408916594</v>
      </c>
      <c r="V283" s="9">
        <v>40662</v>
      </c>
      <c r="W283">
        <v>10472.77</v>
      </c>
      <c r="X283">
        <v>11119.002</v>
      </c>
      <c r="Y283" t="s">
        <v>33</v>
      </c>
      <c r="AC283" s="24">
        <f t="shared" si="78"/>
        <v>9.918586039078043E-3</v>
      </c>
      <c r="AE283" s="5">
        <f t="shared" si="79"/>
        <v>163.391370313517</v>
      </c>
      <c r="AF283" s="6">
        <f t="shared" si="80"/>
        <v>210.73074757623931</v>
      </c>
      <c r="AH283" s="1">
        <f t="shared" si="70"/>
        <v>40662</v>
      </c>
      <c r="AI283">
        <f t="shared" si="74"/>
        <v>0.77535609868419597</v>
      </c>
      <c r="AJ283">
        <f t="shared" ca="1" si="64"/>
        <v>0.75767084902275716</v>
      </c>
      <c r="AK283">
        <f t="shared" ca="1" si="65"/>
        <v>0.77699959245394701</v>
      </c>
      <c r="AL283">
        <f t="shared" ca="1" si="66"/>
        <v>0.80097043252064526</v>
      </c>
      <c r="AM283">
        <f t="shared" ca="1" si="67"/>
        <v>0.87147159347282577</v>
      </c>
      <c r="AN283">
        <f t="shared" ca="1" si="68"/>
        <v>0.88631853385646453</v>
      </c>
      <c r="AP283" s="40"/>
      <c r="AQ283" s="41"/>
    </row>
    <row r="284" spans="2:43" x14ac:dyDescent="0.25">
      <c r="B284" s="1">
        <v>40669</v>
      </c>
      <c r="C284">
        <v>2.387</v>
      </c>
      <c r="D284">
        <v>1.143</v>
      </c>
      <c r="E284" t="s">
        <v>33</v>
      </c>
      <c r="G284">
        <v>3315.84</v>
      </c>
      <c r="I284" s="14">
        <f t="shared" si="71"/>
        <v>-3.8662907772855415E-2</v>
      </c>
      <c r="J284" s="15">
        <f t="shared" si="72"/>
        <v>-4.3554006968640202E-3</v>
      </c>
      <c r="K284" s="15"/>
      <c r="L284" s="15"/>
      <c r="M284" s="16">
        <f t="shared" si="73"/>
        <v>-2.6476650166469939E-2</v>
      </c>
      <c r="O284" s="13">
        <f t="shared" si="75"/>
        <v>-2.1509154234859718E-2</v>
      </c>
      <c r="Q284" s="5">
        <f t="shared" si="76"/>
        <v>186.20201793253784</v>
      </c>
      <c r="R284" s="6">
        <f t="shared" si="77"/>
        <v>205.15130329334454</v>
      </c>
      <c r="T284" s="11">
        <f t="shared" si="69"/>
        <v>0.90763263475976441</v>
      </c>
      <c r="V284" s="9">
        <v>40669</v>
      </c>
      <c r="W284">
        <v>10064.74</v>
      </c>
      <c r="X284">
        <v>11066.881600000001</v>
      </c>
      <c r="Y284" t="s">
        <v>33</v>
      </c>
      <c r="AC284" s="24">
        <f t="shared" si="78"/>
        <v>-2.0995750126277708E-2</v>
      </c>
      <c r="AE284" s="5">
        <f t="shared" si="79"/>
        <v>159.96084592962427</v>
      </c>
      <c r="AF284" s="6">
        <f t="shared" si="80"/>
        <v>205.15130329334454</v>
      </c>
      <c r="AH284" s="1">
        <f t="shared" si="70"/>
        <v>40669</v>
      </c>
      <c r="AI284">
        <f t="shared" si="74"/>
        <v>0.77972132451382625</v>
      </c>
      <c r="AJ284">
        <f t="shared" ca="1" si="64"/>
        <v>0.75767084902275716</v>
      </c>
      <c r="AK284">
        <f t="shared" ca="1" si="65"/>
        <v>0.77634441995837367</v>
      </c>
      <c r="AL284">
        <f t="shared" ca="1" si="66"/>
        <v>0.7959593353894755</v>
      </c>
      <c r="AM284">
        <f t="shared" ca="1" si="67"/>
        <v>0.87096830270644765</v>
      </c>
      <c r="AN284">
        <f t="shared" ca="1" si="68"/>
        <v>0.88549831859057659</v>
      </c>
      <c r="AP284" s="40"/>
      <c r="AQ284" s="41"/>
    </row>
    <row r="285" spans="2:43" x14ac:dyDescent="0.25">
      <c r="B285" s="1">
        <v>40676</v>
      </c>
      <c r="C285">
        <v>2.4510000000000001</v>
      </c>
      <c r="D285">
        <v>1.127</v>
      </c>
      <c r="E285" t="s">
        <v>33</v>
      </c>
      <c r="G285">
        <v>3378.18</v>
      </c>
      <c r="I285" s="14">
        <f t="shared" si="71"/>
        <v>2.681189777963966E-2</v>
      </c>
      <c r="J285" s="15">
        <f t="shared" si="72"/>
        <v>-1.3998250218722696E-2</v>
      </c>
      <c r="K285" s="15"/>
      <c r="L285" s="15"/>
      <c r="M285" s="16">
        <f t="shared" si="73"/>
        <v>1.8800665894614932E-2</v>
      </c>
      <c r="O285" s="13">
        <f t="shared" si="75"/>
        <v>6.4068237804584816E-3</v>
      </c>
      <c r="Q285" s="5">
        <f t="shared" si="76"/>
        <v>187.39498144899738</v>
      </c>
      <c r="R285" s="6">
        <f t="shared" si="77"/>
        <v>209.00828440440753</v>
      </c>
      <c r="T285" s="11">
        <f t="shared" si="69"/>
        <v>0.89659116614922862</v>
      </c>
      <c r="V285" s="9">
        <v>40676</v>
      </c>
      <c r="W285">
        <v>10336.76</v>
      </c>
      <c r="X285">
        <v>10910.520699999999</v>
      </c>
      <c r="Y285" t="s">
        <v>33</v>
      </c>
      <c r="AC285" s="24">
        <f t="shared" si="78"/>
        <v>5.4391378218163955E-3</v>
      </c>
      <c r="AE285" s="5">
        <f t="shared" si="79"/>
        <v>160.83089501672984</v>
      </c>
      <c r="AF285" s="6">
        <f t="shared" si="80"/>
        <v>209.00828440440753</v>
      </c>
      <c r="AH285" s="1">
        <f t="shared" si="70"/>
        <v>40676</v>
      </c>
      <c r="AI285">
        <f t="shared" si="74"/>
        <v>0.76949531199222776</v>
      </c>
      <c r="AJ285">
        <f t="shared" ca="1" si="64"/>
        <v>0.75767084902275716</v>
      </c>
      <c r="AK285">
        <f t="shared" ca="1" si="65"/>
        <v>0.77634441995837367</v>
      </c>
      <c r="AL285">
        <f t="shared" ca="1" si="66"/>
        <v>0.79166317364784777</v>
      </c>
      <c r="AM285">
        <f t="shared" ca="1" si="67"/>
        <v>0.8707859052340754</v>
      </c>
      <c r="AN285">
        <f t="shared" ca="1" si="68"/>
        <v>0.88271771218877559</v>
      </c>
      <c r="AP285" s="40"/>
      <c r="AQ285" s="41"/>
    </row>
    <row r="286" spans="2:43" x14ac:dyDescent="0.25">
      <c r="B286" s="1">
        <v>40683</v>
      </c>
      <c r="C286">
        <v>2.4510000000000001</v>
      </c>
      <c r="D286">
        <v>1.1180000000000001</v>
      </c>
      <c r="E286" t="s">
        <v>33</v>
      </c>
      <c r="G286">
        <v>3383.79</v>
      </c>
      <c r="I286" s="14">
        <f t="shared" si="71"/>
        <v>0</v>
      </c>
      <c r="J286" s="15">
        <f t="shared" si="72"/>
        <v>-7.9858030168588057E-3</v>
      </c>
      <c r="K286" s="15"/>
      <c r="L286" s="15"/>
      <c r="M286" s="16">
        <f t="shared" si="73"/>
        <v>1.6606575138091717E-3</v>
      </c>
      <c r="O286" s="13">
        <f t="shared" si="75"/>
        <v>-3.9929015084294028E-3</v>
      </c>
      <c r="Q286" s="5">
        <f t="shared" si="76"/>
        <v>186.64673174489758</v>
      </c>
      <c r="R286" s="6">
        <f t="shared" si="77"/>
        <v>209.35537558235208</v>
      </c>
      <c r="T286" s="11">
        <f t="shared" si="69"/>
        <v>0.89153063887522765</v>
      </c>
      <c r="V286" s="9">
        <v>40683</v>
      </c>
      <c r="W286">
        <v>10336.76</v>
      </c>
      <c r="X286">
        <v>10823.6535</v>
      </c>
      <c r="Y286" t="s">
        <v>33</v>
      </c>
      <c r="AC286" s="24">
        <f t="shared" si="78"/>
        <v>-4.100725657639589E-3</v>
      </c>
      <c r="AE286" s="5">
        <f t="shared" si="79"/>
        <v>160.17137163899358</v>
      </c>
      <c r="AF286" s="6">
        <f t="shared" si="80"/>
        <v>209.35537558235208</v>
      </c>
      <c r="AH286" s="1">
        <f t="shared" si="70"/>
        <v>40683</v>
      </c>
      <c r="AI286">
        <f t="shared" si="74"/>
        <v>0.7650693047334175</v>
      </c>
      <c r="AJ286">
        <f t="shared" ca="1" si="64"/>
        <v>0.75767084902275716</v>
      </c>
      <c r="AK286">
        <f t="shared" ca="1" si="65"/>
        <v>0.77572767276966714</v>
      </c>
      <c r="AL286">
        <f t="shared" ca="1" si="66"/>
        <v>0.78790043579799085</v>
      </c>
      <c r="AM286">
        <f t="shared" ca="1" si="67"/>
        <v>0.86890641057992557</v>
      </c>
      <c r="AN286">
        <f t="shared" ca="1" si="68"/>
        <v>0.88220299068673957</v>
      </c>
      <c r="AP286" s="40"/>
      <c r="AQ286" s="41"/>
    </row>
    <row r="287" spans="2:43" x14ac:dyDescent="0.25">
      <c r="B287" s="1">
        <v>40690</v>
      </c>
      <c r="C287">
        <v>2.3359999999999999</v>
      </c>
      <c r="D287">
        <v>1.046</v>
      </c>
      <c r="E287" t="s">
        <v>33</v>
      </c>
      <c r="G287">
        <v>3265.82</v>
      </c>
      <c r="I287" s="14">
        <f t="shared" si="71"/>
        <v>-4.6919624643002922E-2</v>
      </c>
      <c r="J287" s="15">
        <f t="shared" si="72"/>
        <v>-6.440071556350635E-2</v>
      </c>
      <c r="K287" s="15"/>
      <c r="L287" s="15"/>
      <c r="M287" s="16">
        <f t="shared" si="73"/>
        <v>-3.4863274612195183E-2</v>
      </c>
      <c r="O287" s="13">
        <f t="shared" si="75"/>
        <v>-5.5660170103254636E-2</v>
      </c>
      <c r="Q287" s="5">
        <f t="shared" si="76"/>
        <v>176.25794290676004</v>
      </c>
      <c r="R287" s="6">
        <f t="shared" si="77"/>
        <v>202.05656163188527</v>
      </c>
      <c r="T287" s="11">
        <f t="shared" si="69"/>
        <v>0.87231981719986806</v>
      </c>
      <c r="V287" s="9">
        <v>40690</v>
      </c>
      <c r="W287">
        <v>9851.01</v>
      </c>
      <c r="X287">
        <v>10128.7158</v>
      </c>
      <c r="Y287" t="s">
        <v>33</v>
      </c>
      <c r="AC287" s="24">
        <f t="shared" si="78"/>
        <v>-5.586128690898487E-2</v>
      </c>
      <c r="AE287" s="5">
        <f t="shared" si="79"/>
        <v>151.22399269326212</v>
      </c>
      <c r="AF287" s="6">
        <f t="shared" si="80"/>
        <v>202.05656163188527</v>
      </c>
      <c r="AH287" s="1">
        <f t="shared" si="70"/>
        <v>40690</v>
      </c>
      <c r="AI287">
        <f t="shared" si="74"/>
        <v>0.74842406241064341</v>
      </c>
      <c r="AJ287">
        <f t="shared" ca="1" si="64"/>
        <v>0.75767084902275716</v>
      </c>
      <c r="AK287">
        <f t="shared" ca="1" si="65"/>
        <v>0.77526042016990637</v>
      </c>
      <c r="AL287">
        <f t="shared" ca="1" si="66"/>
        <v>0.78600749312035856</v>
      </c>
      <c r="AM287">
        <f t="shared" ca="1" si="67"/>
        <v>0.86694149945284771</v>
      </c>
      <c r="AN287">
        <f t="shared" ca="1" si="68"/>
        <v>0.88220299068673957</v>
      </c>
      <c r="AP287" s="40"/>
      <c r="AQ287" s="41"/>
    </row>
    <row r="288" spans="2:43" x14ac:dyDescent="0.25">
      <c r="B288" s="1">
        <v>40697</v>
      </c>
      <c r="C288">
        <v>2.1789999999999998</v>
      </c>
      <c r="D288">
        <v>1.012</v>
      </c>
      <c r="E288" t="s">
        <v>33</v>
      </c>
      <c r="G288">
        <v>3164.97</v>
      </c>
      <c r="I288" s="14">
        <f t="shared" si="71"/>
        <v>-6.7208904109589018E-2</v>
      </c>
      <c r="J288" s="15">
        <f t="shared" si="72"/>
        <v>-3.2504780114722798E-2</v>
      </c>
      <c r="K288" s="15"/>
      <c r="L288" s="15"/>
      <c r="M288" s="16">
        <f t="shared" si="73"/>
        <v>-3.0880452688758164E-2</v>
      </c>
      <c r="O288" s="13">
        <f t="shared" si="75"/>
        <v>-4.9856842112155908E-2</v>
      </c>
      <c r="Q288" s="5">
        <f t="shared" si="76"/>
        <v>167.47027847624432</v>
      </c>
      <c r="R288" s="6">
        <f t="shared" si="77"/>
        <v>195.81696353995869</v>
      </c>
      <c r="T288" s="11">
        <f t="shared" si="69"/>
        <v>0.85523886924163284</v>
      </c>
      <c r="V288" s="9">
        <v>40697</v>
      </c>
      <c r="W288">
        <v>9190.39</v>
      </c>
      <c r="X288">
        <v>9798.6205000000009</v>
      </c>
      <c r="Y288" t="s">
        <v>33</v>
      </c>
      <c r="AC288" s="24">
        <f t="shared" si="78"/>
        <v>-4.9615659209703525E-2</v>
      </c>
      <c r="AE288" s="5">
        <f t="shared" si="79"/>
        <v>143.72091460746253</v>
      </c>
      <c r="AF288" s="6">
        <f t="shared" si="80"/>
        <v>195.81696353995869</v>
      </c>
      <c r="AH288" s="1">
        <f t="shared" si="70"/>
        <v>40697</v>
      </c>
      <c r="AI288">
        <f t="shared" si="74"/>
        <v>0.73395538368735158</v>
      </c>
      <c r="AJ288">
        <f t="shared" ca="1" si="64"/>
        <v>0.75522038372725186</v>
      </c>
      <c r="AK288">
        <f t="shared" ca="1" si="65"/>
        <v>0.77437207381521711</v>
      </c>
      <c r="AL288">
        <f t="shared" ca="1" si="66"/>
        <v>0.78486021413735241</v>
      </c>
      <c r="AM288">
        <f t="shared" ca="1" si="67"/>
        <v>0.85227654051944945</v>
      </c>
      <c r="AN288">
        <f t="shared" ca="1" si="68"/>
        <v>0.88220299068673957</v>
      </c>
      <c r="AP288" s="40"/>
      <c r="AQ288" s="41"/>
    </row>
    <row r="289" spans="2:43" x14ac:dyDescent="0.25">
      <c r="B289" s="1">
        <v>40704</v>
      </c>
      <c r="C289">
        <v>2.0960000000000001</v>
      </c>
      <c r="D289">
        <v>1.0029999999999999</v>
      </c>
      <c r="E289" t="s">
        <v>33</v>
      </c>
      <c r="G289">
        <v>3227.77</v>
      </c>
      <c r="I289" s="14">
        <f t="shared" si="71"/>
        <v>-3.8090867370353276E-2</v>
      </c>
      <c r="J289" s="15">
        <f t="shared" si="72"/>
        <v>-8.8932806324112379E-3</v>
      </c>
      <c r="K289" s="15"/>
      <c r="L289" s="15"/>
      <c r="M289" s="16">
        <f t="shared" si="73"/>
        <v>1.984221019472554E-2</v>
      </c>
      <c r="O289" s="13">
        <f t="shared" si="75"/>
        <v>-2.3492074001382257E-2</v>
      </c>
      <c r="Q289" s="5">
        <f t="shared" si="76"/>
        <v>163.5360543012483</v>
      </c>
      <c r="R289" s="6">
        <f t="shared" si="77"/>
        <v>199.70240489021145</v>
      </c>
      <c r="T289" s="11">
        <f t="shared" si="69"/>
        <v>0.81889877285731238</v>
      </c>
      <c r="V289" s="9">
        <v>40704</v>
      </c>
      <c r="W289">
        <v>8840.65</v>
      </c>
      <c r="X289">
        <v>9711.7533000000003</v>
      </c>
      <c r="Y289" t="s">
        <v>33</v>
      </c>
      <c r="AC289" s="24">
        <f t="shared" si="78"/>
        <v>-2.3024465044601389E-2</v>
      </c>
      <c r="AE289" s="5">
        <f t="shared" si="79"/>
        <v>140.41181743290485</v>
      </c>
      <c r="AF289" s="6">
        <f t="shared" si="80"/>
        <v>199.70240489021145</v>
      </c>
      <c r="AH289" s="1">
        <f t="shared" si="70"/>
        <v>40704</v>
      </c>
      <c r="AI289">
        <f t="shared" si="74"/>
        <v>0.70310529064533678</v>
      </c>
      <c r="AJ289">
        <f t="shared" ca="1" si="64"/>
        <v>0.7502084061048705</v>
      </c>
      <c r="AK289">
        <f t="shared" ca="1" si="65"/>
        <v>0.77212514094341955</v>
      </c>
      <c r="AL289">
        <f t="shared" ca="1" si="66"/>
        <v>0.78381229406816666</v>
      </c>
      <c r="AM289">
        <f t="shared" ca="1" si="67"/>
        <v>0.84099427193024379</v>
      </c>
      <c r="AN289">
        <f t="shared" ca="1" si="68"/>
        <v>0.88039197545061276</v>
      </c>
      <c r="AP289" s="40"/>
      <c r="AQ289" s="41"/>
    </row>
    <row r="290" spans="2:43" x14ac:dyDescent="0.25">
      <c r="B290" s="1">
        <v>40711</v>
      </c>
      <c r="C290">
        <v>2.198</v>
      </c>
      <c r="D290">
        <v>1.073</v>
      </c>
      <c r="E290" t="s">
        <v>33</v>
      </c>
      <c r="G290">
        <v>3269.28</v>
      </c>
      <c r="I290" s="14">
        <f t="shared" si="71"/>
        <v>4.8664122137404453E-2</v>
      </c>
      <c r="J290" s="15">
        <f t="shared" si="72"/>
        <v>6.9790628115653064E-2</v>
      </c>
      <c r="K290" s="15"/>
      <c r="L290" s="15"/>
      <c r="M290" s="16">
        <f t="shared" si="73"/>
        <v>1.2860271952462643E-2</v>
      </c>
      <c r="O290" s="13">
        <f t="shared" si="75"/>
        <v>5.9227375126528758E-2</v>
      </c>
      <c r="Q290" s="5">
        <f t="shared" si="76"/>
        <v>173.22186553606073</v>
      </c>
      <c r="R290" s="6">
        <f t="shared" si="77"/>
        <v>202.27063212666039</v>
      </c>
      <c r="T290" s="11">
        <f t="shared" si="69"/>
        <v>0.85638663267532811</v>
      </c>
      <c r="V290" s="9">
        <v>40711</v>
      </c>
      <c r="W290">
        <v>9268.11</v>
      </c>
      <c r="X290">
        <v>10389.3174</v>
      </c>
      <c r="Y290" t="s">
        <v>33</v>
      </c>
      <c r="AC290" s="24">
        <f t="shared" si="78"/>
        <v>5.9723358551897761E-2</v>
      </c>
      <c r="AE290" s="5">
        <f t="shared" si="79"/>
        <v>148.79768275037384</v>
      </c>
      <c r="AF290" s="6">
        <f t="shared" si="80"/>
        <v>202.27063212666039</v>
      </c>
      <c r="AH290" s="1">
        <f t="shared" si="70"/>
        <v>40711</v>
      </c>
      <c r="AI290">
        <f t="shared" si="74"/>
        <v>0.73563661311543149</v>
      </c>
      <c r="AJ290">
        <f t="shared" ca="1" si="64"/>
        <v>0.74854941659601859</v>
      </c>
      <c r="AK290">
        <f t="shared" ca="1" si="65"/>
        <v>0.77047093272386502</v>
      </c>
      <c r="AL290">
        <f t="shared" ca="1" si="66"/>
        <v>0.78343796978529623</v>
      </c>
      <c r="AM290">
        <f t="shared" ca="1" si="67"/>
        <v>0.82757878962441356</v>
      </c>
      <c r="AN290">
        <f t="shared" ca="1" si="68"/>
        <v>0.88039197545061276</v>
      </c>
      <c r="AP290" s="40"/>
      <c r="AQ290" s="41"/>
    </row>
    <row r="291" spans="2:43" x14ac:dyDescent="0.25">
      <c r="B291" s="1">
        <v>40718</v>
      </c>
      <c r="C291">
        <v>2.2480000000000002</v>
      </c>
      <c r="D291">
        <v>1.091</v>
      </c>
      <c r="E291" t="s">
        <v>33</v>
      </c>
      <c r="G291">
        <v>3287.62</v>
      </c>
      <c r="I291" s="14">
        <f t="shared" si="71"/>
        <v>2.2747952684258443E-2</v>
      </c>
      <c r="J291" s="15">
        <f t="shared" si="72"/>
        <v>1.6775396085740857E-2</v>
      </c>
      <c r="K291" s="15"/>
      <c r="L291" s="15"/>
      <c r="M291" s="16">
        <f t="shared" si="73"/>
        <v>5.6097978759848122E-3</v>
      </c>
      <c r="O291" s="13">
        <f t="shared" si="75"/>
        <v>1.976167438499965E-2</v>
      </c>
      <c r="Q291" s="5">
        <f t="shared" si="76"/>
        <v>176.64501963914657</v>
      </c>
      <c r="R291" s="6">
        <f t="shared" si="77"/>
        <v>203.40532948913864</v>
      </c>
      <c r="T291" s="11">
        <f t="shared" si="69"/>
        <v>0.86843850199401484</v>
      </c>
      <c r="V291" s="9">
        <v>40718</v>
      </c>
      <c r="W291">
        <v>9481.84</v>
      </c>
      <c r="X291">
        <v>10563.0519</v>
      </c>
      <c r="Y291" t="s">
        <v>33</v>
      </c>
      <c r="AC291" s="24">
        <f t="shared" si="78"/>
        <v>1.9591345009773858E-2</v>
      </c>
      <c r="AE291" s="5">
        <f t="shared" si="79"/>
        <v>151.71282948979129</v>
      </c>
      <c r="AF291" s="6">
        <f t="shared" si="80"/>
        <v>203.40532948913864</v>
      </c>
      <c r="AH291" s="1">
        <f t="shared" si="70"/>
        <v>40718</v>
      </c>
      <c r="AI291">
        <f t="shared" si="74"/>
        <v>0.74586457430011621</v>
      </c>
      <c r="AJ291">
        <f t="shared" ca="1" si="64"/>
        <v>0.7443286563422773</v>
      </c>
      <c r="AK291">
        <f t="shared" ca="1" si="65"/>
        <v>0.76861151116800985</v>
      </c>
      <c r="AL291">
        <f t="shared" ca="1" si="66"/>
        <v>0.78262548825993139</v>
      </c>
      <c r="AM291">
        <f t="shared" ca="1" si="67"/>
        <v>0.81996749132272584</v>
      </c>
      <c r="AN291">
        <f t="shared" ca="1" si="68"/>
        <v>0.87246224321537602</v>
      </c>
      <c r="AP291" s="40"/>
      <c r="AQ291" s="41"/>
    </row>
    <row r="292" spans="2:43" x14ac:dyDescent="0.25">
      <c r="B292" s="1">
        <v>40725</v>
      </c>
      <c r="C292">
        <v>2.258</v>
      </c>
      <c r="D292">
        <v>1.1359999999999999</v>
      </c>
      <c r="E292" t="s">
        <v>33</v>
      </c>
      <c r="G292">
        <v>3396</v>
      </c>
      <c r="I292" s="14">
        <f t="shared" si="71"/>
        <v>4.4483985765124689E-3</v>
      </c>
      <c r="J292" s="15">
        <f t="shared" si="72"/>
        <v>4.124656278643446E-2</v>
      </c>
      <c r="K292" s="15"/>
      <c r="L292" s="15"/>
      <c r="M292" s="16">
        <f t="shared" si="73"/>
        <v>3.2966097055012522E-2</v>
      </c>
      <c r="O292" s="13">
        <f t="shared" si="75"/>
        <v>2.2847480681473464E-2</v>
      </c>
      <c r="Q292" s="5">
        <f t="shared" si="76"/>
        <v>180.68091331283046</v>
      </c>
      <c r="R292" s="6">
        <f t="shared" si="77"/>
        <v>210.11080932258437</v>
      </c>
      <c r="T292" s="11">
        <f t="shared" si="69"/>
        <v>0.85993154705063257</v>
      </c>
      <c r="V292" s="9">
        <v>40725</v>
      </c>
      <c r="W292">
        <v>9520.7000000000007</v>
      </c>
      <c r="X292">
        <v>10997.3879</v>
      </c>
      <c r="Y292" t="s">
        <v>33</v>
      </c>
      <c r="AC292" s="24">
        <f t="shared" si="78"/>
        <v>2.3839918386810297E-2</v>
      </c>
      <c r="AE292" s="5">
        <f t="shared" si="79"/>
        <v>155.32965096305998</v>
      </c>
      <c r="AF292" s="6">
        <f t="shared" si="80"/>
        <v>210.11080932258437</v>
      </c>
      <c r="AH292" s="1">
        <f t="shared" si="70"/>
        <v>40725</v>
      </c>
      <c r="AI292">
        <f t="shared" si="74"/>
        <v>0.7392749162399419</v>
      </c>
      <c r="AJ292">
        <f t="shared" ca="1" si="64"/>
        <v>0.74407270753122456</v>
      </c>
      <c r="AK292">
        <f t="shared" ca="1" si="65"/>
        <v>0.76573740770487142</v>
      </c>
      <c r="AL292">
        <f t="shared" ca="1" si="66"/>
        <v>0.78168748422177514</v>
      </c>
      <c r="AM292">
        <f t="shared" ca="1" si="67"/>
        <v>0.81578725243102401</v>
      </c>
      <c r="AN292">
        <f t="shared" ca="1" si="68"/>
        <v>0.87118867159799374</v>
      </c>
      <c r="AP292" s="40"/>
      <c r="AQ292" s="41"/>
    </row>
    <row r="293" spans="2:43" x14ac:dyDescent="0.25">
      <c r="B293" s="1">
        <v>40732</v>
      </c>
      <c r="C293">
        <v>2.3180000000000001</v>
      </c>
      <c r="D293">
        <v>1.1970000000000001</v>
      </c>
      <c r="E293" t="s">
        <v>33</v>
      </c>
      <c r="G293">
        <v>3470.74</v>
      </c>
      <c r="I293" s="14">
        <f t="shared" si="71"/>
        <v>2.657218777679371E-2</v>
      </c>
      <c r="J293" s="15">
        <f t="shared" si="72"/>
        <v>5.3697183098591728E-2</v>
      </c>
      <c r="K293" s="15"/>
      <c r="L293" s="15"/>
      <c r="M293" s="16">
        <f t="shared" si="73"/>
        <v>2.2008244994110582E-2</v>
      </c>
      <c r="O293" s="13">
        <f t="shared" si="75"/>
        <v>4.0134685437692719E-2</v>
      </c>
      <c r="Q293" s="5">
        <f t="shared" si="76"/>
        <v>187.93248493323594</v>
      </c>
      <c r="R293" s="6">
        <f t="shared" si="77"/>
        <v>214.73497949006665</v>
      </c>
      <c r="T293" s="11">
        <f t="shared" si="69"/>
        <v>0.87518337897030629</v>
      </c>
      <c r="V293" s="9">
        <v>40732</v>
      </c>
      <c r="W293">
        <v>9773.2900000000009</v>
      </c>
      <c r="X293">
        <v>11588.084800000001</v>
      </c>
      <c r="Y293" t="s">
        <v>33</v>
      </c>
      <c r="AC293" s="24">
        <f t="shared" si="78"/>
        <v>4.1110779130596138E-2</v>
      </c>
      <c r="AE293" s="5">
        <f t="shared" si="79"/>
        <v>161.71537393623495</v>
      </c>
      <c r="AF293" s="6">
        <f t="shared" si="80"/>
        <v>214.73497949006665</v>
      </c>
      <c r="AH293" s="1">
        <f t="shared" si="70"/>
        <v>40732</v>
      </c>
      <c r="AI293">
        <f t="shared" si="74"/>
        <v>0.75309283247779246</v>
      </c>
      <c r="AJ293">
        <f t="shared" ca="1" si="64"/>
        <v>0.73973478573830476</v>
      </c>
      <c r="AK293">
        <f t="shared" ca="1" si="65"/>
        <v>0.76397932629411014</v>
      </c>
      <c r="AL293">
        <f t="shared" ca="1" si="66"/>
        <v>0.78104629046840568</v>
      </c>
      <c r="AM293">
        <f t="shared" ca="1" si="67"/>
        <v>0.81376642088580176</v>
      </c>
      <c r="AN293">
        <f t="shared" ca="1" si="68"/>
        <v>0.87050847473566784</v>
      </c>
      <c r="AP293" s="40"/>
      <c r="AQ293" s="41"/>
    </row>
    <row r="294" spans="2:43" x14ac:dyDescent="0.25">
      <c r="B294" s="1">
        <v>40739</v>
      </c>
      <c r="C294">
        <v>2.2210000000000001</v>
      </c>
      <c r="D294">
        <v>1.145</v>
      </c>
      <c r="E294" t="s">
        <v>33</v>
      </c>
      <c r="G294">
        <v>3326.57</v>
      </c>
      <c r="I294" s="14">
        <f t="shared" si="71"/>
        <v>-4.1846419327006057E-2</v>
      </c>
      <c r="J294" s="15">
        <f t="shared" si="72"/>
        <v>-4.3441938178780282E-2</v>
      </c>
      <c r="K294" s="15"/>
      <c r="L294" s="15"/>
      <c r="M294" s="16">
        <f t="shared" si="73"/>
        <v>-4.1538692036856562E-2</v>
      </c>
      <c r="O294" s="13">
        <f t="shared" si="75"/>
        <v>-4.2644178752893169E-2</v>
      </c>
      <c r="Q294" s="5">
        <f t="shared" si="76"/>
        <v>179.91825845226762</v>
      </c>
      <c r="R294" s="6">
        <f t="shared" si="77"/>
        <v>205.81516930748805</v>
      </c>
      <c r="T294" s="11">
        <f t="shared" si="69"/>
        <v>0.8741739447954372</v>
      </c>
      <c r="V294" s="9">
        <v>40739</v>
      </c>
      <c r="W294">
        <v>9365.26</v>
      </c>
      <c r="X294">
        <v>11084.2551</v>
      </c>
      <c r="Y294" t="s">
        <v>33</v>
      </c>
      <c r="AC294" s="24">
        <f t="shared" si="78"/>
        <v>-4.2711953869022441E-2</v>
      </c>
      <c r="AE294" s="5">
        <f t="shared" si="79"/>
        <v>154.80819434475876</v>
      </c>
      <c r="AF294" s="6">
        <f t="shared" si="80"/>
        <v>205.81516930748805</v>
      </c>
      <c r="AH294" s="1">
        <f t="shared" si="70"/>
        <v>40739</v>
      </c>
      <c r="AI294">
        <f t="shared" si="74"/>
        <v>0.75217096419883012</v>
      </c>
      <c r="AJ294">
        <f t="shared" ca="1" si="64"/>
        <v>0.73973478573830476</v>
      </c>
      <c r="AK294">
        <f t="shared" ca="1" si="65"/>
        <v>0.75986535154467949</v>
      </c>
      <c r="AL294">
        <f t="shared" ca="1" si="66"/>
        <v>0.78068085115497565</v>
      </c>
      <c r="AM294">
        <f t="shared" ca="1" si="67"/>
        <v>0.81331161174773914</v>
      </c>
      <c r="AN294">
        <f t="shared" ca="1" si="68"/>
        <v>0.86811040104440107</v>
      </c>
      <c r="AP294" s="40"/>
      <c r="AQ294" s="41"/>
    </row>
    <row r="295" spans="2:43" x14ac:dyDescent="0.25">
      <c r="B295" s="1">
        <v>40746</v>
      </c>
      <c r="C295">
        <v>2.2210000000000001</v>
      </c>
      <c r="D295">
        <v>1.224</v>
      </c>
      <c r="E295" t="s">
        <v>33</v>
      </c>
      <c r="G295">
        <v>3356.35</v>
      </c>
      <c r="I295" s="14">
        <f t="shared" si="71"/>
        <v>0</v>
      </c>
      <c r="J295" s="15">
        <f t="shared" si="72"/>
        <v>6.8995633187772798E-2</v>
      </c>
      <c r="K295" s="15"/>
      <c r="L295" s="15"/>
      <c r="M295" s="16">
        <f t="shared" si="73"/>
        <v>8.9521639406355824E-3</v>
      </c>
      <c r="O295" s="13">
        <f t="shared" si="75"/>
        <v>3.4497816593886399E-2</v>
      </c>
      <c r="Q295" s="5">
        <f t="shared" si="76"/>
        <v>186.12504553424537</v>
      </c>
      <c r="R295" s="6">
        <f t="shared" si="77"/>
        <v>207.65766044459835</v>
      </c>
      <c r="T295" s="11">
        <f t="shared" si="69"/>
        <v>0.89630714867801498</v>
      </c>
      <c r="V295" s="9">
        <v>40746</v>
      </c>
      <c r="W295">
        <v>9365.26</v>
      </c>
      <c r="X295">
        <v>11848.6865</v>
      </c>
      <c r="Y295" t="s">
        <v>33</v>
      </c>
      <c r="AC295" s="24">
        <f t="shared" si="78"/>
        <v>3.7397718004535951E-2</v>
      </c>
      <c r="AE295" s="5">
        <f t="shared" si="79"/>
        <v>160.59766754165545</v>
      </c>
      <c r="AF295" s="6">
        <f t="shared" si="80"/>
        <v>207.65766044459835</v>
      </c>
      <c r="AH295" s="1">
        <f t="shared" si="70"/>
        <v>40746</v>
      </c>
      <c r="AI295">
        <f t="shared" si="74"/>
        <v>0.77337704372578064</v>
      </c>
      <c r="AJ295">
        <f t="shared" ca="1" si="64"/>
        <v>0.73973478573830476</v>
      </c>
      <c r="AK295">
        <f t="shared" ca="1" si="65"/>
        <v>0.75674633060490315</v>
      </c>
      <c r="AL295">
        <f t="shared" ca="1" si="66"/>
        <v>0.78014728031867908</v>
      </c>
      <c r="AM295">
        <f t="shared" ca="1" si="67"/>
        <v>0.8061476137889293</v>
      </c>
      <c r="AN295">
        <f t="shared" ca="1" si="68"/>
        <v>0.86459653773121004</v>
      </c>
      <c r="AP295" s="40"/>
      <c r="AQ295" s="41"/>
    </row>
    <row r="296" spans="2:43" x14ac:dyDescent="0.25">
      <c r="B296" s="1">
        <v>40753</v>
      </c>
      <c r="C296">
        <v>2.1749999999999998</v>
      </c>
      <c r="D296">
        <v>1.256</v>
      </c>
      <c r="E296" t="s">
        <v>33</v>
      </c>
      <c r="G296">
        <v>3321.85</v>
      </c>
      <c r="I296" s="14">
        <f t="shared" si="71"/>
        <v>-2.0711391265195944E-2</v>
      </c>
      <c r="J296" s="15">
        <f t="shared" si="72"/>
        <v>2.6143790849673332E-2</v>
      </c>
      <c r="K296" s="15"/>
      <c r="L296" s="15"/>
      <c r="M296" s="16">
        <f t="shared" si="73"/>
        <v>-1.0279023343811033E-2</v>
      </c>
      <c r="O296" s="13">
        <f t="shared" si="75"/>
        <v>2.7161997922386938E-3</v>
      </c>
      <c r="Q296" s="5">
        <f t="shared" si="76"/>
        <v>186.6305983442559</v>
      </c>
      <c r="R296" s="6">
        <f t="shared" si="77"/>
        <v>205.52314250536713</v>
      </c>
      <c r="T296" s="11">
        <f t="shared" si="69"/>
        <v>0.90807583063003305</v>
      </c>
      <c r="V296" s="9">
        <v>40753</v>
      </c>
      <c r="W296">
        <v>9170.9599999999991</v>
      </c>
      <c r="X296">
        <v>12161.4084</v>
      </c>
      <c r="Y296" t="s">
        <v>33</v>
      </c>
      <c r="AC296" s="24">
        <f t="shared" si="78"/>
        <v>5.4587682465899959E-3</v>
      </c>
      <c r="AE296" s="5">
        <f t="shared" si="79"/>
        <v>161.47433298970827</v>
      </c>
      <c r="AF296" s="6">
        <f t="shared" si="80"/>
        <v>205.52314250536713</v>
      </c>
      <c r="AH296" s="1">
        <f t="shared" si="70"/>
        <v>40753</v>
      </c>
      <c r="AI296">
        <f t="shared" si="74"/>
        <v>0.78567469833958703</v>
      </c>
      <c r="AJ296">
        <f t="shared" ca="1" si="64"/>
        <v>0.73973478573830476</v>
      </c>
      <c r="AK296">
        <f t="shared" ca="1" si="65"/>
        <v>0.75674633060490315</v>
      </c>
      <c r="AL296">
        <f t="shared" ca="1" si="66"/>
        <v>0.77844227116869236</v>
      </c>
      <c r="AM296">
        <f t="shared" ca="1" si="67"/>
        <v>0.79957014912071245</v>
      </c>
      <c r="AN296">
        <f t="shared" ca="1" si="68"/>
        <v>0.84666557230363515</v>
      </c>
      <c r="AP296" s="40"/>
      <c r="AQ296" s="41"/>
    </row>
    <row r="297" spans="2:43" x14ac:dyDescent="0.25">
      <c r="B297" s="1">
        <v>40760</v>
      </c>
      <c r="C297">
        <v>2.0179999999999998</v>
      </c>
      <c r="D297">
        <v>1.1020000000000001</v>
      </c>
      <c r="E297" t="s">
        <v>33</v>
      </c>
      <c r="G297">
        <v>3067.61</v>
      </c>
      <c r="I297" s="14">
        <f t="shared" si="71"/>
        <v>-7.2183908045977074E-2</v>
      </c>
      <c r="J297" s="15">
        <f t="shared" si="72"/>
        <v>-0.12261146496815278</v>
      </c>
      <c r="K297" s="15"/>
      <c r="L297" s="15"/>
      <c r="M297" s="16">
        <f t="shared" si="73"/>
        <v>-7.653566536718992E-2</v>
      </c>
      <c r="O297" s="13">
        <f t="shared" si="75"/>
        <v>-9.7397686507064929E-2</v>
      </c>
      <c r="Q297" s="5">
        <f t="shared" si="76"/>
        <v>168.4532098340961</v>
      </c>
      <c r="R297" s="6">
        <f t="shared" si="77"/>
        <v>189.79329204536307</v>
      </c>
      <c r="T297" s="11">
        <f t="shared" si="69"/>
        <v>0.88756145182324775</v>
      </c>
      <c r="V297" s="9">
        <v>40760</v>
      </c>
      <c r="W297">
        <v>8510.34</v>
      </c>
      <c r="X297">
        <v>10667.2925</v>
      </c>
      <c r="Y297" t="s">
        <v>33</v>
      </c>
      <c r="AC297" s="24">
        <f t="shared" si="78"/>
        <v>-0.1009322449791057</v>
      </c>
      <c r="AE297" s="5">
        <f t="shared" si="79"/>
        <v>145.17636605455334</v>
      </c>
      <c r="AF297" s="6">
        <f t="shared" si="80"/>
        <v>189.79329204536307</v>
      </c>
      <c r="AH297" s="1">
        <f t="shared" si="70"/>
        <v>40760</v>
      </c>
      <c r="AI297">
        <f t="shared" si="74"/>
        <v>0.76491831976787827</v>
      </c>
      <c r="AJ297">
        <f t="shared" ca="1" si="64"/>
        <v>0.73973478573830476</v>
      </c>
      <c r="AK297">
        <f t="shared" ca="1" si="65"/>
        <v>0.75674633060490315</v>
      </c>
      <c r="AL297">
        <f t="shared" ca="1" si="66"/>
        <v>0.77844227116869236</v>
      </c>
      <c r="AM297">
        <f t="shared" ca="1" si="67"/>
        <v>0.79485407022382337</v>
      </c>
      <c r="AN297">
        <f t="shared" ca="1" si="68"/>
        <v>0.83731510749833593</v>
      </c>
      <c r="AP297" s="40"/>
      <c r="AQ297" s="41"/>
    </row>
    <row r="298" spans="2:43" x14ac:dyDescent="0.25">
      <c r="B298" s="1">
        <v>40767</v>
      </c>
      <c r="C298">
        <v>1.917</v>
      </c>
      <c r="D298">
        <v>1.093</v>
      </c>
      <c r="E298" t="s">
        <v>33</v>
      </c>
      <c r="G298">
        <v>2966.99</v>
      </c>
      <c r="I298" s="14">
        <f t="shared" si="71"/>
        <v>-5.0049554013875008E-2</v>
      </c>
      <c r="J298" s="15">
        <f t="shared" si="72"/>
        <v>-8.1669691470055428E-3</v>
      </c>
      <c r="K298" s="15"/>
      <c r="L298" s="15"/>
      <c r="M298" s="16">
        <f t="shared" si="73"/>
        <v>-3.2800779760139065E-2</v>
      </c>
      <c r="O298" s="13">
        <f t="shared" si="75"/>
        <v>-2.9108261580440276E-2</v>
      </c>
      <c r="Q298" s="5">
        <f t="shared" si="76"/>
        <v>163.54982973818042</v>
      </c>
      <c r="R298" s="6">
        <f t="shared" si="77"/>
        <v>183.56792407303138</v>
      </c>
      <c r="T298" s="11">
        <f t="shared" si="69"/>
        <v>0.8909499334595794</v>
      </c>
      <c r="V298" s="9">
        <v>40767</v>
      </c>
      <c r="W298">
        <v>8082.88</v>
      </c>
      <c r="X298">
        <v>10580.425300000001</v>
      </c>
      <c r="Y298" t="s">
        <v>33</v>
      </c>
      <c r="AC298" s="24">
        <f t="shared" si="78"/>
        <v>-2.6752946185407647E-2</v>
      </c>
      <c r="AE298" s="5">
        <f t="shared" si="79"/>
        <v>141.29247054610283</v>
      </c>
      <c r="AF298" s="6">
        <f t="shared" si="80"/>
        <v>183.56792407303138</v>
      </c>
      <c r="AH298" s="1">
        <f t="shared" si="70"/>
        <v>40767</v>
      </c>
      <c r="AI298">
        <f t="shared" si="74"/>
        <v>0.76970130407908566</v>
      </c>
      <c r="AJ298">
        <f t="shared" ca="1" si="64"/>
        <v>0.73973478573830476</v>
      </c>
      <c r="AK298">
        <f t="shared" ca="1" si="65"/>
        <v>0.75674633060490315</v>
      </c>
      <c r="AL298">
        <f t="shared" ca="1" si="66"/>
        <v>0.77683596708433544</v>
      </c>
      <c r="AM298">
        <f t="shared" ca="1" si="67"/>
        <v>0.79062035794268604</v>
      </c>
      <c r="AN298">
        <f t="shared" ca="1" si="68"/>
        <v>0.82331851055954774</v>
      </c>
      <c r="AP298" s="40"/>
      <c r="AQ298" s="41"/>
    </row>
    <row r="299" spans="2:43" x14ac:dyDescent="0.25">
      <c r="B299" s="1">
        <v>40774</v>
      </c>
      <c r="C299">
        <v>1.903</v>
      </c>
      <c r="D299">
        <v>1.113</v>
      </c>
      <c r="E299" t="s">
        <v>33</v>
      </c>
      <c r="G299">
        <v>2825.38</v>
      </c>
      <c r="I299" s="14">
        <f t="shared" si="71"/>
        <v>-7.3030777256128943E-3</v>
      </c>
      <c r="J299" s="15">
        <f t="shared" si="72"/>
        <v>1.8298261665141924E-2</v>
      </c>
      <c r="K299" s="15"/>
      <c r="L299" s="15"/>
      <c r="M299" s="16">
        <f t="shared" si="73"/>
        <v>-4.7728505994290349E-2</v>
      </c>
      <c r="O299" s="13">
        <f t="shared" si="75"/>
        <v>5.4975919697645148E-3</v>
      </c>
      <c r="Q299" s="5">
        <f t="shared" si="76"/>
        <v>164.44895996880538</v>
      </c>
      <c r="R299" s="6">
        <f t="shared" si="77"/>
        <v>174.80650130855227</v>
      </c>
      <c r="T299" s="11">
        <f t="shared" si="69"/>
        <v>0.94074853473862097</v>
      </c>
      <c r="V299" s="9">
        <v>40774</v>
      </c>
      <c r="W299">
        <v>8024.59</v>
      </c>
      <c r="X299">
        <v>10771.533100000001</v>
      </c>
      <c r="Y299" t="s">
        <v>33</v>
      </c>
      <c r="AC299" s="24">
        <f t="shared" si="78"/>
        <v>7.2105925299890909E-3</v>
      </c>
      <c r="AE299" s="5">
        <f t="shared" si="79"/>
        <v>142.31127297876625</v>
      </c>
      <c r="AF299" s="6">
        <f t="shared" si="80"/>
        <v>174.80650130855227</v>
      </c>
      <c r="AH299" s="1">
        <f t="shared" si="70"/>
        <v>40774</v>
      </c>
      <c r="AI299">
        <f t="shared" si="74"/>
        <v>0.81410743830157406</v>
      </c>
      <c r="AJ299">
        <f t="shared" ca="1" si="64"/>
        <v>0.73973478573830476</v>
      </c>
      <c r="AK299">
        <f t="shared" ca="1" si="65"/>
        <v>0.75674633060490315</v>
      </c>
      <c r="AL299">
        <f t="shared" ca="1" si="66"/>
        <v>0.77618012357163502</v>
      </c>
      <c r="AM299">
        <f t="shared" ca="1" si="67"/>
        <v>0.78706188257822407</v>
      </c>
      <c r="AN299">
        <f t="shared" ca="1" si="68"/>
        <v>0.81829311972489172</v>
      </c>
      <c r="AP299" s="40"/>
      <c r="AQ299" s="41"/>
    </row>
    <row r="300" spans="2:43" x14ac:dyDescent="0.25">
      <c r="B300" s="1">
        <v>40781</v>
      </c>
      <c r="C300">
        <v>1.9259999999999999</v>
      </c>
      <c r="D300">
        <v>1.163</v>
      </c>
      <c r="E300" t="s">
        <v>33</v>
      </c>
      <c r="G300">
        <v>2883.89</v>
      </c>
      <c r="I300" s="14">
        <f t="shared" si="71"/>
        <v>1.2086179716237488E-2</v>
      </c>
      <c r="J300" s="15">
        <f t="shared" si="72"/>
        <v>4.4923629829290324E-2</v>
      </c>
      <c r="K300" s="15"/>
      <c r="L300" s="15"/>
      <c r="M300" s="16">
        <f t="shared" si="73"/>
        <v>2.0708718827201933E-2</v>
      </c>
      <c r="O300" s="13">
        <f t="shared" si="75"/>
        <v>2.8504904772763906E-2</v>
      </c>
      <c r="Q300" s="5">
        <f t="shared" si="76"/>
        <v>169.13656191269624</v>
      </c>
      <c r="R300" s="6">
        <f t="shared" si="77"/>
        <v>178.42651999331798</v>
      </c>
      <c r="T300" s="11">
        <f t="shared" si="69"/>
        <v>0.94793398379921523</v>
      </c>
      <c r="V300" s="9">
        <v>40781</v>
      </c>
      <c r="W300">
        <v>8121.74</v>
      </c>
      <c r="X300">
        <v>11257.9895</v>
      </c>
      <c r="Y300" t="s">
        <v>33</v>
      </c>
      <c r="AC300" s="24">
        <f t="shared" si="78"/>
        <v>3.090440509870199E-2</v>
      </c>
      <c r="AE300" s="5">
        <f t="shared" si="79"/>
        <v>146.70931820901401</v>
      </c>
      <c r="AF300" s="6">
        <f t="shared" si="80"/>
        <v>178.42651999331798</v>
      </c>
      <c r="AH300" s="1">
        <f t="shared" si="70"/>
        <v>40781</v>
      </c>
      <c r="AI300">
        <f t="shared" si="74"/>
        <v>0.82223941942323497</v>
      </c>
      <c r="AJ300">
        <f t="shared" ca="1" si="64"/>
        <v>0.73973478573830476</v>
      </c>
      <c r="AK300">
        <f t="shared" ca="1" si="65"/>
        <v>0.75674633060490315</v>
      </c>
      <c r="AL300">
        <f t="shared" ca="1" si="66"/>
        <v>0.77618012357163502</v>
      </c>
      <c r="AM300">
        <f t="shared" ca="1" si="67"/>
        <v>0.78706188257822407</v>
      </c>
      <c r="AN300">
        <f t="shared" ca="1" si="68"/>
        <v>0.81475185541635564</v>
      </c>
      <c r="AP300" s="40"/>
      <c r="AQ300" s="41"/>
    </row>
    <row r="301" spans="2:43" x14ac:dyDescent="0.25">
      <c r="B301" s="1">
        <v>40788</v>
      </c>
      <c r="C301">
        <v>1.8939999999999999</v>
      </c>
      <c r="D301">
        <v>1.1080000000000001</v>
      </c>
      <c r="E301" t="s">
        <v>33</v>
      </c>
      <c r="G301">
        <v>2872.11</v>
      </c>
      <c r="I301" s="14">
        <f t="shared" si="71"/>
        <v>-1.6614745586708168E-2</v>
      </c>
      <c r="J301" s="15">
        <f t="shared" si="72"/>
        <v>-4.7291487532244103E-2</v>
      </c>
      <c r="K301" s="15"/>
      <c r="L301" s="15"/>
      <c r="M301" s="16">
        <f t="shared" si="73"/>
        <v>-4.0847605144439525E-3</v>
      </c>
      <c r="O301" s="13">
        <f t="shared" si="75"/>
        <v>-3.1953116559476136E-2</v>
      </c>
      <c r="Q301" s="5">
        <f t="shared" si="76"/>
        <v>163.73212163543079</v>
      </c>
      <c r="R301" s="6">
        <f t="shared" si="77"/>
        <v>177.69769038971964</v>
      </c>
      <c r="T301" s="11">
        <f t="shared" si="69"/>
        <v>0.92140827084662658</v>
      </c>
      <c r="V301" s="9">
        <v>40788</v>
      </c>
      <c r="W301">
        <v>7985.73</v>
      </c>
      <c r="X301">
        <v>9312.1641</v>
      </c>
      <c r="Y301" t="s">
        <v>33</v>
      </c>
      <c r="AC301" s="24">
        <f t="shared" si="78"/>
        <v>-3.4435347196088373E-2</v>
      </c>
      <c r="AE301" s="5">
        <f t="shared" si="79"/>
        <v>141.65733189958522</v>
      </c>
      <c r="AF301" s="6">
        <f t="shared" si="80"/>
        <v>177.69769038971964</v>
      </c>
      <c r="AH301" s="1">
        <f t="shared" si="70"/>
        <v>40788</v>
      </c>
      <c r="AI301">
        <f t="shared" si="74"/>
        <v>0.79718161552301492</v>
      </c>
      <c r="AJ301">
        <f t="shared" ca="1" si="64"/>
        <v>0.73973478573830476</v>
      </c>
      <c r="AK301">
        <f t="shared" ca="1" si="65"/>
        <v>0.75674633060490315</v>
      </c>
      <c r="AL301">
        <f t="shared" ca="1" si="66"/>
        <v>0.77618012357163502</v>
      </c>
      <c r="AM301">
        <f t="shared" ca="1" si="67"/>
        <v>0.78706188257822407</v>
      </c>
      <c r="AN301">
        <f t="shared" ca="1" si="68"/>
        <v>0.81475185541635564</v>
      </c>
      <c r="AP301" s="40"/>
      <c r="AQ301" s="41"/>
    </row>
    <row r="302" spans="2:43" x14ac:dyDescent="0.25">
      <c r="B302" s="1">
        <v>40795</v>
      </c>
      <c r="C302">
        <v>1.829</v>
      </c>
      <c r="D302">
        <v>1.054</v>
      </c>
      <c r="E302" t="s">
        <v>33</v>
      </c>
      <c r="G302">
        <v>2753.22</v>
      </c>
      <c r="I302" s="14">
        <f t="shared" si="71"/>
        <v>-3.431890179514252E-2</v>
      </c>
      <c r="J302" s="15">
        <f t="shared" si="72"/>
        <v>-4.8736462093862842E-2</v>
      </c>
      <c r="K302" s="15"/>
      <c r="L302" s="15"/>
      <c r="M302" s="16">
        <f t="shared" si="73"/>
        <v>-4.1394654104473849E-2</v>
      </c>
      <c r="O302" s="13">
        <f t="shared" si="75"/>
        <v>-4.1527681944502681E-2</v>
      </c>
      <c r="Q302" s="5">
        <f t="shared" si="76"/>
        <v>156.93270616405599</v>
      </c>
      <c r="R302" s="6">
        <f t="shared" si="77"/>
        <v>170.34195596087332</v>
      </c>
      <c r="T302" s="11">
        <f t="shared" si="69"/>
        <v>0.9212804049291452</v>
      </c>
      <c r="V302" s="9">
        <v>40795</v>
      </c>
      <c r="W302">
        <v>7713.71</v>
      </c>
      <c r="X302">
        <v>8860.4547000000002</v>
      </c>
      <c r="Y302" t="s">
        <v>33</v>
      </c>
      <c r="AC302" s="24">
        <f t="shared" si="78"/>
        <v>-4.2080464367278324E-2</v>
      </c>
      <c r="AE302" s="5">
        <f t="shared" si="79"/>
        <v>135.696325592221</v>
      </c>
      <c r="AF302" s="6">
        <f t="shared" si="80"/>
        <v>170.34195596087332</v>
      </c>
      <c r="AH302" s="1">
        <f t="shared" si="70"/>
        <v>40795</v>
      </c>
      <c r="AI302">
        <f t="shared" si="74"/>
        <v>0.79661129183810575</v>
      </c>
      <c r="AJ302">
        <f t="shared" ca="1" si="64"/>
        <v>0.73973478573830476</v>
      </c>
      <c r="AK302">
        <f t="shared" ca="1" si="65"/>
        <v>0.75674633060490315</v>
      </c>
      <c r="AL302">
        <f t="shared" ca="1" si="66"/>
        <v>0.77618012357163502</v>
      </c>
      <c r="AM302">
        <f t="shared" ca="1" si="67"/>
        <v>0.78706188257822407</v>
      </c>
      <c r="AN302">
        <f t="shared" ca="1" si="68"/>
        <v>0.8140381020122569</v>
      </c>
      <c r="AP302" s="40"/>
      <c r="AQ302" s="41"/>
    </row>
    <row r="303" spans="2:43" x14ac:dyDescent="0.25">
      <c r="B303" s="1">
        <v>40802</v>
      </c>
      <c r="C303">
        <v>1.8109999999999999</v>
      </c>
      <c r="D303">
        <v>1.0089999999999999</v>
      </c>
      <c r="E303" t="s">
        <v>33</v>
      </c>
      <c r="G303">
        <v>2750.33</v>
      </c>
      <c r="I303" s="14">
        <f t="shared" si="71"/>
        <v>-9.8414434117003458E-3</v>
      </c>
      <c r="J303" s="15">
        <f t="shared" si="72"/>
        <v>-4.2694497153700328E-2</v>
      </c>
      <c r="K303" s="15"/>
      <c r="L303" s="15"/>
      <c r="M303" s="16">
        <f t="shared" si="73"/>
        <v>-1.0496800110415538E-3</v>
      </c>
      <c r="O303" s="13">
        <f t="shared" si="75"/>
        <v>-2.6267970282700337E-2</v>
      </c>
      <c r="Q303" s="5">
        <f t="shared" si="76"/>
        <v>152.81040250215483</v>
      </c>
      <c r="R303" s="6">
        <f t="shared" si="77"/>
        <v>170.16315141465947</v>
      </c>
      <c r="T303" s="11">
        <f t="shared" si="69"/>
        <v>0.89802287529208447</v>
      </c>
      <c r="V303" s="9">
        <v>40802</v>
      </c>
      <c r="W303">
        <v>7635.99</v>
      </c>
      <c r="X303">
        <v>8478.2389999999996</v>
      </c>
      <c r="Y303" t="s">
        <v>33</v>
      </c>
      <c r="AC303" s="24">
        <f t="shared" si="78"/>
        <v>-2.7404500115104306E-2</v>
      </c>
      <c r="AE303" s="5">
        <f t="shared" si="79"/>
        <v>131.97763562190974</v>
      </c>
      <c r="AF303" s="6">
        <f t="shared" si="80"/>
        <v>170.16315141465947</v>
      </c>
      <c r="AH303" s="1">
        <f t="shared" si="70"/>
        <v>40802</v>
      </c>
      <c r="AI303">
        <f t="shared" si="74"/>
        <v>0.7755946838355271</v>
      </c>
      <c r="AJ303">
        <f t="shared" ca="1" si="64"/>
        <v>0.73973478573830476</v>
      </c>
      <c r="AK303">
        <f t="shared" ca="1" si="65"/>
        <v>0.75674633060490315</v>
      </c>
      <c r="AL303">
        <f t="shared" ca="1" si="66"/>
        <v>0.77618012357163502</v>
      </c>
      <c r="AM303">
        <f t="shared" ca="1" si="67"/>
        <v>0.78706188257822407</v>
      </c>
      <c r="AN303">
        <f t="shared" ca="1" si="68"/>
        <v>0.81340041358698123</v>
      </c>
      <c r="AP303" s="40"/>
      <c r="AQ303" s="41"/>
    </row>
    <row r="304" spans="2:43" x14ac:dyDescent="0.25">
      <c r="B304" s="1">
        <v>40809</v>
      </c>
      <c r="C304">
        <v>1.659</v>
      </c>
      <c r="D304">
        <v>0.89700000000000002</v>
      </c>
      <c r="E304" t="s">
        <v>33</v>
      </c>
      <c r="G304">
        <v>2482.63</v>
      </c>
      <c r="I304" s="14">
        <f t="shared" si="71"/>
        <v>-8.3931529541689587E-2</v>
      </c>
      <c r="J304" s="15">
        <f t="shared" si="72"/>
        <v>-0.11100099108027739</v>
      </c>
      <c r="K304" s="15"/>
      <c r="L304" s="15"/>
      <c r="M304" s="16">
        <f t="shared" si="73"/>
        <v>-9.7333774492515346E-2</v>
      </c>
      <c r="O304" s="13">
        <f t="shared" si="75"/>
        <v>-9.7466260310983488E-2</v>
      </c>
      <c r="Q304" s="5">
        <f t="shared" si="76"/>
        <v>137.91654403365365</v>
      </c>
      <c r="R304" s="6">
        <f t="shared" si="77"/>
        <v>153.60052960792925</v>
      </c>
      <c r="T304" s="11">
        <f t="shared" si="69"/>
        <v>0.89789107098582588</v>
      </c>
      <c r="V304" s="9">
        <v>40809</v>
      </c>
      <c r="W304">
        <v>6994.8</v>
      </c>
      <c r="X304">
        <v>7540.0731999999998</v>
      </c>
      <c r="Y304" t="s">
        <v>33</v>
      </c>
      <c r="AC304" s="24">
        <f t="shared" si="78"/>
        <v>-9.8173685621602266E-2</v>
      </c>
      <c r="AE304" s="5">
        <f t="shared" si="79"/>
        <v>119.02090471328201</v>
      </c>
      <c r="AF304" s="6">
        <f t="shared" si="80"/>
        <v>153.60052960792925</v>
      </c>
      <c r="AH304" s="1">
        <f t="shared" si="70"/>
        <v>40809</v>
      </c>
      <c r="AI304">
        <f t="shared" si="74"/>
        <v>0.77487300998952968</v>
      </c>
      <c r="AJ304">
        <f t="shared" ca="1" si="64"/>
        <v>0.73973478573830476</v>
      </c>
      <c r="AK304">
        <f t="shared" ca="1" si="65"/>
        <v>0.75674633060490315</v>
      </c>
      <c r="AL304">
        <f t="shared" ca="1" si="66"/>
        <v>0.77572310731684224</v>
      </c>
      <c r="AM304">
        <f t="shared" ca="1" si="67"/>
        <v>0.78589957500130914</v>
      </c>
      <c r="AN304">
        <f t="shared" ca="1" si="68"/>
        <v>0.81232681140681717</v>
      </c>
      <c r="AP304" s="40"/>
      <c r="AQ304" s="41"/>
    </row>
    <row r="305" spans="2:43" x14ac:dyDescent="0.25">
      <c r="B305" s="1">
        <v>40816</v>
      </c>
      <c r="C305">
        <v>1.603</v>
      </c>
      <c r="D305">
        <v>0.876</v>
      </c>
      <c r="E305" t="s">
        <v>33</v>
      </c>
      <c r="G305">
        <v>2463.63</v>
      </c>
      <c r="I305" s="14">
        <f t="shared" si="71"/>
        <v>-3.3755274261603407E-2</v>
      </c>
      <c r="J305" s="15">
        <f t="shared" si="72"/>
        <v>-2.3411371237458178E-2</v>
      </c>
      <c r="K305" s="15"/>
      <c r="L305" s="15"/>
      <c r="M305" s="16">
        <f t="shared" si="73"/>
        <v>-7.653174254721784E-3</v>
      </c>
      <c r="O305" s="13">
        <f t="shared" si="75"/>
        <v>-2.8583322749530793E-2</v>
      </c>
      <c r="Q305" s="5">
        <f t="shared" si="76"/>
        <v>133.97443094303986</v>
      </c>
      <c r="R305" s="6">
        <f t="shared" si="77"/>
        <v>152.42499798922222</v>
      </c>
      <c r="T305" s="11">
        <f t="shared" si="69"/>
        <v>0.87895314226943944</v>
      </c>
      <c r="V305" s="9">
        <v>40816</v>
      </c>
      <c r="W305">
        <v>6761.64</v>
      </c>
      <c r="X305">
        <v>7366.3388000000004</v>
      </c>
      <c r="Y305" t="s">
        <v>33</v>
      </c>
      <c r="AC305" s="24">
        <f t="shared" si="78"/>
        <v>-2.8389297902363039E-2</v>
      </c>
      <c r="AE305" s="5">
        <f t="shared" si="79"/>
        <v>115.64198479276789</v>
      </c>
      <c r="AF305" s="6">
        <f t="shared" si="80"/>
        <v>152.42499798922222</v>
      </c>
      <c r="AH305" s="1">
        <f t="shared" si="70"/>
        <v>40816</v>
      </c>
      <c r="AI305">
        <f t="shared" si="74"/>
        <v>0.75868122892115619</v>
      </c>
      <c r="AJ305">
        <f t="shared" ca="1" si="64"/>
        <v>0.73973478573830476</v>
      </c>
      <c r="AK305">
        <f t="shared" ca="1" si="65"/>
        <v>0.75674633060490315</v>
      </c>
      <c r="AL305">
        <f t="shared" ca="1" si="66"/>
        <v>0.77547539125986154</v>
      </c>
      <c r="AM305">
        <f t="shared" ca="1" si="67"/>
        <v>0.78570393797525517</v>
      </c>
      <c r="AN305">
        <f t="shared" ca="1" si="68"/>
        <v>0.81176669804684398</v>
      </c>
      <c r="AP305" s="40"/>
      <c r="AQ305" s="41"/>
    </row>
    <row r="306" spans="2:43" x14ac:dyDescent="0.25">
      <c r="B306" s="1">
        <v>40823</v>
      </c>
      <c r="C306">
        <v>1.5249999999999999</v>
      </c>
      <c r="D306">
        <v>0.81</v>
      </c>
      <c r="E306" t="s">
        <v>33</v>
      </c>
      <c r="G306">
        <v>2325.9499999999998</v>
      </c>
      <c r="I306" s="14">
        <f t="shared" si="71"/>
        <v>-4.865876481597009E-2</v>
      </c>
      <c r="J306" s="15">
        <f t="shared" si="72"/>
        <v>-7.5342465753424626E-2</v>
      </c>
      <c r="K306" s="15"/>
      <c r="L306" s="15"/>
      <c r="M306" s="16">
        <f t="shared" si="73"/>
        <v>-5.5885015201146415E-2</v>
      </c>
      <c r="O306" s="13">
        <f t="shared" si="75"/>
        <v>-6.2000615284697358E-2</v>
      </c>
      <c r="Q306" s="5">
        <f t="shared" si="76"/>
        <v>125.6679337921542</v>
      </c>
      <c r="R306" s="6">
        <f t="shared" si="77"/>
        <v>143.90672465955981</v>
      </c>
      <c r="T306" s="11">
        <f t="shared" si="69"/>
        <v>0.87325963459627665</v>
      </c>
      <c r="V306" s="9">
        <v>40823</v>
      </c>
      <c r="W306">
        <v>6431.33</v>
      </c>
      <c r="X306">
        <v>6810.3887000000004</v>
      </c>
      <c r="Y306" t="s">
        <v>33</v>
      </c>
      <c r="AC306" s="24">
        <f t="shared" si="78"/>
        <v>-6.2571666606505594E-2</v>
      </c>
      <c r="AE306" s="5">
        <f t="shared" si="79"/>
        <v>108.40607307460023</v>
      </c>
      <c r="AF306" s="6">
        <f t="shared" si="80"/>
        <v>143.90672465955981</v>
      </c>
      <c r="AH306" s="1">
        <f t="shared" si="70"/>
        <v>40823</v>
      </c>
      <c r="AI306">
        <f t="shared" si="74"/>
        <v>0.75330790365117772</v>
      </c>
      <c r="AJ306">
        <f t="shared" ca="1" si="64"/>
        <v>0.73973478573830476</v>
      </c>
      <c r="AK306">
        <f t="shared" ca="1" si="65"/>
        <v>0.75674633060490315</v>
      </c>
      <c r="AL306">
        <f t="shared" ca="1" si="66"/>
        <v>0.77516474165561677</v>
      </c>
      <c r="AM306">
        <f t="shared" ca="1" si="67"/>
        <v>0.78436525312923067</v>
      </c>
      <c r="AN306">
        <f t="shared" ca="1" si="68"/>
        <v>0.81166787302706755</v>
      </c>
      <c r="AP306" s="40"/>
      <c r="AQ306" s="41"/>
    </row>
    <row r="307" spans="2:43" x14ac:dyDescent="0.25">
      <c r="B307" s="1">
        <v>40830</v>
      </c>
      <c r="C307">
        <v>1.728</v>
      </c>
      <c r="D307">
        <v>1.004</v>
      </c>
      <c r="E307" t="s">
        <v>33</v>
      </c>
      <c r="G307">
        <v>2717.05</v>
      </c>
      <c r="I307" s="14">
        <f t="shared" si="71"/>
        <v>0.1331147540983606</v>
      </c>
      <c r="J307" s="15">
        <f t="shared" si="72"/>
        <v>0.23950617283950604</v>
      </c>
      <c r="K307" s="15"/>
      <c r="L307" s="15"/>
      <c r="M307" s="16">
        <f t="shared" si="73"/>
        <v>0.16814634880371471</v>
      </c>
      <c r="O307" s="13">
        <f t="shared" si="75"/>
        <v>0.18631046346893332</v>
      </c>
      <c r="Q307" s="5">
        <f t="shared" si="76"/>
        <v>149.08118478015368</v>
      </c>
      <c r="R307" s="6">
        <f t="shared" si="77"/>
        <v>168.1041149793663</v>
      </c>
      <c r="T307" s="11">
        <f t="shared" si="69"/>
        <v>0.88683840248915047</v>
      </c>
      <c r="V307" s="9">
        <v>40830</v>
      </c>
      <c r="W307">
        <v>7286.25</v>
      </c>
      <c r="X307">
        <v>8443.4920999999995</v>
      </c>
      <c r="Y307" t="s">
        <v>33</v>
      </c>
      <c r="AC307" s="24">
        <f t="shared" si="78"/>
        <v>0.18783324890913355</v>
      </c>
      <c r="AE307" s="5">
        <f t="shared" si="79"/>
        <v>128.76833798168335</v>
      </c>
      <c r="AF307" s="6">
        <f t="shared" si="80"/>
        <v>168.1041149793663</v>
      </c>
      <c r="AH307" s="1">
        <f t="shared" si="70"/>
        <v>40830</v>
      </c>
      <c r="AI307">
        <f t="shared" si="74"/>
        <v>0.76600348538457153</v>
      </c>
      <c r="AJ307">
        <f t="shared" ca="1" si="64"/>
        <v>0.73973478573830476</v>
      </c>
      <c r="AK307">
        <f t="shared" ca="1" si="65"/>
        <v>0.75456619291465821</v>
      </c>
      <c r="AL307">
        <f t="shared" ca="1" si="66"/>
        <v>0.77492319730828363</v>
      </c>
      <c r="AM307">
        <f t="shared" ca="1" si="67"/>
        <v>0.78375405540602727</v>
      </c>
      <c r="AN307">
        <f t="shared" ca="1" si="68"/>
        <v>0.79712458315452395</v>
      </c>
      <c r="AP307" s="40"/>
      <c r="AQ307" s="41"/>
    </row>
    <row r="308" spans="2:43" x14ac:dyDescent="0.25">
      <c r="B308" s="1">
        <v>40837</v>
      </c>
      <c r="C308">
        <v>1.7689999999999999</v>
      </c>
      <c r="D308">
        <v>1.038</v>
      </c>
      <c r="E308" t="s">
        <v>33</v>
      </c>
      <c r="G308">
        <v>2797.53</v>
      </c>
      <c r="I308" s="14">
        <f t="shared" si="71"/>
        <v>2.372685185185186E-2</v>
      </c>
      <c r="J308" s="15">
        <f t="shared" si="72"/>
        <v>3.3864541832669293E-2</v>
      </c>
      <c r="K308" s="15"/>
      <c r="L308" s="15"/>
      <c r="M308" s="16">
        <f t="shared" si="73"/>
        <v>2.9620360317255789E-2</v>
      </c>
      <c r="O308" s="13">
        <f t="shared" si="75"/>
        <v>2.8795696842260576E-2</v>
      </c>
      <c r="Q308" s="5">
        <f t="shared" si="76"/>
        <v>153.37408138196801</v>
      </c>
      <c r="R308" s="6">
        <f t="shared" si="77"/>
        <v>173.08341943586854</v>
      </c>
      <c r="T308" s="11">
        <f t="shared" si="69"/>
        <v>0.88612809870443254</v>
      </c>
      <c r="V308" s="9">
        <v>40837</v>
      </c>
      <c r="W308">
        <v>7461.12</v>
      </c>
      <c r="X308">
        <v>8721.4671999999991</v>
      </c>
      <c r="Y308" t="s">
        <v>33</v>
      </c>
      <c r="AC308" s="24">
        <f t="shared" si="78"/>
        <v>2.9168613370960376E-2</v>
      </c>
      <c r="AE308" s="5">
        <f t="shared" si="79"/>
        <v>132.52433184669221</v>
      </c>
      <c r="AF308" s="6">
        <f t="shared" si="80"/>
        <v>173.08341943586854</v>
      </c>
      <c r="AH308" s="1">
        <f t="shared" si="70"/>
        <v>40837</v>
      </c>
      <c r="AI308">
        <f t="shared" si="74"/>
        <v>0.76566740060156702</v>
      </c>
      <c r="AJ308">
        <f t="shared" ca="1" si="64"/>
        <v>0.73973478573830476</v>
      </c>
      <c r="AK308">
        <f t="shared" ca="1" si="65"/>
        <v>0.75456619291465821</v>
      </c>
      <c r="AL308">
        <f t="shared" ca="1" si="66"/>
        <v>0.77412502685765516</v>
      </c>
      <c r="AM308">
        <f t="shared" ca="1" si="67"/>
        <v>0.7833090463060004</v>
      </c>
      <c r="AN308">
        <f t="shared" ca="1" si="68"/>
        <v>0.79632504316011232</v>
      </c>
      <c r="AP308" s="40"/>
      <c r="AQ308" s="41"/>
    </row>
    <row r="309" spans="2:43" x14ac:dyDescent="0.25">
      <c r="B309" s="1">
        <v>40844</v>
      </c>
      <c r="C309">
        <v>1.907</v>
      </c>
      <c r="D309">
        <v>1.149</v>
      </c>
      <c r="E309" t="s">
        <v>33</v>
      </c>
      <c r="G309">
        <v>3015.22</v>
      </c>
      <c r="I309" s="14">
        <f t="shared" si="71"/>
        <v>7.8010175240248891E-2</v>
      </c>
      <c r="J309" s="15">
        <f t="shared" si="72"/>
        <v>0.10693641618497107</v>
      </c>
      <c r="K309" s="15"/>
      <c r="L309" s="15"/>
      <c r="M309" s="16">
        <f t="shared" si="73"/>
        <v>7.7815072581884692E-2</v>
      </c>
      <c r="O309" s="13">
        <f t="shared" si="75"/>
        <v>9.2473295712609982E-2</v>
      </c>
      <c r="Q309" s="5">
        <f t="shared" si="76"/>
        <v>167.55708816425266</v>
      </c>
      <c r="R309" s="6">
        <f t="shared" si="77"/>
        <v>186.55191828199145</v>
      </c>
      <c r="T309" s="11">
        <f t="shared" si="69"/>
        <v>0.89817938999144331</v>
      </c>
      <c r="V309" s="9">
        <v>40844</v>
      </c>
      <c r="W309">
        <v>8044.02</v>
      </c>
      <c r="X309">
        <v>9659.6329000000005</v>
      </c>
      <c r="Y309" t="s">
        <v>33</v>
      </c>
      <c r="AC309" s="24">
        <f t="shared" si="78"/>
        <v>9.3599725817099272E-2</v>
      </c>
      <c r="AE309" s="5">
        <f t="shared" si="79"/>
        <v>144.92857297163687</v>
      </c>
      <c r="AF309" s="6">
        <f t="shared" si="80"/>
        <v>186.55191828199145</v>
      </c>
      <c r="AH309" s="1">
        <f t="shared" si="70"/>
        <v>40844</v>
      </c>
      <c r="AI309">
        <f t="shared" si="74"/>
        <v>0.77688063626643156</v>
      </c>
      <c r="AJ309">
        <f t="shared" ca="1" si="64"/>
        <v>0.73973478573830476</v>
      </c>
      <c r="AK309">
        <f t="shared" ca="1" si="65"/>
        <v>0.75456619291465821</v>
      </c>
      <c r="AL309">
        <f t="shared" ca="1" si="66"/>
        <v>0.77297259255276818</v>
      </c>
      <c r="AM309">
        <f t="shared" ca="1" si="67"/>
        <v>0.78234817097654485</v>
      </c>
      <c r="AN309">
        <f t="shared" ca="1" si="68"/>
        <v>0.79590791687804763</v>
      </c>
      <c r="AP309" s="40"/>
      <c r="AQ309" s="41"/>
    </row>
    <row r="310" spans="2:43" x14ac:dyDescent="0.25">
      <c r="B310" s="1">
        <v>40851</v>
      </c>
      <c r="C310">
        <v>1.847</v>
      </c>
      <c r="D310">
        <v>0.97599999999999998</v>
      </c>
      <c r="E310" t="s">
        <v>33</v>
      </c>
      <c r="G310">
        <v>2761.36</v>
      </c>
      <c r="I310" s="14">
        <f t="shared" si="71"/>
        <v>-3.1463030938647107E-2</v>
      </c>
      <c r="J310" s="15">
        <f t="shared" si="72"/>
        <v>-0.15056570931244562</v>
      </c>
      <c r="K310" s="15"/>
      <c r="L310" s="15"/>
      <c r="M310" s="16">
        <f t="shared" si="73"/>
        <v>-8.4192861549074238E-2</v>
      </c>
      <c r="O310" s="13">
        <f t="shared" si="75"/>
        <v>-9.1014370125546362E-2</v>
      </c>
      <c r="Q310" s="5">
        <f t="shared" si="76"/>
        <v>152.30698532491257</v>
      </c>
      <c r="R310" s="6">
        <f t="shared" si="77"/>
        <v>170.84557845436154</v>
      </c>
      <c r="T310" s="11">
        <f t="shared" si="69"/>
        <v>0.89148918399195665</v>
      </c>
      <c r="V310" s="9">
        <v>40851</v>
      </c>
      <c r="W310">
        <v>7616.56</v>
      </c>
      <c r="X310">
        <v>8200.2638999999999</v>
      </c>
      <c r="Y310" t="s">
        <v>33</v>
      </c>
      <c r="AC310" s="24">
        <f t="shared" si="78"/>
        <v>-9.6448949776767948E-2</v>
      </c>
      <c r="AE310" s="5">
        <f t="shared" si="79"/>
        <v>130.95036431587681</v>
      </c>
      <c r="AF310" s="6">
        <f t="shared" si="80"/>
        <v>170.84557845436154</v>
      </c>
      <c r="AH310" s="1">
        <f t="shared" si="70"/>
        <v>40851</v>
      </c>
      <c r="AI310">
        <f t="shared" si="74"/>
        <v>0.7664837773419928</v>
      </c>
      <c r="AJ310">
        <f t="shared" ca="1" si="64"/>
        <v>0.73973478573830476</v>
      </c>
      <c r="AK310">
        <f t="shared" ca="1" si="65"/>
        <v>0.75456619291465821</v>
      </c>
      <c r="AL310">
        <f t="shared" ca="1" si="66"/>
        <v>0.77297259255276818</v>
      </c>
      <c r="AM310">
        <f t="shared" ca="1" si="67"/>
        <v>0.78234817097654485</v>
      </c>
      <c r="AN310">
        <f t="shared" ca="1" si="68"/>
        <v>0.79590791687804763</v>
      </c>
      <c r="AP310" s="40"/>
      <c r="AQ310" s="41"/>
    </row>
    <row r="311" spans="2:43" x14ac:dyDescent="0.25">
      <c r="B311" s="1">
        <v>40858</v>
      </c>
      <c r="C311">
        <v>1.7050000000000001</v>
      </c>
      <c r="D311">
        <v>0.97599999999999998</v>
      </c>
      <c r="E311" t="s">
        <v>33</v>
      </c>
      <c r="G311">
        <v>2751.67</v>
      </c>
      <c r="I311" s="14">
        <f t="shared" si="71"/>
        <v>-7.6881429344883512E-2</v>
      </c>
      <c r="J311" s="15">
        <f t="shared" si="72"/>
        <v>0</v>
      </c>
      <c r="K311" s="15"/>
      <c r="L311" s="15"/>
      <c r="M311" s="16">
        <f t="shared" si="73"/>
        <v>-3.5091404235594315E-3</v>
      </c>
      <c r="O311" s="13">
        <f t="shared" si="75"/>
        <v>-3.8440714672441756E-2</v>
      </c>
      <c r="Q311" s="5">
        <f t="shared" si="76"/>
        <v>146.45219595941785</v>
      </c>
      <c r="R311" s="6">
        <f t="shared" si="77"/>
        <v>170.24605732882094</v>
      </c>
      <c r="T311" s="11">
        <f t="shared" si="69"/>
        <v>0.86023839997982132</v>
      </c>
      <c r="V311" s="9">
        <v>40858</v>
      </c>
      <c r="W311">
        <v>7033.66</v>
      </c>
      <c r="X311">
        <v>8200.2638999999999</v>
      </c>
      <c r="Y311" t="s">
        <v>33</v>
      </c>
      <c r="AC311" s="24">
        <f t="shared" si="78"/>
        <v>-3.7022098949401977E-2</v>
      </c>
      <c r="AE311" s="5">
        <f t="shared" si="79"/>
        <v>126.10230697071418</v>
      </c>
      <c r="AF311" s="6">
        <f t="shared" si="80"/>
        <v>170.24605732882094</v>
      </c>
      <c r="AH311" s="1">
        <f t="shared" si="70"/>
        <v>40858</v>
      </c>
      <c r="AI311">
        <f t="shared" si="74"/>
        <v>0.74070618109619113</v>
      </c>
      <c r="AJ311">
        <f t="shared" ca="1" si="64"/>
        <v>0.73973478573830476</v>
      </c>
      <c r="AK311">
        <f t="shared" ca="1" si="65"/>
        <v>0.75632690085040966</v>
      </c>
      <c r="AL311">
        <f t="shared" ca="1" si="66"/>
        <v>0.77297259255276818</v>
      </c>
      <c r="AM311">
        <f t="shared" ca="1" si="67"/>
        <v>0.78234817097654485</v>
      </c>
      <c r="AN311">
        <f t="shared" ca="1" si="68"/>
        <v>0.79590791687804763</v>
      </c>
      <c r="AP311" s="40"/>
      <c r="AQ311" s="41"/>
    </row>
    <row r="312" spans="2:43" x14ac:dyDescent="0.25">
      <c r="B312" s="1">
        <v>40865</v>
      </c>
      <c r="C312">
        <v>1.573</v>
      </c>
      <c r="D312">
        <v>0.92800000000000005</v>
      </c>
      <c r="E312" t="s">
        <v>33</v>
      </c>
      <c r="G312">
        <v>2528.04</v>
      </c>
      <c r="I312" s="14">
        <f t="shared" si="71"/>
        <v>-7.7419354838709764E-2</v>
      </c>
      <c r="J312" s="15">
        <f t="shared" si="72"/>
        <v>-4.9180327868852403E-2</v>
      </c>
      <c r="K312" s="15"/>
      <c r="L312" s="15"/>
      <c r="M312" s="16">
        <f t="shared" si="73"/>
        <v>-8.127064655282068E-2</v>
      </c>
      <c r="O312" s="13">
        <f t="shared" si="75"/>
        <v>-6.3299841353781083E-2</v>
      </c>
      <c r="Q312" s="5">
        <f t="shared" si="76"/>
        <v>137.18179518927383</v>
      </c>
      <c r="R312" s="6">
        <f t="shared" si="77"/>
        <v>156.41005017663909</v>
      </c>
      <c r="T312" s="11">
        <f t="shared" si="69"/>
        <v>0.87706509290387569</v>
      </c>
      <c r="V312" s="9">
        <v>40865</v>
      </c>
      <c r="W312">
        <v>6489.62</v>
      </c>
      <c r="X312">
        <v>7800.6747999999998</v>
      </c>
      <c r="Y312" t="s">
        <v>33</v>
      </c>
      <c r="AC312" s="24">
        <f t="shared" si="78"/>
        <v>-6.2218578272401216E-2</v>
      </c>
      <c r="AE312" s="5">
        <f t="shared" si="79"/>
        <v>118.25640071412644</v>
      </c>
      <c r="AF312" s="6">
        <f t="shared" si="80"/>
        <v>156.41005017663909</v>
      </c>
      <c r="AH312" s="1">
        <f t="shared" si="70"/>
        <v>40865</v>
      </c>
      <c r="AI312">
        <f t="shared" si="74"/>
        <v>0.75606650966849986</v>
      </c>
      <c r="AJ312">
        <f t="shared" ca="1" si="64"/>
        <v>0.73941804272556688</v>
      </c>
      <c r="AK312">
        <f t="shared" ca="1" si="65"/>
        <v>0.75325413585783141</v>
      </c>
      <c r="AL312">
        <f t="shared" ca="1" si="66"/>
        <v>0.77168214050708328</v>
      </c>
      <c r="AM312">
        <f t="shared" ca="1" si="67"/>
        <v>0.78138638034649044</v>
      </c>
      <c r="AN312">
        <f t="shared" ca="1" si="68"/>
        <v>0.79590791687804763</v>
      </c>
      <c r="AP312" s="40"/>
      <c r="AQ312" s="41"/>
    </row>
    <row r="313" spans="2:43" x14ac:dyDescent="0.25">
      <c r="B313" s="1">
        <v>40872</v>
      </c>
      <c r="C313">
        <v>1.498</v>
      </c>
      <c r="D313">
        <v>0.89500000000000002</v>
      </c>
      <c r="E313" t="s">
        <v>33</v>
      </c>
      <c r="G313">
        <v>2426</v>
      </c>
      <c r="I313" s="14">
        <f t="shared" si="71"/>
        <v>-4.7679593134138609E-2</v>
      </c>
      <c r="J313" s="15">
        <f t="shared" si="72"/>
        <v>-3.5560344827586188E-2</v>
      </c>
      <c r="K313" s="15"/>
      <c r="L313" s="15"/>
      <c r="M313" s="16">
        <f t="shared" si="73"/>
        <v>-4.0363285391053938E-2</v>
      </c>
      <c r="O313" s="13">
        <f t="shared" si="75"/>
        <v>-4.1619968980862398E-2</v>
      </c>
      <c r="Q313" s="5">
        <f t="shared" si="76"/>
        <v>131.47229312875723</v>
      </c>
      <c r="R313" s="6">
        <f t="shared" si="77"/>
        <v>150.09682668333033</v>
      </c>
      <c r="T313" s="11">
        <f t="shared" si="69"/>
        <v>0.87591654023528043</v>
      </c>
      <c r="V313" s="9">
        <v>40872</v>
      </c>
      <c r="W313">
        <v>6178.74</v>
      </c>
      <c r="X313">
        <v>7522.6998000000003</v>
      </c>
      <c r="Y313" t="s">
        <v>33</v>
      </c>
      <c r="AC313" s="24">
        <f t="shared" si="78"/>
        <v>-4.1064032280917706E-2</v>
      </c>
      <c r="AE313" s="5">
        <f t="shared" si="79"/>
        <v>113.40031605777641</v>
      </c>
      <c r="AF313" s="6">
        <f t="shared" si="80"/>
        <v>150.09682668333033</v>
      </c>
      <c r="AH313" s="1">
        <f t="shared" si="70"/>
        <v>40872</v>
      </c>
      <c r="AI313">
        <f t="shared" si="74"/>
        <v>0.75551441401905783</v>
      </c>
      <c r="AJ313">
        <f t="shared" ca="1" si="64"/>
        <v>0.73941804272556688</v>
      </c>
      <c r="AK313">
        <f t="shared" ca="1" si="65"/>
        <v>0.75325413585783141</v>
      </c>
      <c r="AL313">
        <f t="shared" ca="1" si="66"/>
        <v>0.7702487218567482</v>
      </c>
      <c r="AM313">
        <f t="shared" ca="1" si="67"/>
        <v>0.78138638034649044</v>
      </c>
      <c r="AN313">
        <f t="shared" ca="1" si="68"/>
        <v>0.79590791687804763</v>
      </c>
      <c r="AP313" s="40"/>
      <c r="AQ313" s="41"/>
    </row>
    <row r="314" spans="2:43" x14ac:dyDescent="0.25">
      <c r="B314" s="1">
        <v>40879</v>
      </c>
      <c r="C314">
        <v>1.6160000000000001</v>
      </c>
      <c r="D314">
        <v>1.002</v>
      </c>
      <c r="E314" t="s">
        <v>33</v>
      </c>
      <c r="G314">
        <v>2629.63</v>
      </c>
      <c r="I314" s="14">
        <f t="shared" si="71"/>
        <v>7.8771695594125557E-2</v>
      </c>
      <c r="J314" s="15">
        <f t="shared" si="72"/>
        <v>0.11955307262569836</v>
      </c>
      <c r="K314" s="15"/>
      <c r="L314" s="15"/>
      <c r="M314" s="16">
        <f t="shared" si="73"/>
        <v>8.3936521022258903E-2</v>
      </c>
      <c r="O314" s="13">
        <f t="shared" si="75"/>
        <v>9.9162384109911961E-2</v>
      </c>
      <c r="Q314" s="5">
        <f t="shared" si="76"/>
        <v>144.509399159802</v>
      </c>
      <c r="R314" s="6">
        <f t="shared" si="77"/>
        <v>162.69543213161003</v>
      </c>
      <c r="T314" s="11">
        <f t="shared" si="69"/>
        <v>0.88822038373458012</v>
      </c>
      <c r="V314" s="9">
        <v>40879</v>
      </c>
      <c r="W314">
        <v>6664.49</v>
      </c>
      <c r="X314">
        <v>8426.1187000000009</v>
      </c>
      <c r="Y314" t="s">
        <v>33</v>
      </c>
      <c r="AC314" s="24">
        <f t="shared" si="78"/>
        <v>0.10116248527150949</v>
      </c>
      <c r="AE314" s="5">
        <f t="shared" si="79"/>
        <v>124.87217386075572</v>
      </c>
      <c r="AF314" s="6">
        <f t="shared" si="80"/>
        <v>162.69543213161003</v>
      </c>
      <c r="AH314" s="1">
        <f t="shared" si="70"/>
        <v>40879</v>
      </c>
      <c r="AI314">
        <f t="shared" si="74"/>
        <v>0.76752108049193568</v>
      </c>
      <c r="AJ314">
        <f t="shared" ca="1" si="64"/>
        <v>0.73941804272556688</v>
      </c>
      <c r="AK314">
        <f t="shared" ca="1" si="65"/>
        <v>0.75496278642708781</v>
      </c>
      <c r="AL314">
        <f t="shared" ca="1" si="66"/>
        <v>0.7702487218567482</v>
      </c>
      <c r="AM314">
        <f t="shared" ca="1" si="67"/>
        <v>0.78138638034649044</v>
      </c>
      <c r="AN314">
        <f t="shared" ca="1" si="68"/>
        <v>0.79590791687804763</v>
      </c>
      <c r="AP314" s="40"/>
      <c r="AQ314" s="41"/>
    </row>
    <row r="315" spans="2:43" x14ac:dyDescent="0.25">
      <c r="B315" s="1">
        <v>40886</v>
      </c>
      <c r="C315">
        <v>1.5780000000000001</v>
      </c>
      <c r="D315">
        <v>0.95899999999999996</v>
      </c>
      <c r="E315" t="s">
        <v>33</v>
      </c>
      <c r="G315">
        <v>2558.11</v>
      </c>
      <c r="I315" s="14">
        <f t="shared" si="71"/>
        <v>-2.3514851485148536E-2</v>
      </c>
      <c r="J315" s="15">
        <f t="shared" si="72"/>
        <v>-4.291417165668665E-2</v>
      </c>
      <c r="K315" s="15"/>
      <c r="L315" s="15"/>
      <c r="M315" s="16">
        <f t="shared" si="73"/>
        <v>-2.7197742648205292E-2</v>
      </c>
      <c r="O315" s="13">
        <f t="shared" si="75"/>
        <v>-3.3214511570917593E-2</v>
      </c>
      <c r="Q315" s="5">
        <f t="shared" si="76"/>
        <v>139.70959004930242</v>
      </c>
      <c r="R315" s="6">
        <f t="shared" si="77"/>
        <v>158.27048363845594</v>
      </c>
      <c r="T315" s="11">
        <f t="shared" si="69"/>
        <v>0.88272675256649269</v>
      </c>
      <c r="V315" s="9">
        <v>40886</v>
      </c>
      <c r="W315">
        <v>6509.05</v>
      </c>
      <c r="X315">
        <v>8061.2763999999997</v>
      </c>
      <c r="Y315" t="s">
        <v>33</v>
      </c>
      <c r="AC315" s="24">
        <f t="shared" si="78"/>
        <v>-3.4346818419967048E-2</v>
      </c>
      <c r="AE315" s="5">
        <f t="shared" si="79"/>
        <v>120.58321197945379</v>
      </c>
      <c r="AF315" s="6">
        <f t="shared" si="80"/>
        <v>158.27048363845594</v>
      </c>
      <c r="AH315" s="1">
        <f t="shared" si="70"/>
        <v>40886</v>
      </c>
      <c r="AI315">
        <f t="shared" si="74"/>
        <v>0.76188060595623874</v>
      </c>
      <c r="AJ315">
        <f t="shared" ref="AJ315:AJ378" ca="1" si="81">+_xlfn.PERCENTILE.INC(OFFSET(AI315,-52,0,52,1),0.1)</f>
        <v>0.74122202041658369</v>
      </c>
      <c r="AK315">
        <f t="shared" ref="AK315:AK378" ca="1" si="82">+_xlfn.PERCENTILE.INC(OFFSET(AI315,-52,0,52,1),0.25)</f>
        <v>0.75592848575613936</v>
      </c>
      <c r="AL315">
        <f t="shared" ref="AL315:AL378" ca="1" si="83">+_xlfn.PERCENTILE.INC(OFFSET(AI315,-52,0,52,1),0.5)</f>
        <v>0.7702487218567482</v>
      </c>
      <c r="AM315">
        <f t="shared" ref="AM315:AM378" ca="1" si="84">+_xlfn.PERCENTILE.INC(OFFSET(AI315,-52,0,52,1),0.75)</f>
        <v>0.78138638034649044</v>
      </c>
      <c r="AN315">
        <f t="shared" ref="AN315:AN378" ca="1" si="85">+_xlfn.PERCENTILE.INC(OFFSET(AI315,-52,0,52,1),0.9)</f>
        <v>0.79590791687804763</v>
      </c>
      <c r="AP315" s="40"/>
      <c r="AQ315" s="41"/>
    </row>
    <row r="316" spans="2:43" x14ac:dyDescent="0.25">
      <c r="B316" s="1">
        <v>40893</v>
      </c>
      <c r="C316">
        <v>1.512</v>
      </c>
      <c r="D316">
        <v>0.92200000000000004</v>
      </c>
      <c r="E316" t="s">
        <v>33</v>
      </c>
      <c r="G316">
        <v>2433.4</v>
      </c>
      <c r="I316" s="14">
        <f t="shared" si="71"/>
        <v>-4.1825095057034245E-2</v>
      </c>
      <c r="J316" s="15">
        <f t="shared" si="72"/>
        <v>-3.8581856100104228E-2</v>
      </c>
      <c r="K316" s="15"/>
      <c r="L316" s="15"/>
      <c r="M316" s="16">
        <f t="shared" si="73"/>
        <v>-4.8750835577828999E-2</v>
      </c>
      <c r="O316" s="13">
        <f t="shared" si="75"/>
        <v>-4.0203475578569237E-2</v>
      </c>
      <c r="Q316" s="5">
        <f t="shared" si="76"/>
        <v>134.09277895766337</v>
      </c>
      <c r="R316" s="6">
        <f t="shared" si="77"/>
        <v>150.55466531377411</v>
      </c>
      <c r="T316" s="11">
        <f t="shared" si="69"/>
        <v>0.89065841087154507</v>
      </c>
      <c r="V316" s="9">
        <v>40893</v>
      </c>
      <c r="W316">
        <v>6237.03</v>
      </c>
      <c r="X316">
        <v>7748.5545000000002</v>
      </c>
      <c r="Y316" t="s">
        <v>33</v>
      </c>
      <c r="AC316" s="24">
        <f t="shared" si="78"/>
        <v>-4.0030718943190935E-2</v>
      </c>
      <c r="AE316" s="5">
        <f t="shared" si="79"/>
        <v>115.75617931143705</v>
      </c>
      <c r="AF316" s="6">
        <f t="shared" si="80"/>
        <v>150.55466531377411</v>
      </c>
      <c r="AH316" s="1">
        <f t="shared" si="70"/>
        <v>40893</v>
      </c>
      <c r="AI316">
        <f t="shared" si="74"/>
        <v>0.76886477792094443</v>
      </c>
      <c r="AJ316">
        <f t="shared" ca="1" si="81"/>
        <v>0.74612052311116894</v>
      </c>
      <c r="AK316">
        <f t="shared" ca="1" si="82"/>
        <v>0.75701655235474019</v>
      </c>
      <c r="AL316">
        <f t="shared" ca="1" si="83"/>
        <v>0.7702487218567482</v>
      </c>
      <c r="AM316">
        <f t="shared" ca="1" si="84"/>
        <v>0.78138638034649044</v>
      </c>
      <c r="AN316">
        <f t="shared" ca="1" si="85"/>
        <v>0.79590791687804763</v>
      </c>
      <c r="AP316" s="40"/>
      <c r="AQ316" s="41"/>
    </row>
    <row r="317" spans="2:43" x14ac:dyDescent="0.25">
      <c r="B317" s="1">
        <v>40900</v>
      </c>
      <c r="C317">
        <v>1.569</v>
      </c>
      <c r="D317">
        <v>0.92800000000000005</v>
      </c>
      <c r="E317" t="s">
        <v>33</v>
      </c>
      <c r="G317">
        <v>2466.6999999999998</v>
      </c>
      <c r="I317" s="14">
        <f t="shared" si="71"/>
        <v>3.7698412698412564E-2</v>
      </c>
      <c r="J317" s="15">
        <f t="shared" si="72"/>
        <v>6.5075921908894774E-3</v>
      </c>
      <c r="K317" s="15"/>
      <c r="L317" s="15"/>
      <c r="M317" s="16">
        <f t="shared" si="73"/>
        <v>1.3684556587490571E-2</v>
      </c>
      <c r="O317" s="13">
        <f t="shared" si="75"/>
        <v>2.2103002444651021E-2</v>
      </c>
      <c r="Q317" s="5">
        <f t="shared" si="76"/>
        <v>137.05663197877467</v>
      </c>
      <c r="R317" s="6">
        <f t="shared" si="77"/>
        <v>152.61493915077116</v>
      </c>
      <c r="T317" s="11">
        <f t="shared" si="69"/>
        <v>0.89805514939382081</v>
      </c>
      <c r="V317" s="9">
        <v>40900</v>
      </c>
      <c r="W317">
        <v>6334.18</v>
      </c>
      <c r="X317">
        <v>7748.5545000000002</v>
      </c>
      <c r="Y317" t="s">
        <v>33</v>
      </c>
      <c r="AC317" s="24">
        <f t="shared" si="78"/>
        <v>2.0417492290526838E-2</v>
      </c>
      <c r="AE317" s="5">
        <f t="shared" si="79"/>
        <v>118.11963021010916</v>
      </c>
      <c r="AF317" s="6">
        <f t="shared" si="80"/>
        <v>152.61493915077116</v>
      </c>
      <c r="AH317" s="1">
        <f t="shared" si="70"/>
        <v>40900</v>
      </c>
      <c r="AI317">
        <f t="shared" si="74"/>
        <v>0.77397161029836381</v>
      </c>
      <c r="AJ317">
        <f t="shared" ca="1" si="81"/>
        <v>0.74612052311116894</v>
      </c>
      <c r="AK317">
        <f t="shared" ca="1" si="82"/>
        <v>0.75701655235474019</v>
      </c>
      <c r="AL317">
        <f t="shared" ca="1" si="83"/>
        <v>0.76959830803565676</v>
      </c>
      <c r="AM317">
        <f t="shared" ca="1" si="84"/>
        <v>0.78138638034649044</v>
      </c>
      <c r="AN317">
        <f t="shared" ca="1" si="85"/>
        <v>0.79590791687804763</v>
      </c>
      <c r="AP317" s="40"/>
      <c r="AQ317" s="41"/>
    </row>
    <row r="318" spans="2:43" x14ac:dyDescent="0.25">
      <c r="B318" s="1">
        <v>40907</v>
      </c>
      <c r="C318">
        <v>1.5840000000000001</v>
      </c>
      <c r="D318">
        <v>0.93</v>
      </c>
      <c r="E318" t="s">
        <v>33</v>
      </c>
      <c r="G318">
        <v>2462.63</v>
      </c>
      <c r="I318" s="14">
        <f t="shared" si="71"/>
        <v>9.5602294455068293E-3</v>
      </c>
      <c r="J318" s="15">
        <f t="shared" si="72"/>
        <v>2.1551724137931494E-3</v>
      </c>
      <c r="K318" s="15"/>
      <c r="L318" s="15"/>
      <c r="M318" s="16">
        <f t="shared" si="73"/>
        <v>-1.649977703003902E-3</v>
      </c>
      <c r="O318" s="13">
        <f t="shared" si="75"/>
        <v>5.8577009296499893E-3</v>
      </c>
      <c r="Q318" s="5">
        <f t="shared" si="76"/>
        <v>137.85946873933145</v>
      </c>
      <c r="R318" s="6">
        <f t="shared" si="77"/>
        <v>152.3631279040271</v>
      </c>
      <c r="T318" s="11">
        <f t="shared" si="69"/>
        <v>0.90480860189591639</v>
      </c>
      <c r="V318" s="9">
        <v>40907</v>
      </c>
      <c r="W318">
        <v>6509.05</v>
      </c>
      <c r="X318">
        <v>7818.0482000000002</v>
      </c>
      <c r="Y318" t="s">
        <v>33</v>
      </c>
      <c r="AC318" s="24">
        <f t="shared" si="78"/>
        <v>5.485844035070974E-3</v>
      </c>
      <c r="AE318" s="5">
        <f t="shared" si="79"/>
        <v>118.76761607892207</v>
      </c>
      <c r="AF318" s="6">
        <f t="shared" si="80"/>
        <v>152.3631279040271</v>
      </c>
      <c r="AH318" s="1">
        <f t="shared" si="70"/>
        <v>40907</v>
      </c>
      <c r="AI318">
        <f t="shared" si="74"/>
        <v>0.77950366150091976</v>
      </c>
      <c r="AJ318">
        <f t="shared" ca="1" si="81"/>
        <v>0.74612052311116894</v>
      </c>
      <c r="AK318">
        <f t="shared" ca="1" si="82"/>
        <v>0.75701655235474019</v>
      </c>
      <c r="AL318">
        <f t="shared" ca="1" si="83"/>
        <v>0.76959830803565676</v>
      </c>
      <c r="AM318">
        <f t="shared" ca="1" si="84"/>
        <v>0.7812249577993251</v>
      </c>
      <c r="AN318">
        <f t="shared" ca="1" si="85"/>
        <v>0.79590791687804763</v>
      </c>
      <c r="AP318" s="40"/>
      <c r="AQ318" s="41"/>
    </row>
    <row r="319" spans="2:43" x14ac:dyDescent="0.25">
      <c r="B319" s="1">
        <v>40914</v>
      </c>
      <c r="C319">
        <v>1.8129999999999999</v>
      </c>
      <c r="D319">
        <v>1.0640000000000001</v>
      </c>
      <c r="E319" t="s">
        <v>33</v>
      </c>
      <c r="G319">
        <v>2769.75</v>
      </c>
      <c r="I319" s="14">
        <f t="shared" si="71"/>
        <v>0.14457070707070696</v>
      </c>
      <c r="J319" s="15">
        <f t="shared" si="72"/>
        <v>0.1440860215053763</v>
      </c>
      <c r="K319" s="15"/>
      <c r="L319" s="15"/>
      <c r="M319" s="16">
        <f t="shared" si="73"/>
        <v>0.12471219793472832</v>
      </c>
      <c r="O319" s="13">
        <f t="shared" si="75"/>
        <v>0.14432836428804163</v>
      </c>
      <c r="Q319" s="5">
        <f t="shared" si="76"/>
        <v>157.75650036409758</v>
      </c>
      <c r="R319" s="6">
        <f t="shared" si="77"/>
        <v>171.36466846914846</v>
      </c>
      <c r="T319" s="11">
        <f t="shared" si="69"/>
        <v>0.92058941772177028</v>
      </c>
      <c r="V319" s="9">
        <v>40914</v>
      </c>
      <c r="W319">
        <v>7450</v>
      </c>
      <c r="X319">
        <v>8947.3219000000008</v>
      </c>
      <c r="Y319" t="s">
        <v>33</v>
      </c>
      <c r="AC319" s="24">
        <f t="shared" si="78"/>
        <v>0.14430622259110737</v>
      </c>
      <c r="AE319" s="5">
        <f t="shared" si="79"/>
        <v>135.9065221214222</v>
      </c>
      <c r="AF319" s="6">
        <f t="shared" si="80"/>
        <v>171.36466846914846</v>
      </c>
      <c r="AH319" s="1">
        <f t="shared" si="70"/>
        <v>40914</v>
      </c>
      <c r="AI319">
        <f t="shared" si="74"/>
        <v>0.79308368134175833</v>
      </c>
      <c r="AJ319">
        <f t="shared" ca="1" si="81"/>
        <v>0.74612052311116894</v>
      </c>
      <c r="AK319">
        <f t="shared" ca="1" si="82"/>
        <v>0.75701655235474019</v>
      </c>
      <c r="AL319">
        <f t="shared" ca="1" si="83"/>
        <v>0.76959830803565676</v>
      </c>
      <c r="AM319">
        <f t="shared" ca="1" si="84"/>
        <v>0.77993430241625272</v>
      </c>
      <c r="AN319">
        <f t="shared" ca="1" si="85"/>
        <v>0.79590791687804763</v>
      </c>
      <c r="AP319" s="40"/>
      <c r="AQ319" s="41"/>
    </row>
    <row r="320" spans="2:43" x14ac:dyDescent="0.25">
      <c r="B320" s="1">
        <v>40921</v>
      </c>
      <c r="C320">
        <v>1.758</v>
      </c>
      <c r="D320">
        <v>1.0289999999999999</v>
      </c>
      <c r="E320" t="s">
        <v>33</v>
      </c>
      <c r="G320">
        <v>2753.52</v>
      </c>
      <c r="I320" s="14">
        <f t="shared" si="71"/>
        <v>-3.0336458907887498E-2</v>
      </c>
      <c r="J320" s="15">
        <f t="shared" si="72"/>
        <v>-3.2894736842105421E-2</v>
      </c>
      <c r="K320" s="15"/>
      <c r="L320" s="15"/>
      <c r="M320" s="16">
        <f t="shared" si="73"/>
        <v>-5.8597346330896416E-3</v>
      </c>
      <c r="O320" s="13">
        <f t="shared" si="75"/>
        <v>-3.1615597874996459E-2</v>
      </c>
      <c r="Q320" s="5">
        <f t="shared" si="76"/>
        <v>152.76893428641952</v>
      </c>
      <c r="R320" s="6">
        <f t="shared" si="77"/>
        <v>170.36051698643186</v>
      </c>
      <c r="T320" s="11">
        <f t="shared" si="69"/>
        <v>0.89673908596195795</v>
      </c>
      <c r="V320" s="9">
        <v>40921</v>
      </c>
      <c r="W320">
        <v>7225</v>
      </c>
      <c r="X320">
        <v>8651.9734000000008</v>
      </c>
      <c r="Y320" t="s">
        <v>33</v>
      </c>
      <c r="AC320" s="24">
        <f t="shared" si="78"/>
        <v>-3.1732402484936792E-2</v>
      </c>
      <c r="AE320" s="5">
        <f t="shared" si="79"/>
        <v>131.59388166113726</v>
      </c>
      <c r="AF320" s="6">
        <f t="shared" si="80"/>
        <v>170.36051698643186</v>
      </c>
      <c r="AH320" s="1">
        <f t="shared" si="70"/>
        <v>40921</v>
      </c>
      <c r="AI320">
        <f t="shared" si="74"/>
        <v>0.77244354495365775</v>
      </c>
      <c r="AJ320">
        <f t="shared" ca="1" si="81"/>
        <v>0.74612052311116894</v>
      </c>
      <c r="AK320">
        <f t="shared" ca="1" si="82"/>
        <v>0.75701655235474019</v>
      </c>
      <c r="AL320">
        <f t="shared" ca="1" si="83"/>
        <v>0.76959830803565676</v>
      </c>
      <c r="AM320">
        <f t="shared" ca="1" si="84"/>
        <v>0.77993430241625272</v>
      </c>
      <c r="AN320">
        <f t="shared" ca="1" si="85"/>
        <v>0.79273306743133487</v>
      </c>
      <c r="AP320" s="40"/>
      <c r="AQ320" s="41"/>
    </row>
    <row r="321" spans="2:43" x14ac:dyDescent="0.25">
      <c r="B321" s="1">
        <v>40928</v>
      </c>
      <c r="C321">
        <v>1.88</v>
      </c>
      <c r="D321">
        <v>1.044</v>
      </c>
      <c r="E321" t="s">
        <v>33</v>
      </c>
      <c r="G321">
        <v>2867.59</v>
      </c>
      <c r="I321" s="14">
        <f t="shared" si="71"/>
        <v>6.9397042093287675E-2</v>
      </c>
      <c r="J321" s="15">
        <f t="shared" si="72"/>
        <v>1.4577259475218707E-2</v>
      </c>
      <c r="K321" s="15"/>
      <c r="L321" s="15"/>
      <c r="M321" s="16">
        <f t="shared" si="73"/>
        <v>4.142697347395341E-2</v>
      </c>
      <c r="O321" s="13">
        <f t="shared" si="75"/>
        <v>4.1987150784253191E-2</v>
      </c>
      <c r="Q321" s="5">
        <f t="shared" si="76"/>
        <v>159.1832665654531</v>
      </c>
      <c r="R321" s="6">
        <f t="shared" si="77"/>
        <v>177.41803760463776</v>
      </c>
      <c r="T321" s="11">
        <f t="shared" si="69"/>
        <v>0.8972214365271054</v>
      </c>
      <c r="V321" s="9">
        <v>40928</v>
      </c>
      <c r="W321">
        <v>7725</v>
      </c>
      <c r="X321">
        <v>8773.5874999999996</v>
      </c>
      <c r="Y321" t="s">
        <v>33</v>
      </c>
      <c r="AC321" s="24">
        <f t="shared" si="78"/>
        <v>3.9523634293453791E-2</v>
      </c>
      <c r="AE321" s="5">
        <f t="shared" si="79"/>
        <v>136.79495011516806</v>
      </c>
      <c r="AF321" s="6">
        <f t="shared" si="80"/>
        <v>177.41803760463776</v>
      </c>
      <c r="AH321" s="1">
        <f t="shared" si="70"/>
        <v>40928</v>
      </c>
      <c r="AI321">
        <f t="shared" si="74"/>
        <v>0.77103180692374085</v>
      </c>
      <c r="AJ321">
        <f t="shared" ca="1" si="81"/>
        <v>0.74612052311116894</v>
      </c>
      <c r="AK321">
        <f t="shared" ca="1" si="82"/>
        <v>0.75701655235474019</v>
      </c>
      <c r="AL321">
        <f t="shared" ca="1" si="83"/>
        <v>0.76959830803565676</v>
      </c>
      <c r="AM321">
        <f t="shared" ca="1" si="84"/>
        <v>0.77955807725414639</v>
      </c>
      <c r="AN321">
        <f t="shared" ca="1" si="85"/>
        <v>0.78924212094961754</v>
      </c>
      <c r="AP321" s="40"/>
      <c r="AQ321" s="41"/>
    </row>
    <row r="322" spans="2:43" x14ac:dyDescent="0.25">
      <c r="B322" s="1">
        <v>40935</v>
      </c>
      <c r="C322">
        <v>1.85</v>
      </c>
      <c r="D322">
        <v>1.0089999999999999</v>
      </c>
      <c r="E322" t="s">
        <v>33</v>
      </c>
      <c r="G322">
        <v>2831.58</v>
      </c>
      <c r="I322" s="14">
        <f t="shared" si="71"/>
        <v>-1.5957446808510523E-2</v>
      </c>
      <c r="J322" s="15">
        <f t="shared" si="72"/>
        <v>-3.3524904214559559E-2</v>
      </c>
      <c r="K322" s="15"/>
      <c r="L322" s="15"/>
      <c r="M322" s="16">
        <f t="shared" si="73"/>
        <v>-1.2557583197040145E-2</v>
      </c>
      <c r="O322" s="13">
        <f t="shared" si="75"/>
        <v>-2.4741175511535041E-2</v>
      </c>
      <c r="Q322" s="5">
        <f t="shared" si="76"/>
        <v>155.24488542885777</v>
      </c>
      <c r="R322" s="6">
        <f t="shared" si="77"/>
        <v>175.19009583676191</v>
      </c>
      <c r="T322" s="11">
        <f t="shared" si="69"/>
        <v>0.88615103888927249</v>
      </c>
      <c r="V322" s="9">
        <v>40935</v>
      </c>
      <c r="W322">
        <v>7600</v>
      </c>
      <c r="X322">
        <v>8478.2389999999996</v>
      </c>
      <c r="Y322" t="s">
        <v>33</v>
      </c>
      <c r="AC322" s="24">
        <f t="shared" si="78"/>
        <v>-2.5299435915426147E-2</v>
      </c>
      <c r="AE322" s="5">
        <f t="shared" si="79"/>
        <v>133.33411504117544</v>
      </c>
      <c r="AF322" s="6">
        <f t="shared" si="80"/>
        <v>175.19009583676191</v>
      </c>
      <c r="AH322" s="1">
        <f t="shared" si="70"/>
        <v>40935</v>
      </c>
      <c r="AI322">
        <f t="shared" si="74"/>
        <v>0.76108249387233107</v>
      </c>
      <c r="AJ322">
        <f t="shared" ca="1" si="81"/>
        <v>0.74612052311116894</v>
      </c>
      <c r="AK322">
        <f t="shared" ca="1" si="82"/>
        <v>0.75701655235474019</v>
      </c>
      <c r="AL322">
        <f t="shared" ca="1" si="83"/>
        <v>0.76959830803565676</v>
      </c>
      <c r="AM322">
        <f t="shared" ca="1" si="84"/>
        <v>0.77955807725414639</v>
      </c>
      <c r="AN322">
        <f t="shared" ca="1" si="85"/>
        <v>0.78924212094961754</v>
      </c>
      <c r="AP322" s="40"/>
      <c r="AQ322" s="41"/>
    </row>
    <row r="323" spans="2:43" x14ac:dyDescent="0.25">
      <c r="B323" s="1">
        <v>40942</v>
      </c>
      <c r="C323">
        <v>1.8440000000000001</v>
      </c>
      <c r="D323">
        <v>1.05</v>
      </c>
      <c r="E323" t="s">
        <v>33</v>
      </c>
      <c r="G323">
        <v>2810.57</v>
      </c>
      <c r="I323" s="14">
        <f t="shared" si="71"/>
        <v>-3.2432432432432101E-3</v>
      </c>
      <c r="J323" s="15">
        <f t="shared" si="72"/>
        <v>4.0634291377601661E-2</v>
      </c>
      <c r="K323" s="15"/>
      <c r="L323" s="15"/>
      <c r="M323" s="16">
        <f t="shared" si="73"/>
        <v>-7.4198857175145072E-3</v>
      </c>
      <c r="O323" s="13">
        <f t="shared" si="75"/>
        <v>1.8695524067179226E-2</v>
      </c>
      <c r="Q323" s="5">
        <f t="shared" si="76"/>
        <v>158.14726992069944</v>
      </c>
      <c r="R323" s="6">
        <f t="shared" si="77"/>
        <v>173.89020534681273</v>
      </c>
      <c r="T323" s="11">
        <f t="shared" si="69"/>
        <v>0.90946623247286973</v>
      </c>
      <c r="V323" s="9">
        <v>40942</v>
      </c>
      <c r="W323">
        <v>7575</v>
      </c>
      <c r="X323">
        <v>8825.7078000000001</v>
      </c>
      <c r="Y323" t="s">
        <v>33</v>
      </c>
      <c r="AC323" s="24">
        <f t="shared" si="78"/>
        <v>1.9893881739554795E-2</v>
      </c>
      <c r="AE323" s="5">
        <f t="shared" si="79"/>
        <v>135.98664815765278</v>
      </c>
      <c r="AF323" s="6">
        <f t="shared" si="80"/>
        <v>173.89020534681273</v>
      </c>
      <c r="AH323" s="1">
        <f t="shared" si="70"/>
        <v>40942</v>
      </c>
      <c r="AI323">
        <f t="shared" si="74"/>
        <v>0.78202592196861365</v>
      </c>
      <c r="AJ323">
        <f t="shared" ca="1" si="81"/>
        <v>0.74612052311116894</v>
      </c>
      <c r="AK323">
        <f t="shared" ca="1" si="82"/>
        <v>0.75701655235474019</v>
      </c>
      <c r="AL323">
        <f t="shared" ca="1" si="83"/>
        <v>0.7691800449565861</v>
      </c>
      <c r="AM323">
        <f t="shared" ca="1" si="84"/>
        <v>0.77753639257505358</v>
      </c>
      <c r="AN323">
        <f t="shared" ca="1" si="85"/>
        <v>0.78924212094961754</v>
      </c>
      <c r="AP323" s="40"/>
      <c r="AQ323" s="41"/>
    </row>
    <row r="324" spans="2:43" x14ac:dyDescent="0.25">
      <c r="B324" s="1">
        <v>40949</v>
      </c>
      <c r="C324">
        <v>1.728</v>
      </c>
      <c r="D324">
        <v>1.075</v>
      </c>
      <c r="E324" t="s">
        <v>33</v>
      </c>
      <c r="G324">
        <v>2721.89</v>
      </c>
      <c r="I324" s="14">
        <f t="shared" si="71"/>
        <v>-6.2906724511930689E-2</v>
      </c>
      <c r="J324" s="15">
        <f t="shared" si="72"/>
        <v>2.3809523809523725E-2</v>
      </c>
      <c r="K324" s="15"/>
      <c r="L324" s="15"/>
      <c r="M324" s="16">
        <f t="shared" si="73"/>
        <v>-3.1552318568831339E-2</v>
      </c>
      <c r="O324" s="13">
        <f t="shared" si="75"/>
        <v>-1.9548600351203482E-2</v>
      </c>
      <c r="Q324" s="5">
        <f t="shared" si="76"/>
        <v>155.05571214438578</v>
      </c>
      <c r="R324" s="6">
        <f t="shared" si="77"/>
        <v>168.40356619171061</v>
      </c>
      <c r="T324" s="11">
        <f t="shared" si="69"/>
        <v>0.9207388872505845</v>
      </c>
      <c r="V324" s="9">
        <v>40949</v>
      </c>
      <c r="W324">
        <v>7100</v>
      </c>
      <c r="X324">
        <v>9034.1890999999996</v>
      </c>
      <c r="Y324" t="s">
        <v>33</v>
      </c>
      <c r="AC324" s="24">
        <f t="shared" si="78"/>
        <v>-1.6242136706921619E-2</v>
      </c>
      <c r="AE324" s="5">
        <f t="shared" si="79"/>
        <v>133.77793442796013</v>
      </c>
      <c r="AF324" s="6">
        <f t="shared" si="80"/>
        <v>168.40356619171061</v>
      </c>
      <c r="AH324" s="1">
        <f t="shared" si="70"/>
        <v>40949</v>
      </c>
      <c r="AI324">
        <f t="shared" si="74"/>
        <v>0.79438896368540868</v>
      </c>
      <c r="AJ324">
        <f t="shared" ca="1" si="81"/>
        <v>0.74612052311116894</v>
      </c>
      <c r="AK324">
        <f t="shared" ca="1" si="82"/>
        <v>0.75701655235474019</v>
      </c>
      <c r="AL324">
        <f t="shared" ca="1" si="83"/>
        <v>0.7691800449565861</v>
      </c>
      <c r="AM324">
        <f t="shared" ca="1" si="84"/>
        <v>0.77753639257505358</v>
      </c>
      <c r="AN324">
        <f t="shared" ca="1" si="85"/>
        <v>0.78616846625657033</v>
      </c>
      <c r="AP324" s="40"/>
      <c r="AQ324" s="41"/>
    </row>
    <row r="325" spans="2:43" x14ac:dyDescent="0.25">
      <c r="B325" s="1">
        <v>40956</v>
      </c>
      <c r="C325">
        <v>1.722</v>
      </c>
      <c r="D325">
        <v>1.0289999999999999</v>
      </c>
      <c r="E325" t="s">
        <v>33</v>
      </c>
      <c r="G325">
        <v>2798.83</v>
      </c>
      <c r="I325" s="14">
        <f t="shared" si="71"/>
        <v>-3.4722222222222099E-3</v>
      </c>
      <c r="J325" s="15">
        <f t="shared" si="72"/>
        <v>-4.2790697674418676E-2</v>
      </c>
      <c r="K325" s="15"/>
      <c r="L325" s="15"/>
      <c r="M325" s="16">
        <f t="shared" si="73"/>
        <v>2.8267123212179834E-2</v>
      </c>
      <c r="O325" s="13">
        <f t="shared" si="75"/>
        <v>-2.3131459948320443E-2</v>
      </c>
      <c r="Q325" s="5">
        <f t="shared" si="76"/>
        <v>151.46904714915962</v>
      </c>
      <c r="R325" s="6">
        <f t="shared" si="77"/>
        <v>173.16385054662217</v>
      </c>
      <c r="T325" s="11">
        <f t="shared" si="69"/>
        <v>0.87471517104188268</v>
      </c>
      <c r="V325" s="9">
        <v>40956</v>
      </c>
      <c r="W325">
        <v>7075</v>
      </c>
      <c r="X325">
        <v>8651.9734000000008</v>
      </c>
      <c r="Y325" t="s">
        <v>33</v>
      </c>
      <c r="AC325" s="24">
        <f t="shared" si="78"/>
        <v>-2.5488236795824234E-2</v>
      </c>
      <c r="AE325" s="5">
        <f t="shared" si="79"/>
        <v>130.36817075720404</v>
      </c>
      <c r="AF325" s="6">
        <f t="shared" si="80"/>
        <v>173.16385054662217</v>
      </c>
      <c r="AH325" s="1">
        <f t="shared" si="70"/>
        <v>40956</v>
      </c>
      <c r="AI325">
        <f t="shared" si="74"/>
        <v>0.75286019770104418</v>
      </c>
      <c r="AJ325">
        <f t="shared" ca="1" si="81"/>
        <v>0.74612052311116894</v>
      </c>
      <c r="AK325">
        <f t="shared" ca="1" si="82"/>
        <v>0.75701655235474019</v>
      </c>
      <c r="AL325">
        <f t="shared" ca="1" si="83"/>
        <v>0.7691800449565861</v>
      </c>
      <c r="AM325">
        <f t="shared" ca="1" si="84"/>
        <v>0.77955807725414639</v>
      </c>
      <c r="AN325">
        <f t="shared" ca="1" si="85"/>
        <v>0.79239764614342822</v>
      </c>
      <c r="AP325" s="40"/>
      <c r="AQ325" s="41"/>
    </row>
    <row r="326" spans="2:43" x14ac:dyDescent="0.25">
      <c r="B326" s="1">
        <v>40963</v>
      </c>
      <c r="C326">
        <v>1.6919999999999999</v>
      </c>
      <c r="D326">
        <v>0.98</v>
      </c>
      <c r="E326" t="s">
        <v>33</v>
      </c>
      <c r="G326">
        <v>2762.61</v>
      </c>
      <c r="I326" s="14">
        <f t="shared" si="71"/>
        <v>-1.7421602787456414E-2</v>
      </c>
      <c r="J326" s="15">
        <f t="shared" si="72"/>
        <v>-4.7619047619047561E-2</v>
      </c>
      <c r="K326" s="15"/>
      <c r="L326" s="15"/>
      <c r="M326" s="16">
        <f t="shared" si="73"/>
        <v>-1.2941121825905788E-2</v>
      </c>
      <c r="O326" s="13">
        <f t="shared" si="75"/>
        <v>-3.2520325203251987E-2</v>
      </c>
      <c r="Q326" s="5">
        <f t="shared" si="76"/>
        <v>146.54322447764224</v>
      </c>
      <c r="R326" s="6">
        <f t="shared" si="77"/>
        <v>170.92291606085539</v>
      </c>
      <c r="T326" s="11">
        <f t="shared" ref="T326:T389" si="86">+Q326/R326</f>
        <v>0.85736440645247947</v>
      </c>
      <c r="V326" s="9">
        <v>40963</v>
      </c>
      <c r="W326">
        <v>6950</v>
      </c>
      <c r="X326">
        <v>8235.0108</v>
      </c>
      <c r="Y326" t="s">
        <v>33</v>
      </c>
      <c r="AC326" s="24">
        <f t="shared" si="78"/>
        <v>-3.4034302687546168E-2</v>
      </c>
      <c r="AE326" s="5">
        <f t="shared" si="79"/>
        <v>125.93118097283165</v>
      </c>
      <c r="AF326" s="6">
        <f t="shared" si="80"/>
        <v>170.92291606085539</v>
      </c>
      <c r="AH326" s="1">
        <f t="shared" ref="AH326:AH389" si="87">+B326</f>
        <v>40963</v>
      </c>
      <c r="AI326">
        <f t="shared" si="74"/>
        <v>0.73677177920364467</v>
      </c>
      <c r="AJ326">
        <f t="shared" ca="1" si="81"/>
        <v>0.74612052311116894</v>
      </c>
      <c r="AK326">
        <f t="shared" ca="1" si="82"/>
        <v>0.75592848575613936</v>
      </c>
      <c r="AL326">
        <f t="shared" ca="1" si="83"/>
        <v>0.76819292920644</v>
      </c>
      <c r="AM326">
        <f t="shared" ca="1" si="84"/>
        <v>0.77753639257505358</v>
      </c>
      <c r="AN326">
        <f t="shared" ca="1" si="85"/>
        <v>0.79239764614342822</v>
      </c>
      <c r="AP326" s="40"/>
      <c r="AQ326" s="41"/>
    </row>
    <row r="327" spans="2:43" x14ac:dyDescent="0.25">
      <c r="B327" s="1">
        <v>40970</v>
      </c>
      <c r="C327">
        <v>1.667</v>
      </c>
      <c r="D327">
        <v>0.99</v>
      </c>
      <c r="E327" t="s">
        <v>33</v>
      </c>
      <c r="G327">
        <v>2757.3</v>
      </c>
      <c r="I327" s="14">
        <f t="shared" ref="I327:I390" si="88">+C327/C326-1</f>
        <v>-1.4775413711583862E-2</v>
      </c>
      <c r="J327" s="15">
        <f t="shared" ref="J327:J390" si="89">+D327/D326-1</f>
        <v>1.0204081632652962E-2</v>
      </c>
      <c r="K327" s="15"/>
      <c r="L327" s="15"/>
      <c r="M327" s="16">
        <f t="shared" ref="M327:M390" si="90">+G327/G326-1</f>
        <v>-1.9220954097755039E-3</v>
      </c>
      <c r="O327" s="13">
        <f t="shared" si="75"/>
        <v>-2.2856660394654504E-3</v>
      </c>
      <c r="Q327" s="5">
        <f t="shared" si="76"/>
        <v>146.20827560613992</v>
      </c>
      <c r="R327" s="6">
        <f t="shared" si="77"/>
        <v>170.59438590846938</v>
      </c>
      <c r="T327" s="11">
        <f t="shared" si="86"/>
        <v>0.85705209364032897</v>
      </c>
      <c r="V327" s="9">
        <v>40970</v>
      </c>
      <c r="W327">
        <v>6850</v>
      </c>
      <c r="X327">
        <v>8321.8780000000006</v>
      </c>
      <c r="Y327" t="s">
        <v>33</v>
      </c>
      <c r="AC327" s="24">
        <f t="shared" si="78"/>
        <v>-1.2287382006029976E-3</v>
      </c>
      <c r="AE327" s="5">
        <f t="shared" si="79"/>
        <v>125.77644452012329</v>
      </c>
      <c r="AF327" s="6">
        <f t="shared" si="80"/>
        <v>170.59438590846938</v>
      </c>
      <c r="AH327" s="1">
        <f t="shared" si="87"/>
        <v>40970</v>
      </c>
      <c r="AI327">
        <f t="shared" ref="AI327:AI390" si="91">+(AE327/$AE$6)/(AF327/$AF$6)</f>
        <v>0.73728360901399947</v>
      </c>
      <c r="AJ327">
        <f t="shared" ca="1" si="81"/>
        <v>0.74122202041658369</v>
      </c>
      <c r="AK327">
        <f t="shared" ca="1" si="82"/>
        <v>0.75496278642708781</v>
      </c>
      <c r="AL327">
        <f t="shared" ca="1" si="83"/>
        <v>0.76700242891696424</v>
      </c>
      <c r="AM327">
        <f t="shared" ca="1" si="84"/>
        <v>0.77753639257505358</v>
      </c>
      <c r="AN327">
        <f t="shared" ca="1" si="85"/>
        <v>0.79239764614342822</v>
      </c>
      <c r="AP327" s="40"/>
      <c r="AQ327" s="41"/>
    </row>
    <row r="328" spans="2:43" x14ac:dyDescent="0.25">
      <c r="B328" s="1">
        <v>40977</v>
      </c>
      <c r="C328">
        <v>1.6919999999999999</v>
      </c>
      <c r="D328">
        <v>0.96699999999999997</v>
      </c>
      <c r="E328" t="s">
        <v>33</v>
      </c>
      <c r="G328">
        <v>2665.2</v>
      </c>
      <c r="I328" s="14">
        <f t="shared" si="88"/>
        <v>1.4997000599880073E-2</v>
      </c>
      <c r="J328" s="15">
        <f t="shared" si="89"/>
        <v>-2.3232323232323271E-2</v>
      </c>
      <c r="K328" s="15"/>
      <c r="L328" s="15"/>
      <c r="M328" s="16">
        <f t="shared" si="90"/>
        <v>-3.3402241323033488E-2</v>
      </c>
      <c r="O328" s="13">
        <f t="shared" ref="O328:O391" si="92">+AVERAGE(I328:J328)</f>
        <v>-4.1176613162215991E-3</v>
      </c>
      <c r="Q328" s="5">
        <f t="shared" ref="Q328:Q391" si="93">+Q327*(1+O328)</f>
        <v>145.60623944556505</v>
      </c>
      <c r="R328" s="6">
        <f t="shared" ref="R328:R391" si="94">+R327*(1+M328)</f>
        <v>164.89615106199997</v>
      </c>
      <c r="T328" s="11">
        <f t="shared" si="86"/>
        <v>0.88301781762521536</v>
      </c>
      <c r="V328" s="9">
        <v>40977</v>
      </c>
      <c r="W328">
        <v>6950</v>
      </c>
      <c r="X328">
        <v>8130.7695999999996</v>
      </c>
      <c r="Y328" t="s">
        <v>33</v>
      </c>
      <c r="AC328" s="24">
        <f t="shared" ref="AC328:AC391" si="95">+SUMPRODUCT(I328:L328,W327:Z327)/SUM(W327:AA327)</f>
        <v>-5.9720428470873173E-3</v>
      </c>
      <c r="AE328" s="5">
        <f t="shared" ref="AE328:AE391" si="96">+AE327*(1+AC328)</f>
        <v>125.02530220429482</v>
      </c>
      <c r="AF328" s="6">
        <f t="shared" ref="AF328:AF391" si="97">+AF327*(1+M328)</f>
        <v>164.89615106199997</v>
      </c>
      <c r="AH328" s="1">
        <f t="shared" si="87"/>
        <v>40977</v>
      </c>
      <c r="AI328">
        <f t="shared" si="91"/>
        <v>0.75820630984458848</v>
      </c>
      <c r="AJ328">
        <f t="shared" ca="1" si="81"/>
        <v>0.73941804272556688</v>
      </c>
      <c r="AK328">
        <f t="shared" ca="1" si="82"/>
        <v>0.75325413585783141</v>
      </c>
      <c r="AL328">
        <f t="shared" ca="1" si="83"/>
        <v>0.76624363136328211</v>
      </c>
      <c r="AM328">
        <f t="shared" ca="1" si="84"/>
        <v>0.77591617194325324</v>
      </c>
      <c r="AN328">
        <f t="shared" ca="1" si="85"/>
        <v>0.79234278304154115</v>
      </c>
      <c r="AP328" s="40"/>
      <c r="AQ328" s="41"/>
    </row>
    <row r="329" spans="2:43" x14ac:dyDescent="0.25">
      <c r="B329" s="1">
        <v>40984</v>
      </c>
      <c r="C329">
        <v>1.7769999999999999</v>
      </c>
      <c r="D329">
        <v>0.93</v>
      </c>
      <c r="E329" t="s">
        <v>33</v>
      </c>
      <c r="G329">
        <v>2765.22</v>
      </c>
      <c r="I329" s="14">
        <f t="shared" si="88"/>
        <v>5.0236406619385221E-2</v>
      </c>
      <c r="J329" s="15">
        <f t="shared" si="89"/>
        <v>-3.8262668045501491E-2</v>
      </c>
      <c r="K329" s="15"/>
      <c r="L329" s="15"/>
      <c r="M329" s="16">
        <f t="shared" si="90"/>
        <v>3.7528140477262495E-2</v>
      </c>
      <c r="O329" s="13">
        <f t="shared" si="92"/>
        <v>5.9868692869418649E-3</v>
      </c>
      <c r="Q329" s="5">
        <f t="shared" si="93"/>
        <v>146.47796496848881</v>
      </c>
      <c r="R329" s="6">
        <f t="shared" si="94"/>
        <v>171.08439698321462</v>
      </c>
      <c r="T329" s="11">
        <f t="shared" si="86"/>
        <v>0.85617372215924525</v>
      </c>
      <c r="V329" s="9">
        <v>40984</v>
      </c>
      <c r="W329">
        <v>7300</v>
      </c>
      <c r="X329">
        <v>7814.5730000000003</v>
      </c>
      <c r="Y329" t="s">
        <v>33</v>
      </c>
      <c r="AC329" s="24">
        <f t="shared" si="95"/>
        <v>2.522290894588853E-3</v>
      </c>
      <c r="AE329" s="5">
        <f t="shared" si="96"/>
        <v>125.34065238563792</v>
      </c>
      <c r="AF329" s="6">
        <f t="shared" si="97"/>
        <v>171.08439698321462</v>
      </c>
      <c r="AH329" s="1">
        <f t="shared" si="87"/>
        <v>40984</v>
      </c>
      <c r="AI329">
        <f t="shared" si="91"/>
        <v>0.7326246846340716</v>
      </c>
      <c r="AJ329">
        <f t="shared" ca="1" si="81"/>
        <v>0.73941804272556688</v>
      </c>
      <c r="AK329">
        <f t="shared" ca="1" si="82"/>
        <v>0.75325413585783141</v>
      </c>
      <c r="AL329">
        <f t="shared" ca="1" si="83"/>
        <v>0.76598179703996383</v>
      </c>
      <c r="AM329">
        <f t="shared" ca="1" si="84"/>
        <v>0.7754157449720287</v>
      </c>
      <c r="AN329">
        <f t="shared" ca="1" si="85"/>
        <v>0.79234278304154115</v>
      </c>
      <c r="AP329" s="40"/>
      <c r="AQ329" s="41"/>
    </row>
    <row r="330" spans="2:43" x14ac:dyDescent="0.25">
      <c r="B330" s="1">
        <v>40991</v>
      </c>
      <c r="C330">
        <v>1.673</v>
      </c>
      <c r="D330">
        <v>0.92400000000000004</v>
      </c>
      <c r="E330" t="s">
        <v>33</v>
      </c>
      <c r="G330">
        <v>2711.87</v>
      </c>
      <c r="I330" s="14">
        <f t="shared" si="88"/>
        <v>-5.8525604952166521E-2</v>
      </c>
      <c r="J330" s="15">
        <f t="shared" si="89"/>
        <v>-6.4516129032258229E-3</v>
      </c>
      <c r="K330" s="15"/>
      <c r="L330" s="15"/>
      <c r="M330" s="16">
        <f t="shared" si="90"/>
        <v>-1.9293220792559018E-2</v>
      </c>
      <c r="O330" s="13">
        <f t="shared" si="92"/>
        <v>-3.2488608927696172E-2</v>
      </c>
      <c r="Q330" s="5">
        <f t="shared" si="93"/>
        <v>141.7190996481028</v>
      </c>
      <c r="R330" s="6">
        <f t="shared" si="94"/>
        <v>167.78362793805564</v>
      </c>
      <c r="T330" s="11">
        <f t="shared" si="86"/>
        <v>0.84465392356651359</v>
      </c>
      <c r="V330" s="9">
        <v>40991</v>
      </c>
      <c r="W330">
        <v>6875</v>
      </c>
      <c r="X330">
        <v>7769.4021000000002</v>
      </c>
      <c r="Y330" t="s">
        <v>33</v>
      </c>
      <c r="AC330" s="24">
        <f t="shared" si="95"/>
        <v>-3.1602183942001913E-2</v>
      </c>
      <c r="AE330" s="5">
        <f t="shared" si="96"/>
        <v>121.37961403353648</v>
      </c>
      <c r="AF330" s="6">
        <f t="shared" si="97"/>
        <v>167.78362793805564</v>
      </c>
      <c r="AH330" s="1">
        <f t="shared" si="87"/>
        <v>40991</v>
      </c>
      <c r="AI330">
        <f t="shared" si="91"/>
        <v>0.72342942827740531</v>
      </c>
      <c r="AJ330">
        <f t="shared" ca="1" si="81"/>
        <v>0.73748273973659373</v>
      </c>
      <c r="AK330">
        <f t="shared" ca="1" si="82"/>
        <v>0.75303467378360534</v>
      </c>
      <c r="AL330">
        <f t="shared" ca="1" si="83"/>
        <v>0.76581375464846158</v>
      </c>
      <c r="AM330">
        <f t="shared" ca="1" si="84"/>
        <v>0.7754157449720287</v>
      </c>
      <c r="AN330">
        <f t="shared" ca="1" si="85"/>
        <v>0.79234278304154115</v>
      </c>
      <c r="AP330" s="40"/>
      <c r="AQ330" s="41"/>
    </row>
    <row r="331" spans="2:43" x14ac:dyDescent="0.25">
      <c r="B331" s="1">
        <v>40998</v>
      </c>
      <c r="C331">
        <v>1.6120000000000001</v>
      </c>
      <c r="D331">
        <v>0.93500000000000005</v>
      </c>
      <c r="E331" t="s">
        <v>33</v>
      </c>
      <c r="G331">
        <v>2683.99</v>
      </c>
      <c r="I331" s="14">
        <f t="shared" si="88"/>
        <v>-3.646144650328742E-2</v>
      </c>
      <c r="J331" s="15">
        <f t="shared" si="89"/>
        <v>1.1904761904761862E-2</v>
      </c>
      <c r="K331" s="15"/>
      <c r="L331" s="15"/>
      <c r="M331" s="16">
        <f t="shared" si="90"/>
        <v>-1.0280728795996952E-2</v>
      </c>
      <c r="O331" s="13">
        <f t="shared" si="92"/>
        <v>-1.2278342299262779E-2</v>
      </c>
      <c r="Q331" s="5">
        <f t="shared" si="93"/>
        <v>139.97902403228008</v>
      </c>
      <c r="R331" s="6">
        <f t="shared" si="94"/>
        <v>166.05868996281603</v>
      </c>
      <c r="T331" s="11">
        <f t="shared" si="86"/>
        <v>0.84294910470282691</v>
      </c>
      <c r="V331" s="9">
        <v>40998</v>
      </c>
      <c r="W331">
        <v>6625</v>
      </c>
      <c r="X331">
        <v>7859.7439999999997</v>
      </c>
      <c r="Y331" t="s">
        <v>33</v>
      </c>
      <c r="AC331" s="24">
        <f t="shared" si="95"/>
        <v>-1.08013670675735E-2</v>
      </c>
      <c r="AE331" s="5">
        <f t="shared" si="96"/>
        <v>120.06854826783986</v>
      </c>
      <c r="AF331" s="6">
        <f t="shared" si="97"/>
        <v>166.05868996281603</v>
      </c>
      <c r="AH331" s="1">
        <f t="shared" si="87"/>
        <v>40998</v>
      </c>
      <c r="AI331">
        <f t="shared" si="91"/>
        <v>0.72304887082227187</v>
      </c>
      <c r="AJ331">
        <f t="shared" ca="1" si="81"/>
        <v>0.73682296218468013</v>
      </c>
      <c r="AK331">
        <f t="shared" ca="1" si="82"/>
        <v>0.75268788932549069</v>
      </c>
      <c r="AL331">
        <f t="shared" ca="1" si="83"/>
        <v>0.76581375464846158</v>
      </c>
      <c r="AM331">
        <f t="shared" ca="1" si="84"/>
        <v>0.7754157449720287</v>
      </c>
      <c r="AN331">
        <f t="shared" ca="1" si="85"/>
        <v>0.79234278304154115</v>
      </c>
      <c r="AP331" s="40"/>
      <c r="AQ331" s="41"/>
    </row>
    <row r="332" spans="2:43" x14ac:dyDescent="0.25">
      <c r="B332" s="1">
        <v>41005</v>
      </c>
      <c r="C332">
        <v>1.546</v>
      </c>
      <c r="D332">
        <v>0.876</v>
      </c>
      <c r="E332" t="s">
        <v>33</v>
      </c>
      <c r="G332">
        <v>2557.46</v>
      </c>
      <c r="I332" s="14">
        <f t="shared" si="88"/>
        <v>-4.0942928039702231E-2</v>
      </c>
      <c r="J332" s="15">
        <f t="shared" si="89"/>
        <v>-6.3101604278074874E-2</v>
      </c>
      <c r="K332" s="15"/>
      <c r="L332" s="15"/>
      <c r="M332" s="16">
        <f t="shared" si="90"/>
        <v>-4.7142500530925835E-2</v>
      </c>
      <c r="O332" s="13">
        <f t="shared" si="92"/>
        <v>-5.2022266158888553E-2</v>
      </c>
      <c r="Q332" s="5">
        <f t="shared" si="93"/>
        <v>132.69699798741135</v>
      </c>
      <c r="R332" s="6">
        <f t="shared" si="94"/>
        <v>158.23026808307912</v>
      </c>
      <c r="T332" s="11">
        <f t="shared" si="86"/>
        <v>0.83863220100049707</v>
      </c>
      <c r="V332" s="9">
        <v>41005</v>
      </c>
      <c r="W332">
        <v>6350</v>
      </c>
      <c r="X332">
        <v>7362.8635999999997</v>
      </c>
      <c r="Y332" t="s">
        <v>33</v>
      </c>
      <c r="AC332" s="24">
        <f t="shared" si="95"/>
        <v>-5.2966718215938138E-2</v>
      </c>
      <c r="AE332" s="5">
        <f t="shared" si="96"/>
        <v>113.70891130514042</v>
      </c>
      <c r="AF332" s="6">
        <f t="shared" si="97"/>
        <v>158.23026808307912</v>
      </c>
      <c r="AH332" s="1">
        <f t="shared" si="87"/>
        <v>41005</v>
      </c>
      <c r="AI332">
        <f t="shared" si="91"/>
        <v>0.71862932852668449</v>
      </c>
      <c r="AJ332">
        <f t="shared" ca="1" si="81"/>
        <v>0.7357501297242528</v>
      </c>
      <c r="AK332">
        <f t="shared" ca="1" si="82"/>
        <v>0.75154762421522125</v>
      </c>
      <c r="AL332">
        <f t="shared" ca="1" si="83"/>
        <v>0.76581375464846158</v>
      </c>
      <c r="AM332">
        <f t="shared" ca="1" si="84"/>
        <v>0.7754157449720287</v>
      </c>
      <c r="AN332">
        <f t="shared" ca="1" si="85"/>
        <v>0.79234278304154115</v>
      </c>
      <c r="AP332" s="40"/>
      <c r="AQ332" s="41"/>
    </row>
    <row r="333" spans="2:43" x14ac:dyDescent="0.25">
      <c r="B333" s="1">
        <v>41012</v>
      </c>
      <c r="C333">
        <v>1.5209999999999999</v>
      </c>
      <c r="D333">
        <v>0.82799999999999996</v>
      </c>
      <c r="E333" t="s">
        <v>33</v>
      </c>
      <c r="G333">
        <v>2502.08</v>
      </c>
      <c r="I333" s="14">
        <f t="shared" si="88"/>
        <v>-1.6170763260025978E-2</v>
      </c>
      <c r="J333" s="15">
        <f t="shared" si="89"/>
        <v>-5.4794520547945202E-2</v>
      </c>
      <c r="K333" s="15"/>
      <c r="L333" s="15"/>
      <c r="M333" s="16">
        <f t="shared" si="90"/>
        <v>-2.1654297623423302E-2</v>
      </c>
      <c r="O333" s="13">
        <f t="shared" si="92"/>
        <v>-3.548264190398559E-2</v>
      </c>
      <c r="Q333" s="5">
        <f t="shared" si="93"/>
        <v>127.98855792609014</v>
      </c>
      <c r="R333" s="6">
        <f t="shared" si="94"/>
        <v>154.80390276497408</v>
      </c>
      <c r="T333" s="11">
        <f t="shared" si="86"/>
        <v>0.82677862534515389</v>
      </c>
      <c r="V333" s="9">
        <v>41012</v>
      </c>
      <c r="W333">
        <v>6250</v>
      </c>
      <c r="X333">
        <v>6956.3251</v>
      </c>
      <c r="Y333" t="s">
        <v>33</v>
      </c>
      <c r="AC333" s="24">
        <f t="shared" si="95"/>
        <v>-3.6909061614459775E-2</v>
      </c>
      <c r="AE333" s="5">
        <f t="shared" si="96"/>
        <v>109.51202209166586</v>
      </c>
      <c r="AF333" s="6">
        <f t="shared" si="97"/>
        <v>154.80390276497408</v>
      </c>
      <c r="AH333" s="1">
        <f t="shared" si="87"/>
        <v>41012</v>
      </c>
      <c r="AI333">
        <f t="shared" si="91"/>
        <v>0.70742416783851292</v>
      </c>
      <c r="AJ333">
        <f t="shared" ca="1" si="81"/>
        <v>0.73412350663015957</v>
      </c>
      <c r="AK333">
        <f t="shared" ca="1" si="82"/>
        <v>0.75123423875178341</v>
      </c>
      <c r="AL333">
        <f t="shared" ca="1" si="83"/>
        <v>0.76581375464846158</v>
      </c>
      <c r="AM333">
        <f t="shared" ca="1" si="84"/>
        <v>0.7754157449720287</v>
      </c>
      <c r="AN333">
        <f t="shared" ca="1" si="85"/>
        <v>0.79234278304154115</v>
      </c>
      <c r="AP333" s="40"/>
      <c r="AQ333" s="41"/>
    </row>
    <row r="334" spans="2:43" x14ac:dyDescent="0.25">
      <c r="B334" s="1">
        <v>41019</v>
      </c>
      <c r="C334">
        <v>1.4179999999999999</v>
      </c>
      <c r="D334">
        <v>0.72499999999999998</v>
      </c>
      <c r="E334" t="s">
        <v>33</v>
      </c>
      <c r="G334">
        <v>2338.48</v>
      </c>
      <c r="I334" s="14">
        <f t="shared" si="88"/>
        <v>-6.771860618014458E-2</v>
      </c>
      <c r="J334" s="15">
        <f t="shared" si="89"/>
        <v>-0.12439613526570048</v>
      </c>
      <c r="K334" s="15"/>
      <c r="L334" s="15"/>
      <c r="M334" s="16">
        <f t="shared" si="90"/>
        <v>-6.5385599181481013E-2</v>
      </c>
      <c r="O334" s="13">
        <f t="shared" si="92"/>
        <v>-9.605737072292253E-2</v>
      </c>
      <c r="Q334" s="5">
        <f t="shared" si="93"/>
        <v>115.69431356909145</v>
      </c>
      <c r="R334" s="6">
        <f t="shared" si="94"/>
        <v>144.68195682705453</v>
      </c>
      <c r="T334" s="11">
        <f t="shared" si="86"/>
        <v>0.79964576168531198</v>
      </c>
      <c r="V334" s="9">
        <v>41019</v>
      </c>
      <c r="W334">
        <v>5825</v>
      </c>
      <c r="X334">
        <v>6098.0771999999997</v>
      </c>
      <c r="Y334" t="s">
        <v>33</v>
      </c>
      <c r="AC334" s="24">
        <f t="shared" si="95"/>
        <v>-9.7573036931954002E-2</v>
      </c>
      <c r="AE334" s="5">
        <f t="shared" si="96"/>
        <v>98.826601515622784</v>
      </c>
      <c r="AF334" s="6">
        <f t="shared" si="97"/>
        <v>144.68195682705453</v>
      </c>
      <c r="AH334" s="1">
        <f t="shared" si="87"/>
        <v>41019</v>
      </c>
      <c r="AI334">
        <f t="shared" si="91"/>
        <v>0.68306099587632119</v>
      </c>
      <c r="AJ334">
        <f t="shared" ca="1" si="81"/>
        <v>0.73275775453939962</v>
      </c>
      <c r="AK334">
        <f t="shared" ca="1" si="82"/>
        <v>0.74778419038301158</v>
      </c>
      <c r="AL334">
        <f t="shared" ca="1" si="83"/>
        <v>0.76536835266749226</v>
      </c>
      <c r="AM334">
        <f t="shared" ca="1" si="84"/>
        <v>0.77499378216319625</v>
      </c>
      <c r="AN334">
        <f t="shared" ca="1" si="85"/>
        <v>0.79234278304154115</v>
      </c>
      <c r="AP334" s="40"/>
      <c r="AQ334" s="41"/>
    </row>
    <row r="335" spans="2:43" x14ac:dyDescent="0.25">
      <c r="B335" s="1">
        <v>41026</v>
      </c>
      <c r="C335">
        <v>1.4419999999999999</v>
      </c>
      <c r="D335">
        <v>0.73099999999999998</v>
      </c>
      <c r="E335" t="s">
        <v>33</v>
      </c>
      <c r="G335">
        <v>2271.86</v>
      </c>
      <c r="I335" s="14">
        <f t="shared" si="88"/>
        <v>1.6925246826516194E-2</v>
      </c>
      <c r="J335" s="15">
        <f t="shared" si="89"/>
        <v>8.2758620689655782E-3</v>
      </c>
      <c r="K335" s="15"/>
      <c r="L335" s="15"/>
      <c r="M335" s="16">
        <f t="shared" si="90"/>
        <v>-2.8488590879545694E-2</v>
      </c>
      <c r="O335" s="13">
        <f t="shared" si="92"/>
        <v>1.2600554447740886E-2</v>
      </c>
      <c r="Q335" s="5">
        <f t="shared" si="93"/>
        <v>117.15212606651281</v>
      </c>
      <c r="R335" s="6">
        <f t="shared" si="94"/>
        <v>140.56017175135648</v>
      </c>
      <c r="T335" s="11">
        <f t="shared" si="86"/>
        <v>0.83346601392710828</v>
      </c>
      <c r="V335" s="9">
        <v>41026</v>
      </c>
      <c r="W335">
        <v>5925</v>
      </c>
      <c r="X335">
        <v>5962.5644000000002</v>
      </c>
      <c r="Y335" t="s">
        <v>33</v>
      </c>
      <c r="AC335" s="24">
        <f t="shared" si="95"/>
        <v>1.2501504943502391E-2</v>
      </c>
      <c r="AE335" s="5">
        <f t="shared" si="96"/>
        <v>100.06208276301989</v>
      </c>
      <c r="AF335" s="6">
        <f t="shared" si="97"/>
        <v>140.56017175135648</v>
      </c>
      <c r="AH335" s="1">
        <f t="shared" si="87"/>
        <v>41026</v>
      </c>
      <c r="AI335">
        <f t="shared" si="91"/>
        <v>0.7118807661961627</v>
      </c>
      <c r="AJ335">
        <f t="shared" ca="1" si="81"/>
        <v>0.72434895391307197</v>
      </c>
      <c r="AK335">
        <f t="shared" ca="1" si="82"/>
        <v>0.74457497599913491</v>
      </c>
      <c r="AL335">
        <f t="shared" ca="1" si="83"/>
        <v>0.76499381225064789</v>
      </c>
      <c r="AM335">
        <f t="shared" ca="1" si="84"/>
        <v>0.77499378216319625</v>
      </c>
      <c r="AN335">
        <f t="shared" ca="1" si="85"/>
        <v>0.79234278304154115</v>
      </c>
      <c r="AP335" s="40"/>
      <c r="AQ335" s="41"/>
    </row>
    <row r="336" spans="2:43" x14ac:dyDescent="0.25">
      <c r="B336" s="1">
        <v>41033</v>
      </c>
      <c r="C336">
        <v>1.375</v>
      </c>
      <c r="D336">
        <v>0.69199999999999995</v>
      </c>
      <c r="E336" t="s">
        <v>33</v>
      </c>
      <c r="G336">
        <v>2215.34</v>
      </c>
      <c r="I336" s="14">
        <f t="shared" si="88"/>
        <v>-4.6463245492371685E-2</v>
      </c>
      <c r="J336" s="15">
        <f t="shared" si="89"/>
        <v>-5.3351573187414569E-2</v>
      </c>
      <c r="K336" s="15"/>
      <c r="L336" s="15"/>
      <c r="M336" s="16">
        <f t="shared" si="90"/>
        <v>-2.4878293556821252E-2</v>
      </c>
      <c r="O336" s="13">
        <f t="shared" si="92"/>
        <v>-4.9907409339893127E-2</v>
      </c>
      <c r="Q336" s="5">
        <f t="shared" si="93"/>
        <v>111.30536695587259</v>
      </c>
      <c r="R336" s="6">
        <f t="shared" si="94"/>
        <v>137.06327453612903</v>
      </c>
      <c r="T336" s="11">
        <f t="shared" si="86"/>
        <v>0.81207287169060871</v>
      </c>
      <c r="V336" s="9">
        <v>41033</v>
      </c>
      <c r="W336">
        <v>5650</v>
      </c>
      <c r="X336">
        <v>5646.3678</v>
      </c>
      <c r="Y336" t="s">
        <v>33</v>
      </c>
      <c r="AC336" s="24">
        <f t="shared" si="95"/>
        <v>-4.9918292809717608E-2</v>
      </c>
      <c r="AE336" s="5">
        <f t="shared" si="96"/>
        <v>95.067154416505261</v>
      </c>
      <c r="AF336" s="6">
        <f t="shared" si="97"/>
        <v>137.06327453612903</v>
      </c>
      <c r="AH336" s="1">
        <f t="shared" si="87"/>
        <v>41033</v>
      </c>
      <c r="AI336">
        <f t="shared" si="91"/>
        <v>0.69360049027171133</v>
      </c>
      <c r="AJ336">
        <f t="shared" ca="1" si="81"/>
        <v>0.72308692656778517</v>
      </c>
      <c r="AK336">
        <f t="shared" ca="1" si="82"/>
        <v>0.74034836488212885</v>
      </c>
      <c r="AL336">
        <f t="shared" ca="1" si="83"/>
        <v>0.76339946286205851</v>
      </c>
      <c r="AM336">
        <f t="shared" ca="1" si="84"/>
        <v>0.77419696022115525</v>
      </c>
      <c r="AN336">
        <f t="shared" ca="1" si="85"/>
        <v>0.79234278304154115</v>
      </c>
      <c r="AP336" s="40"/>
      <c r="AQ336" s="41"/>
    </row>
    <row r="337" spans="2:43" x14ac:dyDescent="0.25">
      <c r="B337" s="1">
        <v>41040</v>
      </c>
      <c r="C337">
        <v>1.466</v>
      </c>
      <c r="D337">
        <v>0.748</v>
      </c>
      <c r="E337" t="s">
        <v>33</v>
      </c>
      <c r="G337">
        <v>2304.61</v>
      </c>
      <c r="I337" s="14">
        <f t="shared" si="88"/>
        <v>6.6181818181818119E-2</v>
      </c>
      <c r="J337" s="15">
        <f t="shared" si="89"/>
        <v>8.092485549132955E-2</v>
      </c>
      <c r="K337" s="15"/>
      <c r="L337" s="15"/>
      <c r="M337" s="16">
        <f t="shared" si="90"/>
        <v>4.0296297633771738E-2</v>
      </c>
      <c r="O337" s="13">
        <f t="shared" si="92"/>
        <v>7.3553336836573835E-2</v>
      </c>
      <c r="Q337" s="5">
        <f t="shared" si="93"/>
        <v>119.49224810329632</v>
      </c>
      <c r="R337" s="6">
        <f t="shared" si="94"/>
        <v>142.58641704149625</v>
      </c>
      <c r="T337" s="11">
        <f t="shared" si="86"/>
        <v>0.83803387856026323</v>
      </c>
      <c r="V337" s="9">
        <v>41040</v>
      </c>
      <c r="W337">
        <v>6025</v>
      </c>
      <c r="X337">
        <v>6098.0771999999997</v>
      </c>
      <c r="Y337" t="s">
        <v>33</v>
      </c>
      <c r="AC337" s="24">
        <f t="shared" si="95"/>
        <v>7.3550966620719332E-2</v>
      </c>
      <c r="AE337" s="5">
        <f t="shared" si="96"/>
        <v>102.0594355177204</v>
      </c>
      <c r="AF337" s="6">
        <f t="shared" si="97"/>
        <v>142.58641704149625</v>
      </c>
      <c r="AH337" s="1">
        <f t="shared" si="87"/>
        <v>41040</v>
      </c>
      <c r="AI337">
        <f t="shared" si="91"/>
        <v>0.71577249527224285</v>
      </c>
      <c r="AJ337">
        <f t="shared" ca="1" si="81"/>
        <v>0.71907128275624321</v>
      </c>
      <c r="AK337">
        <f t="shared" ca="1" si="82"/>
        <v>0.73877708943345632</v>
      </c>
      <c r="AL337">
        <f t="shared" ca="1" si="83"/>
        <v>0.76148154991428485</v>
      </c>
      <c r="AM337">
        <f t="shared" ca="1" si="84"/>
        <v>0.77352568536892641</v>
      </c>
      <c r="AN337">
        <f t="shared" ca="1" si="85"/>
        <v>0.79234278304154115</v>
      </c>
      <c r="AP337" s="40"/>
      <c r="AQ337" s="41"/>
    </row>
    <row r="338" spans="2:43" x14ac:dyDescent="0.25">
      <c r="B338" s="1">
        <v>41047</v>
      </c>
      <c r="C338">
        <v>1.381</v>
      </c>
      <c r="D338">
        <v>0.73699999999999999</v>
      </c>
      <c r="E338" t="s">
        <v>33</v>
      </c>
      <c r="G338">
        <v>2134.85</v>
      </c>
      <c r="I338" s="14">
        <f t="shared" si="88"/>
        <v>-5.7980900409276948E-2</v>
      </c>
      <c r="J338" s="15">
        <f t="shared" si="89"/>
        <v>-1.4705882352941235E-2</v>
      </c>
      <c r="K338" s="15"/>
      <c r="L338" s="15"/>
      <c r="M338" s="16">
        <f t="shared" si="90"/>
        <v>-7.366105328016459E-2</v>
      </c>
      <c r="O338" s="13">
        <f t="shared" si="92"/>
        <v>-3.6343391381109091E-2</v>
      </c>
      <c r="Q338" s="5">
        <f t="shared" si="93"/>
        <v>115.14949456346963</v>
      </c>
      <c r="R338" s="6">
        <f t="shared" si="94"/>
        <v>132.08335137877484</v>
      </c>
      <c r="T338" s="11">
        <f t="shared" si="86"/>
        <v>0.87179416150076283</v>
      </c>
      <c r="V338" s="9">
        <v>41047</v>
      </c>
      <c r="W338">
        <v>5675</v>
      </c>
      <c r="X338">
        <v>6007.7353000000003</v>
      </c>
      <c r="Y338" t="s">
        <v>33</v>
      </c>
      <c r="AC338" s="24">
        <f t="shared" si="95"/>
        <v>-3.6212961742769972E-2</v>
      </c>
      <c r="AE338" s="5">
        <f t="shared" si="96"/>
        <v>98.363561083828486</v>
      </c>
      <c r="AF338" s="6">
        <f t="shared" si="97"/>
        <v>132.08335137877484</v>
      </c>
      <c r="AH338" s="1">
        <f t="shared" si="87"/>
        <v>41047</v>
      </c>
      <c r="AI338">
        <f t="shared" si="91"/>
        <v>0.7447082471563865</v>
      </c>
      <c r="AJ338">
        <f t="shared" ca="1" si="81"/>
        <v>0.71605817859768706</v>
      </c>
      <c r="AK338">
        <f t="shared" ca="1" si="82"/>
        <v>0.73715565156141083</v>
      </c>
      <c r="AL338">
        <f t="shared" ca="1" si="83"/>
        <v>0.75988186139674363</v>
      </c>
      <c r="AM338">
        <f t="shared" ca="1" si="84"/>
        <v>0.77352568536892641</v>
      </c>
      <c r="AN338">
        <f t="shared" ca="1" si="85"/>
        <v>0.79234278304154115</v>
      </c>
      <c r="AP338" s="40"/>
      <c r="AQ338" s="41"/>
    </row>
    <row r="339" spans="2:43" x14ac:dyDescent="0.25">
      <c r="B339" s="1">
        <v>41054</v>
      </c>
      <c r="C339">
        <v>1.661</v>
      </c>
      <c r="D339">
        <v>0.91400000000000003</v>
      </c>
      <c r="E339" t="s">
        <v>33</v>
      </c>
      <c r="G339">
        <v>2340.2600000000002</v>
      </c>
      <c r="I339" s="14">
        <f t="shared" si="88"/>
        <v>0.20275162925416357</v>
      </c>
      <c r="J339" s="15">
        <f t="shared" si="89"/>
        <v>0.24016282225237462</v>
      </c>
      <c r="K339" s="15"/>
      <c r="L339" s="15"/>
      <c r="M339" s="16">
        <f t="shared" si="90"/>
        <v>9.6217532847741261E-2</v>
      </c>
      <c r="O339" s="13">
        <f t="shared" si="92"/>
        <v>0.22145722575326909</v>
      </c>
      <c r="Q339" s="5">
        <f t="shared" si="93"/>
        <v>140.65018217638675</v>
      </c>
      <c r="R339" s="6">
        <f t="shared" si="94"/>
        <v>144.79208557870186</v>
      </c>
      <c r="T339" s="11">
        <f t="shared" si="86"/>
        <v>0.97139413120709717</v>
      </c>
      <c r="V339" s="9">
        <v>41054</v>
      </c>
      <c r="W339">
        <v>6825</v>
      </c>
      <c r="X339">
        <v>7453.2055</v>
      </c>
      <c r="Y339" t="s">
        <v>33</v>
      </c>
      <c r="AC339" s="24">
        <f t="shared" si="95"/>
        <v>0.22198997875185916</v>
      </c>
      <c r="AE339" s="5">
        <f t="shared" si="96"/>
        <v>120.19928591878477</v>
      </c>
      <c r="AF339" s="6">
        <f t="shared" si="97"/>
        <v>144.79208557870186</v>
      </c>
      <c r="AH339" s="1">
        <f t="shared" si="87"/>
        <v>41054</v>
      </c>
      <c r="AI339">
        <f t="shared" si="91"/>
        <v>0.83015093980016152</v>
      </c>
      <c r="AJ339">
        <f t="shared" ca="1" si="81"/>
        <v>0.71605817859768706</v>
      </c>
      <c r="AK339">
        <f t="shared" ca="1" si="82"/>
        <v>0.73715565156141083</v>
      </c>
      <c r="AL339">
        <f t="shared" ca="1" si="83"/>
        <v>0.75844376938287228</v>
      </c>
      <c r="AM339">
        <f t="shared" ca="1" si="84"/>
        <v>0.77352568536892641</v>
      </c>
      <c r="AN339">
        <f t="shared" ca="1" si="85"/>
        <v>0.79234278304154115</v>
      </c>
      <c r="AP339" s="40"/>
      <c r="AQ339" s="41"/>
    </row>
    <row r="340" spans="2:43" x14ac:dyDescent="0.25">
      <c r="B340" s="1">
        <v>41061</v>
      </c>
      <c r="C340">
        <v>1.5640000000000001</v>
      </c>
      <c r="D340">
        <v>0.88100000000000001</v>
      </c>
      <c r="E340" t="s">
        <v>33</v>
      </c>
      <c r="G340">
        <v>2215.1799999999998</v>
      </c>
      <c r="I340" s="14">
        <f t="shared" si="88"/>
        <v>-5.8398555087296744E-2</v>
      </c>
      <c r="J340" s="15">
        <f t="shared" si="89"/>
        <v>-3.6105032822757122E-2</v>
      </c>
      <c r="K340" s="15"/>
      <c r="L340" s="15"/>
      <c r="M340" s="16">
        <f t="shared" si="90"/>
        <v>-5.3447052891559266E-2</v>
      </c>
      <c r="O340" s="13">
        <f t="shared" si="92"/>
        <v>-4.7251793955026933E-2</v>
      </c>
      <c r="Q340" s="5">
        <f t="shared" si="93"/>
        <v>134.00420874845111</v>
      </c>
      <c r="R340" s="6">
        <f t="shared" si="94"/>
        <v>137.0533753224978</v>
      </c>
      <c r="T340" s="11">
        <f t="shared" si="86"/>
        <v>0.9777519775279393</v>
      </c>
      <c r="V340" s="9">
        <v>41061</v>
      </c>
      <c r="W340">
        <v>6425</v>
      </c>
      <c r="X340">
        <v>7182.1797999999999</v>
      </c>
      <c r="Y340" t="s">
        <v>33</v>
      </c>
      <c r="AC340" s="24">
        <f t="shared" si="95"/>
        <v>-4.676136421226422E-2</v>
      </c>
      <c r="AE340" s="5">
        <f t="shared" si="96"/>
        <v>114.57860333188239</v>
      </c>
      <c r="AF340" s="6">
        <f t="shared" si="97"/>
        <v>137.0533753224978</v>
      </c>
      <c r="AH340" s="1">
        <f t="shared" si="87"/>
        <v>41061</v>
      </c>
      <c r="AI340">
        <f t="shared" si="91"/>
        <v>0.83601445832522969</v>
      </c>
      <c r="AJ340">
        <f t="shared" ca="1" si="81"/>
        <v>0.71605817859768706</v>
      </c>
      <c r="AK340">
        <f t="shared" ca="1" si="82"/>
        <v>0.73715565156141083</v>
      </c>
      <c r="AL340">
        <f t="shared" ca="1" si="83"/>
        <v>0.75988186139674363</v>
      </c>
      <c r="AM340">
        <f t="shared" ca="1" si="84"/>
        <v>0.77419696022115525</v>
      </c>
      <c r="AN340">
        <f t="shared" ca="1" si="85"/>
        <v>0.79425843545104369</v>
      </c>
      <c r="AP340" s="40"/>
      <c r="AQ340" s="41"/>
    </row>
    <row r="341" spans="2:43" x14ac:dyDescent="0.25">
      <c r="B341" s="1">
        <v>41068</v>
      </c>
      <c r="C341">
        <v>1.631</v>
      </c>
      <c r="D341">
        <v>0.89200000000000002</v>
      </c>
      <c r="E341" t="s">
        <v>33</v>
      </c>
      <c r="G341">
        <v>2198.48</v>
      </c>
      <c r="I341" s="14">
        <f t="shared" si="88"/>
        <v>4.2838874680306782E-2</v>
      </c>
      <c r="J341" s="15">
        <f t="shared" si="89"/>
        <v>1.2485811577752637E-2</v>
      </c>
      <c r="K341" s="15"/>
      <c r="L341" s="15"/>
      <c r="M341" s="16">
        <f t="shared" si="90"/>
        <v>-7.5388907447700992E-3</v>
      </c>
      <c r="O341" s="13">
        <f t="shared" si="92"/>
        <v>2.7662343129029709E-2</v>
      </c>
      <c r="Q341" s="5">
        <f t="shared" si="93"/>
        <v>137.7110791515849</v>
      </c>
      <c r="R341" s="6">
        <f t="shared" si="94"/>
        <v>136.02014489973951</v>
      </c>
      <c r="T341" s="11">
        <f t="shared" si="86"/>
        <v>1.012431498680521</v>
      </c>
      <c r="V341" s="9">
        <v>41068</v>
      </c>
      <c r="W341">
        <v>6700</v>
      </c>
      <c r="X341">
        <v>7272.5217000000002</v>
      </c>
      <c r="Y341" t="s">
        <v>33</v>
      </c>
      <c r="AC341" s="24">
        <f t="shared" si="95"/>
        <v>2.6817835795872422E-2</v>
      </c>
      <c r="AE341" s="5">
        <f t="shared" si="96"/>
        <v>117.65135350175721</v>
      </c>
      <c r="AF341" s="6">
        <f t="shared" si="97"/>
        <v>136.02014489973951</v>
      </c>
      <c r="AH341" s="1">
        <f t="shared" si="87"/>
        <v>41068</v>
      </c>
      <c r="AI341">
        <f t="shared" si="91"/>
        <v>0.86495536075540924</v>
      </c>
      <c r="AJ341">
        <f t="shared" ca="1" si="81"/>
        <v>0.71605817859768706</v>
      </c>
      <c r="AK341">
        <f t="shared" ca="1" si="82"/>
        <v>0.73877708943345632</v>
      </c>
      <c r="AL341">
        <f t="shared" ca="1" si="83"/>
        <v>0.76148154991428485</v>
      </c>
      <c r="AM341">
        <f t="shared" ca="1" si="84"/>
        <v>0.77505342845102909</v>
      </c>
      <c r="AN341">
        <f t="shared" ca="1" si="85"/>
        <v>0.79638905902283608</v>
      </c>
      <c r="AP341" s="40"/>
      <c r="AQ341" s="41"/>
    </row>
    <row r="342" spans="2:43" x14ac:dyDescent="0.25">
      <c r="B342" s="1">
        <v>41075</v>
      </c>
      <c r="C342">
        <v>1.643</v>
      </c>
      <c r="D342">
        <v>0.90800000000000003</v>
      </c>
      <c r="E342" t="s">
        <v>33</v>
      </c>
      <c r="G342">
        <v>2273.02</v>
      </c>
      <c r="I342" s="14">
        <f t="shared" si="88"/>
        <v>7.3574494175352445E-3</v>
      </c>
      <c r="J342" s="15">
        <f t="shared" si="89"/>
        <v>1.7937219730941756E-2</v>
      </c>
      <c r="K342" s="15"/>
      <c r="L342" s="15"/>
      <c r="M342" s="16">
        <f t="shared" si="90"/>
        <v>3.3905243622866621E-2</v>
      </c>
      <c r="O342" s="13">
        <f t="shared" si="92"/>
        <v>1.26473345742385E-2</v>
      </c>
      <c r="Q342" s="5">
        <f t="shared" si="93"/>
        <v>139.45275724419443</v>
      </c>
      <c r="R342" s="6">
        <f t="shared" si="94"/>
        <v>140.6319410501828</v>
      </c>
      <c r="T342" s="11">
        <f t="shared" si="86"/>
        <v>0.9916151068016078</v>
      </c>
      <c r="V342" s="9">
        <v>41075</v>
      </c>
      <c r="W342">
        <v>6750</v>
      </c>
      <c r="X342">
        <v>7408.0346</v>
      </c>
      <c r="Y342" t="s">
        <v>33</v>
      </c>
      <c r="AC342" s="24">
        <f t="shared" si="95"/>
        <v>1.2864086718750861E-2</v>
      </c>
      <c r="AE342" s="5">
        <f t="shared" si="96"/>
        <v>119.16483071578223</v>
      </c>
      <c r="AF342" s="6">
        <f t="shared" si="97"/>
        <v>140.6319410501828</v>
      </c>
      <c r="AH342" s="1">
        <f t="shared" si="87"/>
        <v>41075</v>
      </c>
      <c r="AI342">
        <f t="shared" si="91"/>
        <v>0.84735252763993152</v>
      </c>
      <c r="AJ342">
        <f t="shared" ca="1" si="81"/>
        <v>0.71907128275624321</v>
      </c>
      <c r="AK342">
        <f t="shared" ca="1" si="82"/>
        <v>0.74034836488212885</v>
      </c>
      <c r="AL342">
        <f t="shared" ca="1" si="83"/>
        <v>0.76339946286205851</v>
      </c>
      <c r="AM342">
        <f t="shared" ca="1" si="84"/>
        <v>0.77591617194325324</v>
      </c>
      <c r="AN342">
        <f t="shared" ca="1" si="85"/>
        <v>0.79712458315452395</v>
      </c>
      <c r="AP342" s="40"/>
      <c r="AQ342" s="41"/>
    </row>
    <row r="343" spans="2:43" x14ac:dyDescent="0.25">
      <c r="B343" s="1">
        <v>41082</v>
      </c>
      <c r="C343">
        <v>1.655</v>
      </c>
      <c r="D343">
        <v>0.94699999999999995</v>
      </c>
      <c r="E343" t="s">
        <v>33</v>
      </c>
      <c r="G343">
        <v>2341.4899999999998</v>
      </c>
      <c r="I343" s="14">
        <f t="shared" si="88"/>
        <v>7.3037127206330155E-3</v>
      </c>
      <c r="J343" s="15">
        <f t="shared" si="89"/>
        <v>4.295154185022021E-2</v>
      </c>
      <c r="K343" s="15"/>
      <c r="L343" s="15"/>
      <c r="M343" s="16">
        <f t="shared" si="90"/>
        <v>3.0122920167882317E-2</v>
      </c>
      <c r="O343" s="13">
        <f t="shared" si="92"/>
        <v>2.5127627285426613E-2</v>
      </c>
      <c r="Q343" s="5">
        <f t="shared" si="93"/>
        <v>142.95687415215161</v>
      </c>
      <c r="R343" s="6">
        <f t="shared" si="94"/>
        <v>144.86818578349178</v>
      </c>
      <c r="T343" s="11">
        <f t="shared" si="86"/>
        <v>0.9868065467859406</v>
      </c>
      <c r="V343" s="9">
        <v>41082</v>
      </c>
      <c r="W343">
        <v>6800</v>
      </c>
      <c r="X343">
        <v>7724.2311</v>
      </c>
      <c r="Y343" t="s">
        <v>33</v>
      </c>
      <c r="AC343" s="24">
        <f t="shared" si="95"/>
        <v>2.5956043998794309E-2</v>
      </c>
      <c r="AE343" s="5">
        <f t="shared" si="96"/>
        <v>122.25787830494994</v>
      </c>
      <c r="AF343" s="6">
        <f t="shared" si="97"/>
        <v>144.86818578349178</v>
      </c>
      <c r="AH343" s="1">
        <f t="shared" si="87"/>
        <v>41082</v>
      </c>
      <c r="AI343">
        <f t="shared" si="91"/>
        <v>0.84392496284633967</v>
      </c>
      <c r="AJ343">
        <f t="shared" ca="1" si="81"/>
        <v>0.71907128275624321</v>
      </c>
      <c r="AK343">
        <f t="shared" ca="1" si="82"/>
        <v>0.74370773064133766</v>
      </c>
      <c r="AL343">
        <f t="shared" ca="1" si="83"/>
        <v>0.76529286018472265</v>
      </c>
      <c r="AM343">
        <f t="shared" ca="1" si="84"/>
        <v>0.77753639257505358</v>
      </c>
      <c r="AN343">
        <f t="shared" ca="1" si="85"/>
        <v>0.8124148560237181</v>
      </c>
      <c r="AP343" s="40"/>
      <c r="AQ343" s="41"/>
    </row>
    <row r="344" spans="2:43" x14ac:dyDescent="0.25">
      <c r="B344" s="1">
        <v>41089</v>
      </c>
      <c r="C344">
        <v>1.6120000000000001</v>
      </c>
      <c r="D344">
        <v>0.94699999999999995</v>
      </c>
      <c r="E344" t="s">
        <v>33</v>
      </c>
      <c r="G344">
        <v>2346.6799999999998</v>
      </c>
      <c r="I344" s="14">
        <f t="shared" si="88"/>
        <v>-2.5981873111782461E-2</v>
      </c>
      <c r="J344" s="15">
        <f t="shared" si="89"/>
        <v>0</v>
      </c>
      <c r="K344" s="15"/>
      <c r="L344" s="15"/>
      <c r="M344" s="16">
        <f t="shared" si="90"/>
        <v>2.2165373330658156E-3</v>
      </c>
      <c r="O344" s="13">
        <f t="shared" si="92"/>
        <v>-1.299093655589123E-2</v>
      </c>
      <c r="Q344" s="5">
        <f t="shared" si="93"/>
        <v>141.09973046981247</v>
      </c>
      <c r="R344" s="6">
        <f t="shared" si="94"/>
        <v>145.1892915256544</v>
      </c>
      <c r="T344" s="11">
        <f t="shared" si="86"/>
        <v>0.971832901635729</v>
      </c>
      <c r="V344" s="9">
        <v>41089</v>
      </c>
      <c r="W344">
        <v>6625</v>
      </c>
      <c r="X344">
        <v>7724.2311</v>
      </c>
      <c r="Y344" t="s">
        <v>33</v>
      </c>
      <c r="AC344" s="24">
        <f t="shared" si="95"/>
        <v>-1.2164274717449292E-2</v>
      </c>
      <c r="AE344" s="5">
        <f t="shared" si="96"/>
        <v>120.77069988687605</v>
      </c>
      <c r="AF344" s="6">
        <f t="shared" si="97"/>
        <v>145.1892915256544</v>
      </c>
      <c r="AH344" s="1">
        <f t="shared" si="87"/>
        <v>41089</v>
      </c>
      <c r="AI344">
        <f t="shared" si="91"/>
        <v>0.83181547769682673</v>
      </c>
      <c r="AJ344">
        <f t="shared" ca="1" si="81"/>
        <v>0.71907128275624321</v>
      </c>
      <c r="AK344">
        <f t="shared" ca="1" si="82"/>
        <v>0.74370773064133766</v>
      </c>
      <c r="AL344">
        <f t="shared" ca="1" si="83"/>
        <v>0.76583544299306927</v>
      </c>
      <c r="AM344">
        <f t="shared" ca="1" si="84"/>
        <v>0.78013422661784326</v>
      </c>
      <c r="AN344">
        <f t="shared" ca="1" si="85"/>
        <v>0.8214262213110689</v>
      </c>
      <c r="AP344" s="40"/>
      <c r="AQ344" s="41"/>
    </row>
    <row r="345" spans="2:43" x14ac:dyDescent="0.25">
      <c r="B345" s="1">
        <v>41096</v>
      </c>
      <c r="C345">
        <v>1.6120000000000001</v>
      </c>
      <c r="D345">
        <v>0.95299999999999996</v>
      </c>
      <c r="E345" t="s">
        <v>33</v>
      </c>
      <c r="G345">
        <v>2383.69</v>
      </c>
      <c r="I345" s="14">
        <f t="shared" si="88"/>
        <v>0</v>
      </c>
      <c r="J345" s="15">
        <f t="shared" si="89"/>
        <v>6.3357972544879626E-3</v>
      </c>
      <c r="K345" s="15"/>
      <c r="L345" s="15"/>
      <c r="M345" s="16">
        <f t="shared" si="90"/>
        <v>1.5771217208993216E-2</v>
      </c>
      <c r="O345" s="13">
        <f t="shared" si="92"/>
        <v>3.1678986272439813E-3</v>
      </c>
      <c r="Q345" s="5">
        <f t="shared" si="93"/>
        <v>141.54672011227231</v>
      </c>
      <c r="R345" s="6">
        <f t="shared" si="94"/>
        <v>147.47910337872534</v>
      </c>
      <c r="T345" s="11">
        <f t="shared" si="86"/>
        <v>0.95977475363937692</v>
      </c>
      <c r="V345" s="9">
        <v>41096</v>
      </c>
      <c r="W345">
        <v>6625</v>
      </c>
      <c r="X345">
        <v>7769.4021000000002</v>
      </c>
      <c r="Y345" t="s">
        <v>33</v>
      </c>
      <c r="AC345" s="24">
        <f t="shared" si="95"/>
        <v>3.4105773232971717E-3</v>
      </c>
      <c r="AE345" s="5">
        <f t="shared" si="96"/>
        <v>121.18259769722894</v>
      </c>
      <c r="AF345" s="6">
        <f t="shared" si="97"/>
        <v>147.47910337872534</v>
      </c>
      <c r="AH345" s="1">
        <f t="shared" si="87"/>
        <v>41096</v>
      </c>
      <c r="AI345">
        <f t="shared" si="91"/>
        <v>0.82169334448713627</v>
      </c>
      <c r="AJ345">
        <f t="shared" ca="1" si="81"/>
        <v>0.71907128275624321</v>
      </c>
      <c r="AK345">
        <f t="shared" ca="1" si="82"/>
        <v>0.75030528493821924</v>
      </c>
      <c r="AL345">
        <f t="shared" ca="1" si="83"/>
        <v>0.76624363136328211</v>
      </c>
      <c r="AM345">
        <f t="shared" ca="1" si="84"/>
        <v>0.78293811606135699</v>
      </c>
      <c r="AN345">
        <f t="shared" ca="1" si="85"/>
        <v>0.82935978776246888</v>
      </c>
      <c r="AP345" s="40"/>
      <c r="AQ345" s="41"/>
    </row>
    <row r="346" spans="2:43" x14ac:dyDescent="0.25">
      <c r="B346" s="1">
        <v>41103</v>
      </c>
      <c r="C346">
        <v>1.5580000000000001</v>
      </c>
      <c r="D346">
        <v>0.91400000000000003</v>
      </c>
      <c r="E346" t="s">
        <v>33</v>
      </c>
      <c r="G346">
        <v>2381.38</v>
      </c>
      <c r="I346" s="14">
        <f t="shared" si="88"/>
        <v>-3.3498759305210957E-2</v>
      </c>
      <c r="J346" s="15">
        <f t="shared" si="89"/>
        <v>-4.0923399790136372E-2</v>
      </c>
      <c r="K346" s="15"/>
      <c r="L346" s="15"/>
      <c r="M346" s="16">
        <f t="shared" si="90"/>
        <v>-9.6908574521015201E-4</v>
      </c>
      <c r="O346" s="13">
        <f t="shared" si="92"/>
        <v>-3.7211079547673664E-2</v>
      </c>
      <c r="Q346" s="5">
        <f t="shared" si="93"/>
        <v>136.27961385046225</v>
      </c>
      <c r="R346" s="6">
        <f t="shared" si="94"/>
        <v>147.33618348192465</v>
      </c>
      <c r="T346" s="11">
        <f t="shared" si="86"/>
        <v>0.9249568614432121</v>
      </c>
      <c r="V346" s="9">
        <v>41103</v>
      </c>
      <c r="W346">
        <v>6400</v>
      </c>
      <c r="X346">
        <v>7453.2055</v>
      </c>
      <c r="Y346" t="s">
        <v>33</v>
      </c>
      <c r="AC346" s="24">
        <f t="shared" si="95"/>
        <v>-3.7506221162575952E-2</v>
      </c>
      <c r="AE346" s="5">
        <f t="shared" si="96"/>
        <v>116.63749638694121</v>
      </c>
      <c r="AF346" s="6">
        <f t="shared" si="97"/>
        <v>147.33618348192465</v>
      </c>
      <c r="AH346" s="1">
        <f t="shared" si="87"/>
        <v>41103</v>
      </c>
      <c r="AI346">
        <f t="shared" si="91"/>
        <v>0.79164190106261578</v>
      </c>
      <c r="AJ346">
        <f t="shared" ca="1" si="81"/>
        <v>0.71907128275624321</v>
      </c>
      <c r="AK346">
        <f t="shared" ca="1" si="82"/>
        <v>0.75030528493821924</v>
      </c>
      <c r="AL346">
        <f t="shared" ca="1" si="83"/>
        <v>0.76700242891696424</v>
      </c>
      <c r="AM346">
        <f t="shared" ca="1" si="84"/>
        <v>0.7875269440901298</v>
      </c>
      <c r="AN346">
        <f t="shared" ca="1" si="85"/>
        <v>0.82935978776246888</v>
      </c>
      <c r="AP346" s="40"/>
      <c r="AQ346" s="41"/>
    </row>
    <row r="347" spans="2:43" x14ac:dyDescent="0.25">
      <c r="B347" s="1">
        <v>41110</v>
      </c>
      <c r="C347">
        <v>1.631</v>
      </c>
      <c r="D347">
        <v>0.94699999999999995</v>
      </c>
      <c r="E347" t="s">
        <v>33</v>
      </c>
      <c r="G347">
        <v>2459.41</v>
      </c>
      <c r="I347" s="14">
        <f t="shared" si="88"/>
        <v>4.6854942233632846E-2</v>
      </c>
      <c r="J347" s="15">
        <f t="shared" si="89"/>
        <v>3.6105032822757011E-2</v>
      </c>
      <c r="K347" s="15"/>
      <c r="L347" s="15"/>
      <c r="M347" s="16">
        <f t="shared" si="90"/>
        <v>3.2766715097968246E-2</v>
      </c>
      <c r="O347" s="13">
        <f t="shared" si="92"/>
        <v>4.1479987528194928E-2</v>
      </c>
      <c r="Q347" s="5">
        <f t="shared" si="93"/>
        <v>141.93249053332667</v>
      </c>
      <c r="R347" s="6">
        <f t="shared" si="94"/>
        <v>152.16390622969885</v>
      </c>
      <c r="T347" s="11">
        <f t="shared" si="86"/>
        <v>0.93276056096425808</v>
      </c>
      <c r="V347" s="9">
        <v>41110</v>
      </c>
      <c r="W347">
        <v>6700</v>
      </c>
      <c r="X347">
        <v>7724.2311</v>
      </c>
      <c r="Y347" t="s">
        <v>33</v>
      </c>
      <c r="AC347" s="24">
        <f t="shared" si="95"/>
        <v>4.107135056269131E-2</v>
      </c>
      <c r="AE347" s="5">
        <f t="shared" si="96"/>
        <v>121.42795588980393</v>
      </c>
      <c r="AF347" s="6">
        <f t="shared" si="97"/>
        <v>152.16390622969885</v>
      </c>
      <c r="AH347" s="1">
        <f t="shared" si="87"/>
        <v>41110</v>
      </c>
      <c r="AI347">
        <f t="shared" si="91"/>
        <v>0.79800761493663619</v>
      </c>
      <c r="AJ347">
        <f t="shared" ca="1" si="81"/>
        <v>0.71907128275624321</v>
      </c>
      <c r="AK347">
        <f t="shared" ca="1" si="82"/>
        <v>0.75082221006487981</v>
      </c>
      <c r="AL347">
        <f t="shared" ca="1" si="83"/>
        <v>0.76819292920644</v>
      </c>
      <c r="AM347">
        <f t="shared" ca="1" si="84"/>
        <v>0.79200234613240139</v>
      </c>
      <c r="AN347">
        <f t="shared" ca="1" si="85"/>
        <v>0.82935978776246888</v>
      </c>
      <c r="AP347" s="40"/>
      <c r="AQ347" s="41"/>
    </row>
    <row r="348" spans="2:43" x14ac:dyDescent="0.25">
      <c r="B348" s="1">
        <v>41117</v>
      </c>
      <c r="C348">
        <v>1.643</v>
      </c>
      <c r="D348">
        <v>0.90800000000000003</v>
      </c>
      <c r="E348" t="s">
        <v>33</v>
      </c>
      <c r="G348">
        <v>2435.96</v>
      </c>
      <c r="I348" s="14">
        <f t="shared" si="88"/>
        <v>7.3574494175352445E-3</v>
      </c>
      <c r="J348" s="15">
        <f t="shared" si="89"/>
        <v>-4.118268215417098E-2</v>
      </c>
      <c r="K348" s="15"/>
      <c r="L348" s="15"/>
      <c r="M348" s="16">
        <f t="shared" si="90"/>
        <v>-9.5348071285389357E-3</v>
      </c>
      <c r="O348" s="13">
        <f t="shared" si="92"/>
        <v>-1.6912616368317868E-2</v>
      </c>
      <c r="Q348" s="5">
        <f t="shared" si="93"/>
        <v>139.53204077073661</v>
      </c>
      <c r="R348" s="6">
        <f t="shared" si="94"/>
        <v>150.7130527318736</v>
      </c>
      <c r="T348" s="11">
        <f t="shared" si="86"/>
        <v>0.92581258385742748</v>
      </c>
      <c r="V348" s="9">
        <v>41117</v>
      </c>
      <c r="W348">
        <v>6750</v>
      </c>
      <c r="X348">
        <v>7408.0346</v>
      </c>
      <c r="Y348" t="s">
        <v>33</v>
      </c>
      <c r="AC348" s="24">
        <f t="shared" si="95"/>
        <v>-1.8635977288188093E-2</v>
      </c>
      <c r="AE348" s="5">
        <f t="shared" si="96"/>
        <v>119.16502726169043</v>
      </c>
      <c r="AF348" s="6">
        <f t="shared" si="97"/>
        <v>150.7130527318736</v>
      </c>
      <c r="AH348" s="1">
        <f t="shared" si="87"/>
        <v>41117</v>
      </c>
      <c r="AI348">
        <f t="shared" si="91"/>
        <v>0.79067489578153016</v>
      </c>
      <c r="AJ348">
        <f t="shared" ca="1" si="81"/>
        <v>0.71907128275624321</v>
      </c>
      <c r="AK348">
        <f t="shared" ca="1" si="82"/>
        <v>0.75082221006487981</v>
      </c>
      <c r="AL348">
        <f t="shared" ca="1" si="83"/>
        <v>0.76819292920644</v>
      </c>
      <c r="AM348">
        <f t="shared" ca="1" si="84"/>
        <v>0.79341000192767086</v>
      </c>
      <c r="AN348">
        <f t="shared" ca="1" si="85"/>
        <v>0.82935978776246888</v>
      </c>
      <c r="AP348" s="40"/>
      <c r="AQ348" s="41"/>
    </row>
    <row r="349" spans="2:43" x14ac:dyDescent="0.25">
      <c r="B349" s="1">
        <v>41124</v>
      </c>
      <c r="C349">
        <v>1.5820000000000001</v>
      </c>
      <c r="D349">
        <v>0.875</v>
      </c>
      <c r="E349" t="s">
        <v>33</v>
      </c>
      <c r="G349">
        <v>2396.7800000000002</v>
      </c>
      <c r="I349" s="14">
        <f t="shared" si="88"/>
        <v>-3.712720632988431E-2</v>
      </c>
      <c r="J349" s="15">
        <f t="shared" si="89"/>
        <v>-3.6343612334801767E-2</v>
      </c>
      <c r="K349" s="15"/>
      <c r="L349" s="15"/>
      <c r="M349" s="16">
        <f t="shared" si="90"/>
        <v>-1.6084007947585244E-2</v>
      </c>
      <c r="O349" s="13">
        <f t="shared" si="92"/>
        <v>-3.6735409332343039E-2</v>
      </c>
      <c r="Q349" s="5">
        <f t="shared" si="93"/>
        <v>134.40627413804643</v>
      </c>
      <c r="R349" s="6">
        <f t="shared" si="94"/>
        <v>148.28898279392931</v>
      </c>
      <c r="T349" s="11">
        <f t="shared" si="86"/>
        <v>0.90638071423569566</v>
      </c>
      <c r="V349" s="9">
        <v>41124</v>
      </c>
      <c r="W349">
        <v>6500</v>
      </c>
      <c r="X349">
        <v>7137.0088999999998</v>
      </c>
      <c r="Y349" t="s">
        <v>33</v>
      </c>
      <c r="AC349" s="24">
        <f t="shared" si="95"/>
        <v>-3.6717199461563502E-2</v>
      </c>
      <c r="AE349" s="5">
        <f t="shared" si="96"/>
        <v>114.78962118688028</v>
      </c>
      <c r="AF349" s="6">
        <f t="shared" si="97"/>
        <v>148.28898279392931</v>
      </c>
      <c r="AH349" s="1">
        <f t="shared" si="87"/>
        <v>41124</v>
      </c>
      <c r="AI349">
        <f t="shared" si="91"/>
        <v>0.77409406298509975</v>
      </c>
      <c r="AJ349">
        <f t="shared" ca="1" si="81"/>
        <v>0.71907128275624321</v>
      </c>
      <c r="AK349">
        <f t="shared" ca="1" si="82"/>
        <v>0.75082221006487981</v>
      </c>
      <c r="AL349">
        <f t="shared" ca="1" si="83"/>
        <v>0.76819292920644</v>
      </c>
      <c r="AM349">
        <f t="shared" ca="1" si="84"/>
        <v>0.79341000192767086</v>
      </c>
      <c r="AN349">
        <f t="shared" ca="1" si="85"/>
        <v>0.82935978776246888</v>
      </c>
      <c r="AP349" s="40"/>
      <c r="AQ349" s="41"/>
    </row>
    <row r="350" spans="2:43" x14ac:dyDescent="0.25">
      <c r="B350" s="1">
        <v>41131</v>
      </c>
      <c r="C350">
        <v>1.546</v>
      </c>
      <c r="D350">
        <v>0.84199999999999997</v>
      </c>
      <c r="E350" t="s">
        <v>33</v>
      </c>
      <c r="G350">
        <v>2410.85</v>
      </c>
      <c r="I350" s="14">
        <f t="shared" si="88"/>
        <v>-2.2756005056890016E-2</v>
      </c>
      <c r="J350" s="15">
        <f t="shared" si="89"/>
        <v>-3.77142857142857E-2</v>
      </c>
      <c r="K350" s="15"/>
      <c r="L350" s="15"/>
      <c r="M350" s="16">
        <f t="shared" si="90"/>
        <v>5.8703760879177391E-3</v>
      </c>
      <c r="O350" s="13">
        <f t="shared" si="92"/>
        <v>-3.0235145385587858E-2</v>
      </c>
      <c r="Q350" s="5">
        <f t="shared" si="93"/>
        <v>130.34248089874743</v>
      </c>
      <c r="R350" s="6">
        <f t="shared" si="94"/>
        <v>149.15949489262442</v>
      </c>
      <c r="T350" s="11">
        <f t="shared" si="86"/>
        <v>0.87384635482023576</v>
      </c>
      <c r="V350" s="9">
        <v>41131</v>
      </c>
      <c r="W350">
        <v>6350</v>
      </c>
      <c r="X350">
        <v>6865.9831999999997</v>
      </c>
      <c r="Y350" t="s">
        <v>33</v>
      </c>
      <c r="AC350" s="24">
        <f t="shared" si="95"/>
        <v>-3.0584509310526663E-2</v>
      </c>
      <c r="AE350" s="5">
        <f t="shared" si="96"/>
        <v>111.27883694893831</v>
      </c>
      <c r="AF350" s="6">
        <f t="shared" si="97"/>
        <v>149.15949489262442</v>
      </c>
      <c r="AH350" s="1">
        <f t="shared" si="87"/>
        <v>41131</v>
      </c>
      <c r="AI350">
        <f t="shared" si="91"/>
        <v>0.74603924496422225</v>
      </c>
      <c r="AJ350">
        <f t="shared" ca="1" si="81"/>
        <v>0.71907128275624321</v>
      </c>
      <c r="AK350">
        <f t="shared" ca="1" si="82"/>
        <v>0.75082221006487981</v>
      </c>
      <c r="AL350">
        <f t="shared" ca="1" si="83"/>
        <v>0.7692830410000151</v>
      </c>
      <c r="AM350">
        <f t="shared" ca="1" si="84"/>
        <v>0.79341000192767086</v>
      </c>
      <c r="AN350">
        <f t="shared" ca="1" si="85"/>
        <v>0.82935978776246888</v>
      </c>
      <c r="AP350" s="40"/>
      <c r="AQ350" s="41"/>
    </row>
    <row r="351" spans="2:43" x14ac:dyDescent="0.25">
      <c r="B351" s="1">
        <v>41138</v>
      </c>
      <c r="C351">
        <v>1.5149999999999999</v>
      </c>
      <c r="D351">
        <v>0.82</v>
      </c>
      <c r="E351" t="s">
        <v>33</v>
      </c>
      <c r="G351">
        <v>2459.9499999999998</v>
      </c>
      <c r="I351" s="14">
        <f t="shared" si="88"/>
        <v>-2.0051746442432128E-2</v>
      </c>
      <c r="J351" s="15">
        <f t="shared" si="89"/>
        <v>-2.6128266033254133E-2</v>
      </c>
      <c r="K351" s="15"/>
      <c r="L351" s="15"/>
      <c r="M351" s="16">
        <f t="shared" si="90"/>
        <v>2.0366260862351382E-2</v>
      </c>
      <c r="O351" s="13">
        <f t="shared" si="92"/>
        <v>-2.309000623784313E-2</v>
      </c>
      <c r="Q351" s="5">
        <f t="shared" si="93"/>
        <v>127.33287220173939</v>
      </c>
      <c r="R351" s="6">
        <f t="shared" si="94"/>
        <v>152.19731607570418</v>
      </c>
      <c r="T351" s="11">
        <f t="shared" si="86"/>
        <v>0.83663020797556631</v>
      </c>
      <c r="V351" s="9">
        <v>41138</v>
      </c>
      <c r="W351">
        <v>6225</v>
      </c>
      <c r="X351">
        <v>6685.2995000000001</v>
      </c>
      <c r="Y351" t="s">
        <v>33</v>
      </c>
      <c r="AC351" s="24">
        <f t="shared" si="95"/>
        <v>-2.320862707656117E-2</v>
      </c>
      <c r="AE351" s="5">
        <f t="shared" si="96"/>
        <v>108.69620792067694</v>
      </c>
      <c r="AF351" s="6">
        <f t="shared" si="97"/>
        <v>152.19731607570418</v>
      </c>
      <c r="AH351" s="1">
        <f t="shared" si="87"/>
        <v>41138</v>
      </c>
      <c r="AI351">
        <f t="shared" si="91"/>
        <v>0.71417953169824999</v>
      </c>
      <c r="AJ351">
        <f t="shared" ca="1" si="81"/>
        <v>0.71907128275624321</v>
      </c>
      <c r="AK351">
        <f t="shared" ca="1" si="82"/>
        <v>0.74570649551226331</v>
      </c>
      <c r="AL351">
        <f t="shared" ca="1" si="83"/>
        <v>0.76819292920644</v>
      </c>
      <c r="AM351">
        <f t="shared" ca="1" si="84"/>
        <v>0.79341000192767086</v>
      </c>
      <c r="AN351">
        <f t="shared" ca="1" si="85"/>
        <v>0.82935978776246888</v>
      </c>
      <c r="AP351" s="40"/>
      <c r="AQ351" s="41"/>
    </row>
    <row r="352" spans="2:43" x14ac:dyDescent="0.25">
      <c r="B352" s="1">
        <v>41145</v>
      </c>
      <c r="C352">
        <v>1.5209999999999999</v>
      </c>
      <c r="D352">
        <v>0.83099999999999996</v>
      </c>
      <c r="E352" t="s">
        <v>33</v>
      </c>
      <c r="G352">
        <v>2458.81</v>
      </c>
      <c r="I352" s="14">
        <f t="shared" si="88"/>
        <v>3.9603960396039639E-3</v>
      </c>
      <c r="J352" s="15">
        <f t="shared" si="89"/>
        <v>1.3414634146341475E-2</v>
      </c>
      <c r="K352" s="15"/>
      <c r="L352" s="15"/>
      <c r="M352" s="16">
        <f t="shared" si="90"/>
        <v>-4.6342405333432701E-4</v>
      </c>
      <c r="O352" s="13">
        <f t="shared" si="92"/>
        <v>8.6875150929727196E-3</v>
      </c>
      <c r="Q352" s="5">
        <f t="shared" si="93"/>
        <v>128.43907845082359</v>
      </c>
      <c r="R352" s="6">
        <f t="shared" si="94"/>
        <v>152.12678417858177</v>
      </c>
      <c r="T352" s="11">
        <f t="shared" si="86"/>
        <v>0.84428970969404593</v>
      </c>
      <c r="V352" s="9">
        <v>41145</v>
      </c>
      <c r="W352">
        <v>6250</v>
      </c>
      <c r="X352">
        <v>6775.6414000000004</v>
      </c>
      <c r="Y352" t="s">
        <v>33</v>
      </c>
      <c r="AC352" s="24">
        <f t="shared" si="95"/>
        <v>8.8560542145249433E-3</v>
      </c>
      <c r="AE352" s="5">
        <f t="shared" si="96"/>
        <v>109.65882743093572</v>
      </c>
      <c r="AF352" s="6">
        <f t="shared" si="97"/>
        <v>152.12678417858177</v>
      </c>
      <c r="AH352" s="1">
        <f t="shared" si="87"/>
        <v>41145</v>
      </c>
      <c r="AI352">
        <f t="shared" si="91"/>
        <v>0.72083839820216744</v>
      </c>
      <c r="AJ352">
        <f t="shared" ca="1" si="81"/>
        <v>0.71605817859768706</v>
      </c>
      <c r="AK352">
        <f t="shared" ca="1" si="82"/>
        <v>0.74370773064133766</v>
      </c>
      <c r="AL352">
        <f t="shared" ca="1" si="83"/>
        <v>0.76700242891696424</v>
      </c>
      <c r="AM352">
        <f t="shared" ca="1" si="84"/>
        <v>0.79200234613240139</v>
      </c>
      <c r="AN352">
        <f t="shared" ca="1" si="85"/>
        <v>0.82935978776246888</v>
      </c>
      <c r="AP352" s="40"/>
      <c r="AQ352" s="41"/>
    </row>
    <row r="353" spans="2:43" x14ac:dyDescent="0.25">
      <c r="B353" s="1">
        <v>41152</v>
      </c>
      <c r="C353">
        <v>1.5029999999999999</v>
      </c>
      <c r="D353">
        <v>0.78600000000000003</v>
      </c>
      <c r="E353" t="s">
        <v>33</v>
      </c>
      <c r="G353">
        <v>2408.38</v>
      </c>
      <c r="I353" s="14">
        <f t="shared" si="88"/>
        <v>-1.1834319526627279E-2</v>
      </c>
      <c r="J353" s="15">
        <f t="shared" si="89"/>
        <v>-5.4151624548736343E-2</v>
      </c>
      <c r="K353" s="15"/>
      <c r="L353" s="15"/>
      <c r="M353" s="16">
        <f t="shared" si="90"/>
        <v>-2.0509921466074998E-2</v>
      </c>
      <c r="O353" s="13">
        <f t="shared" si="92"/>
        <v>-3.2992972037681811E-2</v>
      </c>
      <c r="Q353" s="5">
        <f t="shared" si="93"/>
        <v>124.20149152694994</v>
      </c>
      <c r="R353" s="6">
        <f t="shared" si="94"/>
        <v>149.00667578219253</v>
      </c>
      <c r="T353" s="11">
        <f t="shared" si="86"/>
        <v>0.83352971183988378</v>
      </c>
      <c r="V353" s="9">
        <v>41152</v>
      </c>
      <c r="W353">
        <v>6175</v>
      </c>
      <c r="X353">
        <v>6414.2737999999999</v>
      </c>
      <c r="Y353" t="s">
        <v>33</v>
      </c>
      <c r="AC353" s="24">
        <f t="shared" si="95"/>
        <v>-3.3846815882025955E-2</v>
      </c>
      <c r="AE353" s="5">
        <f t="shared" si="96"/>
        <v>105.94722528904198</v>
      </c>
      <c r="AF353" s="6">
        <f t="shared" si="97"/>
        <v>149.00667578219253</v>
      </c>
      <c r="AH353" s="1">
        <f t="shared" si="87"/>
        <v>41152</v>
      </c>
      <c r="AI353">
        <f t="shared" si="91"/>
        <v>0.71102334665802613</v>
      </c>
      <c r="AJ353">
        <f t="shared" ca="1" si="81"/>
        <v>0.71605817859768706</v>
      </c>
      <c r="AK353">
        <f t="shared" ca="1" si="82"/>
        <v>0.73985053807564327</v>
      </c>
      <c r="AL353">
        <f t="shared" ca="1" si="83"/>
        <v>0.76624363136328211</v>
      </c>
      <c r="AM353">
        <f t="shared" ca="1" si="84"/>
        <v>0.79091664710180154</v>
      </c>
      <c r="AN353">
        <f t="shared" ca="1" si="85"/>
        <v>0.82930518026885902</v>
      </c>
      <c r="AP353" s="40"/>
      <c r="AQ353" s="41"/>
    </row>
    <row r="354" spans="2:43" x14ac:dyDescent="0.25">
      <c r="B354" s="1">
        <v>41159</v>
      </c>
      <c r="C354">
        <v>1.363</v>
      </c>
      <c r="D354">
        <v>0.70299999999999996</v>
      </c>
      <c r="E354" t="s">
        <v>33</v>
      </c>
      <c r="G354">
        <v>2381.96</v>
      </c>
      <c r="I354" s="14">
        <f t="shared" si="88"/>
        <v>-9.3147039254823594E-2</v>
      </c>
      <c r="J354" s="15">
        <f t="shared" si="89"/>
        <v>-0.10559796437659041</v>
      </c>
      <c r="K354" s="15"/>
      <c r="L354" s="15"/>
      <c r="M354" s="16">
        <f t="shared" si="90"/>
        <v>-1.0970029646484414E-2</v>
      </c>
      <c r="O354" s="13">
        <f t="shared" si="92"/>
        <v>-9.9372501815707004E-2</v>
      </c>
      <c r="Q354" s="5">
        <f t="shared" si="93"/>
        <v>111.85927858467458</v>
      </c>
      <c r="R354" s="6">
        <f t="shared" si="94"/>
        <v>147.37206813133778</v>
      </c>
      <c r="T354" s="11">
        <f t="shared" si="86"/>
        <v>0.75902632027248029</v>
      </c>
      <c r="V354" s="9">
        <v>41159</v>
      </c>
      <c r="W354">
        <v>5600</v>
      </c>
      <c r="X354">
        <v>5736.7097000000003</v>
      </c>
      <c r="Y354" t="s">
        <v>33</v>
      </c>
      <c r="AC354" s="24">
        <f t="shared" si="95"/>
        <v>-9.9490823976886827E-2</v>
      </c>
      <c r="AE354" s="5">
        <f t="shared" si="96"/>
        <v>95.406448546970338</v>
      </c>
      <c r="AF354" s="6">
        <f t="shared" si="97"/>
        <v>147.37206813133778</v>
      </c>
      <c r="AH354" s="1">
        <f t="shared" si="87"/>
        <v>41159</v>
      </c>
      <c r="AI354">
        <f t="shared" si="91"/>
        <v>0.64738487935138589</v>
      </c>
      <c r="AJ354">
        <f t="shared" ca="1" si="81"/>
        <v>0.7143388280556493</v>
      </c>
      <c r="AK354">
        <f t="shared" ca="1" si="82"/>
        <v>0.73715565156141083</v>
      </c>
      <c r="AL354">
        <f t="shared" ca="1" si="83"/>
        <v>0.76583544299306927</v>
      </c>
      <c r="AM354">
        <f t="shared" ca="1" si="84"/>
        <v>0.78418816542184278</v>
      </c>
      <c r="AN354">
        <f t="shared" ca="1" si="85"/>
        <v>0.82930518026885902</v>
      </c>
      <c r="AP354" s="40"/>
      <c r="AQ354" s="41"/>
    </row>
    <row r="355" spans="2:43" x14ac:dyDescent="0.25">
      <c r="B355" s="1">
        <v>41166</v>
      </c>
      <c r="C355">
        <v>1.4059999999999999</v>
      </c>
      <c r="D355">
        <v>0.83599999999999997</v>
      </c>
      <c r="E355" t="s">
        <v>33</v>
      </c>
      <c r="G355">
        <v>2543.86</v>
      </c>
      <c r="I355" s="14">
        <f t="shared" si="88"/>
        <v>3.1548055759354376E-2</v>
      </c>
      <c r="J355" s="15">
        <f t="shared" si="89"/>
        <v>0.18918918918918926</v>
      </c>
      <c r="K355" s="15"/>
      <c r="L355" s="15"/>
      <c r="M355" s="16">
        <f t="shared" si="90"/>
        <v>6.7969235419570451E-2</v>
      </c>
      <c r="O355" s="13">
        <f t="shared" si="92"/>
        <v>0.11036862247427182</v>
      </c>
      <c r="Q355" s="5">
        <f t="shared" si="93"/>
        <v>124.20503307303095</v>
      </c>
      <c r="R355" s="6">
        <f t="shared" si="94"/>
        <v>157.38883492442565</v>
      </c>
      <c r="T355" s="11">
        <f t="shared" si="86"/>
        <v>0.78916038188268711</v>
      </c>
      <c r="V355" s="9">
        <v>41166</v>
      </c>
      <c r="W355">
        <v>5775</v>
      </c>
      <c r="X355">
        <v>6820.8122999999996</v>
      </c>
      <c r="Y355" t="s">
        <v>33</v>
      </c>
      <c r="AC355" s="24">
        <f t="shared" si="95"/>
        <v>0.11131912189734751</v>
      </c>
      <c r="AE355" s="5">
        <f t="shared" si="96"/>
        <v>106.02701062256354</v>
      </c>
      <c r="AF355" s="6">
        <f t="shared" si="97"/>
        <v>157.38883492442565</v>
      </c>
      <c r="AH355" s="1">
        <f t="shared" si="87"/>
        <v>41166</v>
      </c>
      <c r="AI355">
        <f t="shared" si="91"/>
        <v>0.67366284700865331</v>
      </c>
      <c r="AJ355">
        <f t="shared" ca="1" si="81"/>
        <v>0.71211064274637148</v>
      </c>
      <c r="AK355">
        <f t="shared" ca="1" si="82"/>
        <v>0.73573500556125138</v>
      </c>
      <c r="AL355">
        <f t="shared" ca="1" si="83"/>
        <v>0.76377400327890288</v>
      </c>
      <c r="AM355">
        <f t="shared" ca="1" si="84"/>
        <v>0.78013422661784326</v>
      </c>
      <c r="AN355">
        <f t="shared" ca="1" si="85"/>
        <v>0.82930518026885902</v>
      </c>
      <c r="AP355" s="40"/>
      <c r="AQ355" s="41"/>
    </row>
    <row r="356" spans="2:43" x14ac:dyDescent="0.25">
      <c r="B356" s="1">
        <v>41173</v>
      </c>
      <c r="C356">
        <v>1.4239999999999999</v>
      </c>
      <c r="D356">
        <v>0.80300000000000005</v>
      </c>
      <c r="E356" t="s">
        <v>33</v>
      </c>
      <c r="G356">
        <v>2531.75</v>
      </c>
      <c r="I356" s="14">
        <f t="shared" si="88"/>
        <v>1.2802275960170695E-2</v>
      </c>
      <c r="J356" s="15">
        <f t="shared" si="89"/>
        <v>-3.9473684210526216E-2</v>
      </c>
      <c r="K356" s="15"/>
      <c r="L356" s="15"/>
      <c r="M356" s="16">
        <f t="shared" si="90"/>
        <v>-4.7604821020025279E-3</v>
      </c>
      <c r="O356" s="13">
        <f t="shared" si="92"/>
        <v>-1.3335704125177761E-2</v>
      </c>
      <c r="Q356" s="5">
        <f t="shared" si="93"/>
        <v>122.54867150111109</v>
      </c>
      <c r="R356" s="6">
        <f t="shared" si="94"/>
        <v>156.63958819271289</v>
      </c>
      <c r="T356" s="11">
        <f t="shared" si="86"/>
        <v>0.78236078704663137</v>
      </c>
      <c r="V356" s="9">
        <v>41173</v>
      </c>
      <c r="W356">
        <v>5850</v>
      </c>
      <c r="X356">
        <v>6549.7866000000004</v>
      </c>
      <c r="Y356" t="s">
        <v>33</v>
      </c>
      <c r="AC356" s="24">
        <f t="shared" si="95"/>
        <v>-1.5505903269095811E-2</v>
      </c>
      <c r="AE356" s="5">
        <f t="shared" si="96"/>
        <v>104.38296605193867</v>
      </c>
      <c r="AF356" s="6">
        <f t="shared" si="97"/>
        <v>156.63958819271289</v>
      </c>
      <c r="AH356" s="1">
        <f t="shared" si="87"/>
        <v>41173</v>
      </c>
      <c r="AI356">
        <f t="shared" si="91"/>
        <v>0.66638943102631776</v>
      </c>
      <c r="AJ356">
        <f t="shared" ca="1" si="81"/>
        <v>0.71110908861183975</v>
      </c>
      <c r="AK356">
        <f t="shared" ca="1" si="82"/>
        <v>0.73032587054490505</v>
      </c>
      <c r="AL356">
        <f t="shared" ca="1" si="83"/>
        <v>0.76148154991428485</v>
      </c>
      <c r="AM356">
        <f t="shared" ca="1" si="84"/>
        <v>0.78013422661784326</v>
      </c>
      <c r="AN356">
        <f t="shared" ca="1" si="85"/>
        <v>0.82930518026885902</v>
      </c>
      <c r="AP356" s="40"/>
      <c r="AQ356" s="41"/>
    </row>
    <row r="357" spans="2:43" x14ac:dyDescent="0.25">
      <c r="B357" s="1">
        <v>41180</v>
      </c>
      <c r="C357">
        <v>1.46</v>
      </c>
      <c r="D357">
        <v>0.79200000000000004</v>
      </c>
      <c r="E357" t="s">
        <v>33</v>
      </c>
      <c r="G357">
        <v>2451.73</v>
      </c>
      <c r="I357" s="14">
        <f t="shared" si="88"/>
        <v>2.5280898876404612E-2</v>
      </c>
      <c r="J357" s="15">
        <f t="shared" si="89"/>
        <v>-1.3698630136986356E-2</v>
      </c>
      <c r="K357" s="15"/>
      <c r="L357" s="15"/>
      <c r="M357" s="16">
        <f t="shared" si="90"/>
        <v>-3.1606596227905626E-2</v>
      </c>
      <c r="O357" s="13">
        <f t="shared" si="92"/>
        <v>5.7911343697091278E-3</v>
      </c>
      <c r="Q357" s="5">
        <f t="shared" si="93"/>
        <v>123.25836732460336</v>
      </c>
      <c r="R357" s="6">
        <f t="shared" si="94"/>
        <v>151.6887439754004</v>
      </c>
      <c r="T357" s="11">
        <f t="shared" si="86"/>
        <v>0.81257424970564962</v>
      </c>
      <c r="V357" s="9">
        <v>41180</v>
      </c>
      <c r="W357">
        <v>6000</v>
      </c>
      <c r="X357">
        <v>6459.4448000000002</v>
      </c>
      <c r="Y357" t="s">
        <v>33</v>
      </c>
      <c r="AC357" s="24">
        <f t="shared" si="95"/>
        <v>4.6912222116288343E-3</v>
      </c>
      <c r="AE357" s="5">
        <f t="shared" si="96"/>
        <v>104.87264974079723</v>
      </c>
      <c r="AF357" s="6">
        <f t="shared" si="97"/>
        <v>151.6887439754004</v>
      </c>
      <c r="AH357" s="1">
        <f t="shared" si="87"/>
        <v>41180</v>
      </c>
      <c r="AI357">
        <f t="shared" si="91"/>
        <v>0.6913673816021878</v>
      </c>
      <c r="AJ357">
        <f t="shared" ca="1" si="81"/>
        <v>0.70778408572046425</v>
      </c>
      <c r="AK357">
        <f t="shared" ca="1" si="82"/>
        <v>0.72333428891362195</v>
      </c>
      <c r="AL357">
        <f t="shared" ca="1" si="83"/>
        <v>0.75988186139674363</v>
      </c>
      <c r="AM357">
        <f t="shared" ca="1" si="84"/>
        <v>0.78013422661784326</v>
      </c>
      <c r="AN357">
        <f t="shared" ca="1" si="85"/>
        <v>0.82930518026885902</v>
      </c>
      <c r="AP357" s="40"/>
      <c r="AQ357" s="41"/>
    </row>
    <row r="358" spans="2:43" x14ac:dyDescent="0.25">
      <c r="B358" s="1">
        <v>41187</v>
      </c>
      <c r="C358">
        <v>1.4419999999999999</v>
      </c>
      <c r="D358">
        <v>0.78100000000000003</v>
      </c>
      <c r="E358" t="s">
        <v>33</v>
      </c>
      <c r="G358">
        <v>2485.7600000000002</v>
      </c>
      <c r="I358" s="14">
        <f t="shared" si="88"/>
        <v>-1.2328767123287676E-2</v>
      </c>
      <c r="J358" s="15">
        <f t="shared" si="89"/>
        <v>-1.3888888888888951E-2</v>
      </c>
      <c r="K358" s="15"/>
      <c r="L358" s="15"/>
      <c r="M358" s="16">
        <f t="shared" si="90"/>
        <v>1.3879994942346929E-2</v>
      </c>
      <c r="O358" s="13">
        <f t="shared" si="92"/>
        <v>-1.3108828006088313E-2</v>
      </c>
      <c r="Q358" s="5">
        <f t="shared" si="93"/>
        <v>121.64259458703388</v>
      </c>
      <c r="R358" s="6">
        <f t="shared" si="94"/>
        <v>153.79418297458992</v>
      </c>
      <c r="T358" s="11">
        <f t="shared" si="86"/>
        <v>0.79094405415276237</v>
      </c>
      <c r="V358" s="9">
        <v>41187</v>
      </c>
      <c r="W358">
        <v>5925</v>
      </c>
      <c r="X358">
        <v>6369.1028999999999</v>
      </c>
      <c r="Y358" t="s">
        <v>33</v>
      </c>
      <c r="AC358" s="24">
        <f t="shared" si="95"/>
        <v>-1.313759292475356E-2</v>
      </c>
      <c r="AE358" s="5">
        <f t="shared" si="96"/>
        <v>103.49487555956237</v>
      </c>
      <c r="AF358" s="6">
        <f t="shared" si="97"/>
        <v>153.79418297458992</v>
      </c>
      <c r="AH358" s="1">
        <f t="shared" si="87"/>
        <v>41187</v>
      </c>
      <c r="AI358">
        <f t="shared" si="91"/>
        <v>0.67294401880376675</v>
      </c>
      <c r="AJ358">
        <f t="shared" ca="1" si="81"/>
        <v>0.69498285802839155</v>
      </c>
      <c r="AK358">
        <f t="shared" ca="1" si="82"/>
        <v>0.72249625266724582</v>
      </c>
      <c r="AL358">
        <f t="shared" ca="1" si="83"/>
        <v>0.75964440185845983</v>
      </c>
      <c r="AM358">
        <f t="shared" ca="1" si="84"/>
        <v>0.78013422661784326</v>
      </c>
      <c r="AN358">
        <f t="shared" ca="1" si="85"/>
        <v>0.82930518026885902</v>
      </c>
      <c r="AP358" s="40"/>
      <c r="AQ358" s="41"/>
    </row>
    <row r="359" spans="2:43" x14ac:dyDescent="0.25">
      <c r="B359" s="1">
        <v>41194</v>
      </c>
      <c r="C359">
        <v>1.381</v>
      </c>
      <c r="D359">
        <v>0.753</v>
      </c>
      <c r="E359" t="s">
        <v>33</v>
      </c>
      <c r="G359">
        <v>2400.13</v>
      </c>
      <c r="I359" s="14">
        <f t="shared" si="88"/>
        <v>-4.23023578363384E-2</v>
      </c>
      <c r="J359" s="15">
        <f t="shared" si="89"/>
        <v>-3.5851472471190804E-2</v>
      </c>
      <c r="K359" s="15"/>
      <c r="L359" s="15"/>
      <c r="M359" s="16">
        <f t="shared" si="90"/>
        <v>-3.4448217044284246E-2</v>
      </c>
      <c r="O359" s="13">
        <f t="shared" si="92"/>
        <v>-3.9076915153764602E-2</v>
      </c>
      <c r="Q359" s="5">
        <f t="shared" si="93"/>
        <v>116.88917723927257</v>
      </c>
      <c r="R359" s="6">
        <f t="shared" si="94"/>
        <v>148.49624757933287</v>
      </c>
      <c r="T359" s="11">
        <f t="shared" si="86"/>
        <v>0.78715239707875784</v>
      </c>
      <c r="V359" s="9">
        <v>41194</v>
      </c>
      <c r="W359">
        <v>5675</v>
      </c>
      <c r="X359">
        <v>6143.2482</v>
      </c>
      <c r="Y359" t="s">
        <v>33</v>
      </c>
      <c r="AC359" s="24">
        <f t="shared" si="95"/>
        <v>-3.8960401695176679E-2</v>
      </c>
      <c r="AE359" s="5">
        <f t="shared" si="96"/>
        <v>99.462673634369494</v>
      </c>
      <c r="AF359" s="6">
        <f t="shared" si="97"/>
        <v>148.49624757933287</v>
      </c>
      <c r="AH359" s="1">
        <f t="shared" si="87"/>
        <v>41194</v>
      </c>
      <c r="AI359">
        <f t="shared" si="91"/>
        <v>0.66979923907661298</v>
      </c>
      <c r="AJ359">
        <f t="shared" ca="1" si="81"/>
        <v>0.69159069246914018</v>
      </c>
      <c r="AK359">
        <f t="shared" ca="1" si="82"/>
        <v>0.72028613078329673</v>
      </c>
      <c r="AL359">
        <f t="shared" ca="1" si="83"/>
        <v>0.75964440185845983</v>
      </c>
      <c r="AM359">
        <f t="shared" ca="1" si="84"/>
        <v>0.78013422661784326</v>
      </c>
      <c r="AN359">
        <f t="shared" ca="1" si="85"/>
        <v>0.82930518026885902</v>
      </c>
      <c r="AP359" s="40"/>
      <c r="AQ359" s="41"/>
    </row>
    <row r="360" spans="2:43" x14ac:dyDescent="0.25">
      <c r="B360" s="1">
        <v>41201</v>
      </c>
      <c r="C360">
        <v>1.369</v>
      </c>
      <c r="D360">
        <v>0.73699999999999999</v>
      </c>
      <c r="E360" t="s">
        <v>33</v>
      </c>
      <c r="G360">
        <v>2428.0500000000002</v>
      </c>
      <c r="I360" s="14">
        <f t="shared" si="88"/>
        <v>-8.6893555394641497E-3</v>
      </c>
      <c r="J360" s="15">
        <f t="shared" si="89"/>
        <v>-2.1248339973439556E-2</v>
      </c>
      <c r="K360" s="15"/>
      <c r="L360" s="15"/>
      <c r="M360" s="16">
        <f t="shared" si="90"/>
        <v>1.1632703228575236E-2</v>
      </c>
      <c r="O360" s="13">
        <f t="shared" si="92"/>
        <v>-1.4968847756451853E-2</v>
      </c>
      <c r="Q360" s="5">
        <f t="shared" si="93"/>
        <v>115.13948094080099</v>
      </c>
      <c r="R360" s="6">
        <f t="shared" si="94"/>
        <v>150.22366035798029</v>
      </c>
      <c r="T360" s="11">
        <f t="shared" si="86"/>
        <v>0.766453704206286</v>
      </c>
      <c r="V360" s="9">
        <v>41201</v>
      </c>
      <c r="W360">
        <v>5625</v>
      </c>
      <c r="X360">
        <v>6007.7353000000003</v>
      </c>
      <c r="Y360" t="s">
        <v>33</v>
      </c>
      <c r="AC360" s="24">
        <f t="shared" si="95"/>
        <v>-1.5217646129760558E-2</v>
      </c>
      <c r="AE360" s="5">
        <f t="shared" si="96"/>
        <v>97.949085863881805</v>
      </c>
      <c r="AF360" s="6">
        <f t="shared" si="97"/>
        <v>150.22366035798029</v>
      </c>
      <c r="AH360" s="1">
        <f t="shared" si="87"/>
        <v>41201</v>
      </c>
      <c r="AI360">
        <f t="shared" si="91"/>
        <v>0.65202169638571505</v>
      </c>
      <c r="AJ360">
        <f t="shared" ca="1" si="81"/>
        <v>0.68389163444890788</v>
      </c>
      <c r="AK360">
        <f t="shared" ca="1" si="82"/>
        <v>0.71791512021307402</v>
      </c>
      <c r="AL360">
        <f t="shared" ca="1" si="83"/>
        <v>0.75713640975654417</v>
      </c>
      <c r="AM360">
        <f t="shared" ca="1" si="84"/>
        <v>0.78013422661784326</v>
      </c>
      <c r="AN360">
        <f t="shared" ca="1" si="85"/>
        <v>0.82930518026885902</v>
      </c>
      <c r="AP360" s="40"/>
      <c r="AQ360" s="41"/>
    </row>
    <row r="361" spans="2:43" x14ac:dyDescent="0.25">
      <c r="B361" s="1">
        <v>41208</v>
      </c>
      <c r="C361">
        <v>1.381</v>
      </c>
      <c r="D361">
        <v>0.72</v>
      </c>
      <c r="E361" t="s">
        <v>33</v>
      </c>
      <c r="G361">
        <v>2380.33</v>
      </c>
      <c r="I361" s="14">
        <f t="shared" si="88"/>
        <v>8.765522279035709E-3</v>
      </c>
      <c r="J361" s="15">
        <f t="shared" si="89"/>
        <v>-2.3066485753052923E-2</v>
      </c>
      <c r="K361" s="15"/>
      <c r="L361" s="15"/>
      <c r="M361" s="16">
        <f t="shared" si="90"/>
        <v>-1.9653631515001879E-2</v>
      </c>
      <c r="O361" s="13">
        <f t="shared" si="92"/>
        <v>-7.1504817370086071E-3</v>
      </c>
      <c r="Q361" s="5">
        <f t="shared" si="93"/>
        <v>114.31617818512514</v>
      </c>
      <c r="R361" s="6">
        <f t="shared" si="94"/>
        <v>147.27121989246976</v>
      </c>
      <c r="T361" s="11">
        <f t="shared" si="86"/>
        <v>0.77622890791964116</v>
      </c>
      <c r="V361" s="9">
        <v>41208</v>
      </c>
      <c r="W361">
        <v>5675</v>
      </c>
      <c r="X361">
        <v>5872.2224999999999</v>
      </c>
      <c r="Y361" t="s">
        <v>33</v>
      </c>
      <c r="AC361" s="24">
        <f t="shared" si="95"/>
        <v>-7.674143319154462E-3</v>
      </c>
      <c r="AE361" s="5">
        <f t="shared" si="96"/>
        <v>97.197410540982204</v>
      </c>
      <c r="AF361" s="6">
        <f t="shared" si="97"/>
        <v>147.27121989246976</v>
      </c>
      <c r="AH361" s="1">
        <f t="shared" si="87"/>
        <v>41208</v>
      </c>
      <c r="AI361">
        <f t="shared" si="91"/>
        <v>0.6599891724394692</v>
      </c>
      <c r="AJ361">
        <f t="shared" ca="1" si="81"/>
        <v>0.67460266189542006</v>
      </c>
      <c r="AK361">
        <f t="shared" ca="1" si="82"/>
        <v>0.71537425437874469</v>
      </c>
      <c r="AL361">
        <f t="shared" ca="1" si="83"/>
        <v>0.75579046184377885</v>
      </c>
      <c r="AM361">
        <f t="shared" ca="1" si="84"/>
        <v>0.78013422661784326</v>
      </c>
      <c r="AN361">
        <f t="shared" ca="1" si="85"/>
        <v>0.82930518026885902</v>
      </c>
      <c r="AP361" s="40"/>
      <c r="AQ361" s="41"/>
    </row>
    <row r="362" spans="2:43" x14ac:dyDescent="0.25">
      <c r="B362" s="1">
        <v>41215</v>
      </c>
      <c r="C362">
        <v>1.387</v>
      </c>
      <c r="D362">
        <v>0.71399999999999997</v>
      </c>
      <c r="E362" t="s">
        <v>33</v>
      </c>
      <c r="G362">
        <v>2395.13</v>
      </c>
      <c r="I362" s="14">
        <f t="shared" si="88"/>
        <v>4.3446777697320194E-3</v>
      </c>
      <c r="J362" s="15">
        <f t="shared" si="89"/>
        <v>-8.3333333333333037E-3</v>
      </c>
      <c r="K362" s="15"/>
      <c r="L362" s="15"/>
      <c r="M362" s="16">
        <f t="shared" si="90"/>
        <v>6.217625287250117E-3</v>
      </c>
      <c r="O362" s="13">
        <f t="shared" si="92"/>
        <v>-1.9943277818006422E-3</v>
      </c>
      <c r="Q362" s="5">
        <f t="shared" si="93"/>
        <v>114.08819425506127</v>
      </c>
      <c r="R362" s="6">
        <f t="shared" si="94"/>
        <v>148.18689715335736</v>
      </c>
      <c r="T362" s="11">
        <f t="shared" si="86"/>
        <v>0.76989394100743169</v>
      </c>
      <c r="V362" s="9">
        <v>41215</v>
      </c>
      <c r="W362">
        <v>5700</v>
      </c>
      <c r="X362">
        <v>5827.0515999999998</v>
      </c>
      <c r="Y362" t="s">
        <v>33</v>
      </c>
      <c r="AC362" s="24">
        <f t="shared" si="95"/>
        <v>-2.1025957676636627E-3</v>
      </c>
      <c r="AE362" s="5">
        <f t="shared" si="96"/>
        <v>96.993043676950862</v>
      </c>
      <c r="AF362" s="6">
        <f t="shared" si="97"/>
        <v>148.18689715335736</v>
      </c>
      <c r="AH362" s="1">
        <f t="shared" si="87"/>
        <v>41215</v>
      </c>
      <c r="AI362">
        <f t="shared" si="91"/>
        <v>0.65453184822794142</v>
      </c>
      <c r="AJ362">
        <f t="shared" ca="1" si="81"/>
        <v>0.6730159016242554</v>
      </c>
      <c r="AK362">
        <f t="shared" ca="1" si="82"/>
        <v>0.7136048403227282</v>
      </c>
      <c r="AL362">
        <f t="shared" ca="1" si="83"/>
        <v>0.754187305860051</v>
      </c>
      <c r="AM362">
        <f t="shared" ca="1" si="84"/>
        <v>0.78013422661784326</v>
      </c>
      <c r="AN362">
        <f t="shared" ca="1" si="85"/>
        <v>0.82930518026885902</v>
      </c>
      <c r="AP362" s="40"/>
      <c r="AQ362" s="41"/>
    </row>
    <row r="363" spans="2:43" x14ac:dyDescent="0.25">
      <c r="B363" s="1">
        <v>41222</v>
      </c>
      <c r="C363">
        <v>1.369</v>
      </c>
      <c r="D363">
        <v>0.70299999999999996</v>
      </c>
      <c r="E363" t="s">
        <v>33</v>
      </c>
      <c r="G363">
        <v>2390.0500000000002</v>
      </c>
      <c r="I363" s="14">
        <f t="shared" si="88"/>
        <v>-1.2977649603460706E-2</v>
      </c>
      <c r="J363" s="15">
        <f t="shared" si="89"/>
        <v>-1.5406162464986051E-2</v>
      </c>
      <c r="K363" s="15"/>
      <c r="L363" s="15"/>
      <c r="M363" s="16">
        <f t="shared" si="90"/>
        <v>-2.1209704692437548E-3</v>
      </c>
      <c r="O363" s="13">
        <f t="shared" si="92"/>
        <v>-1.4191906034223378E-2</v>
      </c>
      <c r="Q363" s="5">
        <f t="shared" si="93"/>
        <v>112.46906532257921</v>
      </c>
      <c r="R363" s="6">
        <f t="shared" si="94"/>
        <v>147.87259712056624</v>
      </c>
      <c r="T363" s="11">
        <f t="shared" si="86"/>
        <v>0.76058084805854087</v>
      </c>
      <c r="V363" s="9">
        <v>41222</v>
      </c>
      <c r="W363">
        <v>5625</v>
      </c>
      <c r="X363">
        <v>5736.7097000000003</v>
      </c>
      <c r="Y363" t="s">
        <v>33</v>
      </c>
      <c r="AC363" s="24">
        <f t="shared" si="95"/>
        <v>-1.42052896146646E-2</v>
      </c>
      <c r="AE363" s="5">
        <f t="shared" si="96"/>
        <v>95.615229400911957</v>
      </c>
      <c r="AF363" s="6">
        <f t="shared" si="97"/>
        <v>147.87259712056624</v>
      </c>
      <c r="AH363" s="1">
        <f t="shared" si="87"/>
        <v>41222</v>
      </c>
      <c r="AI363">
        <f t="shared" si="91"/>
        <v>0.64660546485805726</v>
      </c>
      <c r="AJ363">
        <f t="shared" ca="1" si="81"/>
        <v>0.67011371704932832</v>
      </c>
      <c r="AK363">
        <f t="shared" ca="1" si="82"/>
        <v>0.71166641131162856</v>
      </c>
      <c r="AL363">
        <f t="shared" ca="1" si="83"/>
        <v>0.74944972133263321</v>
      </c>
      <c r="AM363">
        <f t="shared" ca="1" si="84"/>
        <v>0.78013422661784326</v>
      </c>
      <c r="AN363">
        <f t="shared" ca="1" si="85"/>
        <v>0.82930518026885902</v>
      </c>
      <c r="AP363" s="40"/>
      <c r="AQ363" s="41"/>
    </row>
    <row r="364" spans="2:43" x14ac:dyDescent="0.25">
      <c r="B364" s="1">
        <v>41229</v>
      </c>
      <c r="C364">
        <v>1.3140000000000001</v>
      </c>
      <c r="D364">
        <v>0.67</v>
      </c>
      <c r="E364" t="s">
        <v>33</v>
      </c>
      <c r="G364">
        <v>2283.09</v>
      </c>
      <c r="I364" s="14">
        <f t="shared" si="88"/>
        <v>-4.0175310445580648E-2</v>
      </c>
      <c r="J364" s="15">
        <f t="shared" si="89"/>
        <v>-4.6941678520625807E-2</v>
      </c>
      <c r="K364" s="15"/>
      <c r="L364" s="15"/>
      <c r="M364" s="16">
        <f t="shared" si="90"/>
        <v>-4.4752201836781635E-2</v>
      </c>
      <c r="O364" s="13">
        <f t="shared" si="92"/>
        <v>-4.3558494483103227E-2</v>
      </c>
      <c r="Q364" s="5">
        <f t="shared" si="93"/>
        <v>107.57008216120587</v>
      </c>
      <c r="R364" s="6">
        <f t="shared" si="94"/>
        <v>141.25497280809756</v>
      </c>
      <c r="T364" s="11">
        <f t="shared" si="86"/>
        <v>0.76153129353786064</v>
      </c>
      <c r="V364" s="9">
        <v>41229</v>
      </c>
      <c r="W364">
        <v>5350</v>
      </c>
      <c r="X364">
        <v>5465.6840000000002</v>
      </c>
      <c r="Y364" t="s">
        <v>33</v>
      </c>
      <c r="AC364" s="24">
        <f t="shared" si="95"/>
        <v>-4.3591758356574355E-2</v>
      </c>
      <c r="AE364" s="5">
        <f t="shared" si="96"/>
        <v>91.44719342565898</v>
      </c>
      <c r="AF364" s="6">
        <f t="shared" si="97"/>
        <v>141.25497280809756</v>
      </c>
      <c r="AH364" s="1">
        <f t="shared" si="87"/>
        <v>41229</v>
      </c>
      <c r="AI364">
        <f t="shared" si="91"/>
        <v>0.6473909668999398</v>
      </c>
      <c r="AJ364">
        <f t="shared" ca="1" si="81"/>
        <v>0.66673041183134729</v>
      </c>
      <c r="AK364">
        <f t="shared" ca="1" si="82"/>
        <v>0.7101235519531478</v>
      </c>
      <c r="AL364">
        <f t="shared" ca="1" si="83"/>
        <v>0.74944972133263321</v>
      </c>
      <c r="AM364">
        <f t="shared" ca="1" si="84"/>
        <v>0.78013422661784326</v>
      </c>
      <c r="AN364">
        <f t="shared" ca="1" si="85"/>
        <v>0.82930518026885902</v>
      </c>
      <c r="AP364" s="40"/>
      <c r="AQ364" s="41"/>
    </row>
    <row r="365" spans="2:43" x14ac:dyDescent="0.25">
      <c r="B365" s="1">
        <v>41236</v>
      </c>
      <c r="C365">
        <v>1.2649999999999999</v>
      </c>
      <c r="D365">
        <v>0.70299999999999996</v>
      </c>
      <c r="E365" t="s">
        <v>33</v>
      </c>
      <c r="G365">
        <v>2339.92</v>
      </c>
      <c r="I365" s="14">
        <f t="shared" si="88"/>
        <v>-3.729071537290729E-2</v>
      </c>
      <c r="J365" s="15">
        <f t="shared" si="89"/>
        <v>4.925373134328348E-2</v>
      </c>
      <c r="K365" s="15"/>
      <c r="L365" s="15"/>
      <c r="M365" s="16">
        <f t="shared" si="90"/>
        <v>2.489170378741079E-2</v>
      </c>
      <c r="O365" s="13">
        <f t="shared" si="92"/>
        <v>5.9815079851880948E-3</v>
      </c>
      <c r="Q365" s="5">
        <f t="shared" si="93"/>
        <v>108.21351346662047</v>
      </c>
      <c r="R365" s="6">
        <f t="shared" si="94"/>
        <v>144.77104974973548</v>
      </c>
      <c r="T365" s="11">
        <f t="shared" si="86"/>
        <v>0.74748033984479823</v>
      </c>
      <c r="V365" s="9">
        <v>41236</v>
      </c>
      <c r="W365">
        <v>5150</v>
      </c>
      <c r="X365">
        <v>5736.7097000000003</v>
      </c>
      <c r="Y365" t="s">
        <v>33</v>
      </c>
      <c r="AC365" s="24">
        <f t="shared" si="95"/>
        <v>6.4443454614825134E-3</v>
      </c>
      <c r="AE365" s="5">
        <f t="shared" si="96"/>
        <v>92.036510731576925</v>
      </c>
      <c r="AF365" s="6">
        <f t="shared" si="97"/>
        <v>144.77104974973548</v>
      </c>
      <c r="AH365" s="1">
        <f t="shared" si="87"/>
        <v>41236</v>
      </c>
      <c r="AI365">
        <f t="shared" si="91"/>
        <v>0.63573836682596196</v>
      </c>
      <c r="AJ365">
        <f t="shared" ca="1" si="81"/>
        <v>0.66062919829815403</v>
      </c>
      <c r="AK365">
        <f t="shared" ca="1" si="82"/>
        <v>0.70396824844681249</v>
      </c>
      <c r="AL365">
        <f t="shared" ca="1" si="83"/>
        <v>0.74537374606030438</v>
      </c>
      <c r="AM365">
        <f t="shared" ca="1" si="84"/>
        <v>0.78013422661784326</v>
      </c>
      <c r="AN365">
        <f t="shared" ca="1" si="85"/>
        <v>0.82930518026885902</v>
      </c>
      <c r="AP365" s="40"/>
      <c r="AQ365" s="41"/>
    </row>
    <row r="366" spans="2:43" x14ac:dyDescent="0.25">
      <c r="B366" s="1">
        <v>41243</v>
      </c>
      <c r="C366">
        <v>1.24</v>
      </c>
      <c r="D366">
        <v>0.70299999999999996</v>
      </c>
      <c r="E366" t="s">
        <v>33</v>
      </c>
      <c r="G366">
        <v>2419.3000000000002</v>
      </c>
      <c r="I366" s="14">
        <f t="shared" si="88"/>
        <v>-1.9762845849802257E-2</v>
      </c>
      <c r="J366" s="15">
        <f t="shared" si="89"/>
        <v>0</v>
      </c>
      <c r="K366" s="15"/>
      <c r="L366" s="15"/>
      <c r="M366" s="16">
        <f t="shared" si="90"/>
        <v>3.3924236726041945E-2</v>
      </c>
      <c r="O366" s="13">
        <f t="shared" si="92"/>
        <v>-9.8814229249011287E-3</v>
      </c>
      <c r="Q366" s="5">
        <f t="shared" si="93"/>
        <v>107.14420997386731</v>
      </c>
      <c r="R366" s="6">
        <f t="shared" si="94"/>
        <v>149.68229711252312</v>
      </c>
      <c r="T366" s="11">
        <f t="shared" si="86"/>
        <v>0.71581083428538006</v>
      </c>
      <c r="V366" s="9">
        <v>41243</v>
      </c>
      <c r="W366">
        <v>5050</v>
      </c>
      <c r="X366">
        <v>5736.7097000000003</v>
      </c>
      <c r="Y366" t="s">
        <v>33</v>
      </c>
      <c r="AC366" s="24">
        <f t="shared" si="95"/>
        <v>-9.3488904298129338E-3</v>
      </c>
      <c r="AE366" s="5">
        <f t="shared" si="96"/>
        <v>91.176071477205113</v>
      </c>
      <c r="AF366" s="6">
        <f t="shared" si="97"/>
        <v>149.68229711252312</v>
      </c>
      <c r="AH366" s="1">
        <f t="shared" si="87"/>
        <v>41243</v>
      </c>
      <c r="AI366">
        <f t="shared" si="91"/>
        <v>0.60913062690816289</v>
      </c>
      <c r="AJ366">
        <f t="shared" ca="1" si="81"/>
        <v>0.65507758064909416</v>
      </c>
      <c r="AK366">
        <f t="shared" ca="1" si="82"/>
        <v>0.69304221310433045</v>
      </c>
      <c r="AL366">
        <f t="shared" ca="1" si="83"/>
        <v>0.74099592808519299</v>
      </c>
      <c r="AM366">
        <f t="shared" ca="1" si="84"/>
        <v>0.78013422661784326</v>
      </c>
      <c r="AN366">
        <f t="shared" ca="1" si="85"/>
        <v>0.82930518026885902</v>
      </c>
      <c r="AP366" s="40"/>
      <c r="AQ366" s="41"/>
    </row>
    <row r="367" spans="2:43" x14ac:dyDescent="0.25">
      <c r="B367" s="1">
        <v>41250</v>
      </c>
      <c r="C367">
        <v>1.302</v>
      </c>
      <c r="D367">
        <v>0.748</v>
      </c>
      <c r="E367" t="s">
        <v>33</v>
      </c>
      <c r="G367">
        <v>2480.0300000000002</v>
      </c>
      <c r="I367" s="14">
        <f t="shared" si="88"/>
        <v>5.0000000000000044E-2</v>
      </c>
      <c r="J367" s="15">
        <f t="shared" si="89"/>
        <v>6.4011379800853474E-2</v>
      </c>
      <c r="K367" s="15"/>
      <c r="L367" s="15"/>
      <c r="M367" s="16">
        <f t="shared" si="90"/>
        <v>2.5102302318852576E-2</v>
      </c>
      <c r="O367" s="13">
        <f t="shared" si="92"/>
        <v>5.7005689900426759E-2</v>
      </c>
      <c r="Q367" s="5">
        <f t="shared" si="93"/>
        <v>113.25203958226379</v>
      </c>
      <c r="R367" s="6">
        <f t="shared" si="94"/>
        <v>153.43966738642197</v>
      </c>
      <c r="T367" s="11">
        <f t="shared" si="86"/>
        <v>0.73808840641612061</v>
      </c>
      <c r="V367" s="9">
        <v>41250</v>
      </c>
      <c r="W367">
        <v>5300</v>
      </c>
      <c r="X367">
        <v>6098.0771999999997</v>
      </c>
      <c r="Y367" t="s">
        <v>33</v>
      </c>
      <c r="AC367" s="24">
        <f t="shared" si="95"/>
        <v>5.7451690149215799E-2</v>
      </c>
      <c r="AE367" s="5">
        <f t="shared" si="96"/>
        <v>96.414290884736246</v>
      </c>
      <c r="AF367" s="6">
        <f t="shared" si="97"/>
        <v>153.43966738642197</v>
      </c>
      <c r="AH367" s="1">
        <f t="shared" si="87"/>
        <v>41250</v>
      </c>
      <c r="AI367">
        <f t="shared" si="91"/>
        <v>0.62835310143058898</v>
      </c>
      <c r="AJ367">
        <f t="shared" ca="1" si="81"/>
        <v>0.65227271156993771</v>
      </c>
      <c r="AK367">
        <f t="shared" ca="1" si="82"/>
        <v>0.68929078517072118</v>
      </c>
      <c r="AL367">
        <f t="shared" ca="1" si="83"/>
        <v>0.73702769410882207</v>
      </c>
      <c r="AM367">
        <f t="shared" ca="1" si="84"/>
        <v>0.78013422661784326</v>
      </c>
      <c r="AN367">
        <f t="shared" ca="1" si="85"/>
        <v>0.82930518026885902</v>
      </c>
      <c r="AP367" s="40"/>
      <c r="AQ367" s="41"/>
    </row>
    <row r="368" spans="2:43" x14ac:dyDescent="0.25">
      <c r="B368" s="1">
        <v>41257</v>
      </c>
      <c r="C368">
        <v>1.345</v>
      </c>
      <c r="D368">
        <v>0.82</v>
      </c>
      <c r="E368" t="s">
        <v>33</v>
      </c>
      <c r="G368">
        <v>2696.98</v>
      </c>
      <c r="I368" s="14">
        <f t="shared" si="88"/>
        <v>3.3026113671274837E-2</v>
      </c>
      <c r="J368" s="15">
        <f t="shared" si="89"/>
        <v>9.625668449197855E-2</v>
      </c>
      <c r="K368" s="15"/>
      <c r="L368" s="15"/>
      <c r="M368" s="16">
        <f t="shared" si="90"/>
        <v>8.747878049862301E-2</v>
      </c>
      <c r="O368" s="13">
        <f t="shared" si="92"/>
        <v>6.4641399081626694E-2</v>
      </c>
      <c r="Q368" s="5">
        <f t="shared" si="93"/>
        <v>120.5728098697091</v>
      </c>
      <c r="R368" s="6">
        <f t="shared" si="94"/>
        <v>166.86238236950049</v>
      </c>
      <c r="T368" s="11">
        <f t="shared" si="86"/>
        <v>0.72258832792350025</v>
      </c>
      <c r="V368" s="9">
        <v>41257</v>
      </c>
      <c r="W368">
        <v>5475</v>
      </c>
      <c r="X368">
        <v>6685.2995000000001</v>
      </c>
      <c r="Y368" t="s">
        <v>33</v>
      </c>
      <c r="AC368" s="24">
        <f t="shared" si="95"/>
        <v>6.6855056527067969E-2</v>
      </c>
      <c r="AE368" s="5">
        <f t="shared" si="96"/>
        <v>102.86007375185247</v>
      </c>
      <c r="AF368" s="6">
        <f t="shared" si="97"/>
        <v>166.86238236950049</v>
      </c>
      <c r="AH368" s="1">
        <f t="shared" si="87"/>
        <v>41257</v>
      </c>
      <c r="AI368">
        <f t="shared" si="91"/>
        <v>0.61643656461813456</v>
      </c>
      <c r="AJ368">
        <f t="shared" ca="1" si="81"/>
        <v>0.6478540398485173</v>
      </c>
      <c r="AK368">
        <f t="shared" ca="1" si="82"/>
        <v>0.68071145865940419</v>
      </c>
      <c r="AL368">
        <f t="shared" ca="1" si="83"/>
        <v>0.73469823191885819</v>
      </c>
      <c r="AM368">
        <f t="shared" ca="1" si="84"/>
        <v>0.78013422661784326</v>
      </c>
      <c r="AN368">
        <f t="shared" ca="1" si="85"/>
        <v>0.82930518026885902</v>
      </c>
      <c r="AP368" s="40"/>
      <c r="AQ368" s="41"/>
    </row>
    <row r="369" spans="2:43" x14ac:dyDescent="0.25">
      <c r="B369" s="1">
        <v>41264</v>
      </c>
      <c r="C369">
        <v>1.4610000000000001</v>
      </c>
      <c r="D369">
        <v>0.86899999999999999</v>
      </c>
      <c r="E369" t="s">
        <v>33</v>
      </c>
      <c r="G369">
        <v>2786.4</v>
      </c>
      <c r="I369" s="14">
        <f t="shared" si="88"/>
        <v>8.624535315985149E-2</v>
      </c>
      <c r="J369" s="15">
        <f t="shared" si="89"/>
        <v>5.9756097560975663E-2</v>
      </c>
      <c r="K369" s="15"/>
      <c r="L369" s="15"/>
      <c r="M369" s="16">
        <f t="shared" si="90"/>
        <v>3.3155603675221856E-2</v>
      </c>
      <c r="O369" s="13">
        <f t="shared" si="92"/>
        <v>7.3000725360413576E-2</v>
      </c>
      <c r="Q369" s="5">
        <f t="shared" si="93"/>
        <v>129.3747124489411</v>
      </c>
      <c r="R369" s="6">
        <f t="shared" si="94"/>
        <v>172.39480538764698</v>
      </c>
      <c r="T369" s="11">
        <f t="shared" si="86"/>
        <v>0.7504559789839903</v>
      </c>
      <c r="V369" s="9">
        <v>41264</v>
      </c>
      <c r="W369">
        <v>5950</v>
      </c>
      <c r="X369">
        <v>7091.8379999999997</v>
      </c>
      <c r="Y369" t="s">
        <v>33</v>
      </c>
      <c r="AC369" s="24">
        <f t="shared" si="95"/>
        <v>7.1682504012054032E-2</v>
      </c>
      <c r="AE369" s="5">
        <f t="shared" si="96"/>
        <v>110.23334140124982</v>
      </c>
      <c r="AF369" s="6">
        <f t="shared" si="97"/>
        <v>172.39480538764698</v>
      </c>
      <c r="AH369" s="1">
        <f t="shared" si="87"/>
        <v>41264</v>
      </c>
      <c r="AI369">
        <f t="shared" si="91"/>
        <v>0.63942379907201441</v>
      </c>
      <c r="AJ369">
        <f t="shared" ca="1" si="81"/>
        <v>0.6473854881062413</v>
      </c>
      <c r="AK369">
        <f t="shared" ca="1" si="82"/>
        <v>0.6734831399574317</v>
      </c>
      <c r="AL369">
        <f t="shared" ca="1" si="83"/>
        <v>0.72802705645573851</v>
      </c>
      <c r="AM369">
        <f t="shared" ca="1" si="84"/>
        <v>0.78013422661784326</v>
      </c>
      <c r="AN369">
        <f t="shared" ca="1" si="85"/>
        <v>0.82930518026885902</v>
      </c>
      <c r="AP369" s="40"/>
      <c r="AQ369" s="41"/>
    </row>
    <row r="370" spans="2:43" x14ac:dyDescent="0.25">
      <c r="B370" s="1">
        <v>41271</v>
      </c>
      <c r="C370">
        <v>1.492</v>
      </c>
      <c r="D370">
        <v>0.875</v>
      </c>
      <c r="E370" t="s">
        <v>33</v>
      </c>
      <c r="G370">
        <v>2854.29</v>
      </c>
      <c r="I370" s="14">
        <f t="shared" si="88"/>
        <v>2.1218343600273748E-2</v>
      </c>
      <c r="J370" s="15">
        <f t="shared" si="89"/>
        <v>6.9044879171460405E-3</v>
      </c>
      <c r="K370" s="15"/>
      <c r="L370" s="15"/>
      <c r="M370" s="16">
        <f t="shared" si="90"/>
        <v>2.436477174849272E-2</v>
      </c>
      <c r="O370" s="13">
        <f t="shared" si="92"/>
        <v>1.4061415758709894E-2</v>
      </c>
      <c r="Q370" s="5">
        <f t="shared" si="93"/>
        <v>131.1939040693492</v>
      </c>
      <c r="R370" s="6">
        <f t="shared" si="94"/>
        <v>176.59516547154283</v>
      </c>
      <c r="T370" s="11">
        <f t="shared" si="86"/>
        <v>0.74290767654389867</v>
      </c>
      <c r="V370" s="9">
        <v>41271</v>
      </c>
      <c r="W370">
        <v>6050</v>
      </c>
      <c r="X370">
        <v>7137.0088999999998</v>
      </c>
      <c r="Y370" t="s">
        <v>33</v>
      </c>
      <c r="AC370" s="24">
        <f t="shared" si="95"/>
        <v>1.3434812961408195E-2</v>
      </c>
      <c r="AE370" s="5">
        <f t="shared" si="96"/>
        <v>111.71430572508666</v>
      </c>
      <c r="AF370" s="6">
        <f t="shared" si="97"/>
        <v>176.59516547154283</v>
      </c>
      <c r="AH370" s="1">
        <f t="shared" si="87"/>
        <v>41271</v>
      </c>
      <c r="AI370">
        <f t="shared" si="91"/>
        <v>0.63260115545512319</v>
      </c>
      <c r="AJ370">
        <f t="shared" ca="1" si="81"/>
        <v>0.64668340630739007</v>
      </c>
      <c r="AK370">
        <f t="shared" ca="1" si="82"/>
        <v>0.67215782387197831</v>
      </c>
      <c r="AL370">
        <f t="shared" ca="1" si="83"/>
        <v>0.72323914954983859</v>
      </c>
      <c r="AM370">
        <f t="shared" ca="1" si="84"/>
        <v>0.78013422661784326</v>
      </c>
      <c r="AN370">
        <f t="shared" ca="1" si="85"/>
        <v>0.82930518026885902</v>
      </c>
      <c r="AP370" s="40"/>
      <c r="AQ370" s="41"/>
    </row>
    <row r="371" spans="2:43" x14ac:dyDescent="0.25">
      <c r="B371" s="1">
        <v>41278</v>
      </c>
      <c r="C371">
        <v>1.591</v>
      </c>
      <c r="D371">
        <v>0.93</v>
      </c>
      <c r="E371" t="s">
        <v>33</v>
      </c>
      <c r="G371">
        <v>2996.28</v>
      </c>
      <c r="I371" s="14">
        <f t="shared" si="88"/>
        <v>6.6353887399463796E-2</v>
      </c>
      <c r="J371" s="15">
        <f t="shared" si="89"/>
        <v>6.2857142857142945E-2</v>
      </c>
      <c r="K371" s="15"/>
      <c r="L371" s="15"/>
      <c r="M371" s="16">
        <f t="shared" si="90"/>
        <v>4.9746171552295104E-2</v>
      </c>
      <c r="O371" s="13">
        <f t="shared" si="92"/>
        <v>6.460551512830337E-2</v>
      </c>
      <c r="Q371" s="5">
        <f t="shared" si="93"/>
        <v>139.66975382344273</v>
      </c>
      <c r="R371" s="6">
        <f t="shared" si="94"/>
        <v>185.38009886839615</v>
      </c>
      <c r="T371" s="11">
        <f t="shared" si="86"/>
        <v>0.75342366670435423</v>
      </c>
      <c r="V371" s="9">
        <v>41278</v>
      </c>
      <c r="W371">
        <v>6450</v>
      </c>
      <c r="X371">
        <v>7588.7183000000005</v>
      </c>
      <c r="Y371" t="s">
        <v>33</v>
      </c>
      <c r="AC371" s="24">
        <f t="shared" si="95"/>
        <v>6.446139630396068E-2</v>
      </c>
      <c r="AE371" s="5">
        <f t="shared" si="96"/>
        <v>118.91556585925329</v>
      </c>
      <c r="AF371" s="6">
        <f t="shared" si="97"/>
        <v>185.38009886839615</v>
      </c>
      <c r="AH371" s="1">
        <f t="shared" si="87"/>
        <v>41278</v>
      </c>
      <c r="AI371">
        <f t="shared" si="91"/>
        <v>0.64146888789650003</v>
      </c>
      <c r="AJ371">
        <f t="shared" ca="1" si="81"/>
        <v>0.64014196565061865</v>
      </c>
      <c r="AK371">
        <f t="shared" ca="1" si="82"/>
        <v>0.66894678706403921</v>
      </c>
      <c r="AL371">
        <f t="shared" ca="1" si="83"/>
        <v>0.72194363451221966</v>
      </c>
      <c r="AM371">
        <f t="shared" ca="1" si="84"/>
        <v>0.7760770277309782</v>
      </c>
      <c r="AN371">
        <f t="shared" ca="1" si="85"/>
        <v>0.82930518026885902</v>
      </c>
      <c r="AP371" s="40"/>
      <c r="AQ371" s="41"/>
    </row>
    <row r="372" spans="2:43" x14ac:dyDescent="0.25">
      <c r="B372" s="1">
        <v>41285</v>
      </c>
      <c r="C372">
        <v>1.653</v>
      </c>
      <c r="D372">
        <v>0.90300000000000002</v>
      </c>
      <c r="E372" t="s">
        <v>33</v>
      </c>
      <c r="G372">
        <v>3107.66</v>
      </c>
      <c r="I372" s="14">
        <f t="shared" si="88"/>
        <v>3.8969201759899486E-2</v>
      </c>
      <c r="J372" s="15">
        <f t="shared" si="89"/>
        <v>-2.9032258064516148E-2</v>
      </c>
      <c r="K372" s="15"/>
      <c r="L372" s="15"/>
      <c r="M372" s="16">
        <f t="shared" si="90"/>
        <v>3.7172760890170409E-2</v>
      </c>
      <c r="O372" s="13">
        <f t="shared" si="92"/>
        <v>4.9684718476916689E-3</v>
      </c>
      <c r="Q372" s="5">
        <f t="shared" si="93"/>
        <v>140.36369906328852</v>
      </c>
      <c r="R372" s="6">
        <f t="shared" si="94"/>
        <v>192.2711889574272</v>
      </c>
      <c r="T372" s="11">
        <f t="shared" si="86"/>
        <v>0.73002980750469038</v>
      </c>
      <c r="V372" s="9">
        <v>41285</v>
      </c>
      <c r="W372">
        <v>6700</v>
      </c>
      <c r="X372">
        <v>7362.8635999999997</v>
      </c>
      <c r="Y372" t="s">
        <v>33</v>
      </c>
      <c r="AC372" s="24">
        <f t="shared" si="95"/>
        <v>2.210580953592852E-3</v>
      </c>
      <c r="AE372" s="5">
        <f t="shared" si="96"/>
        <v>119.17843834422747</v>
      </c>
      <c r="AF372" s="6">
        <f t="shared" si="97"/>
        <v>192.2711889574272</v>
      </c>
      <c r="AH372" s="1">
        <f t="shared" si="87"/>
        <v>41285</v>
      </c>
      <c r="AI372">
        <f t="shared" si="91"/>
        <v>0.61984553687144484</v>
      </c>
      <c r="AJ372">
        <f t="shared" ca="1" si="81"/>
        <v>0.63962830795446302</v>
      </c>
      <c r="AK372">
        <f t="shared" ca="1" si="82"/>
        <v>0.66478936637960562</v>
      </c>
      <c r="AL372">
        <f t="shared" ca="1" si="83"/>
        <v>0.71973386336442591</v>
      </c>
      <c r="AM372">
        <f t="shared" ca="1" si="84"/>
        <v>0.77285617446151822</v>
      </c>
      <c r="AN372">
        <f t="shared" ca="1" si="85"/>
        <v>0.82930518026885902</v>
      </c>
      <c r="AP372" s="40"/>
      <c r="AQ372" s="41"/>
    </row>
    <row r="373" spans="2:43" x14ac:dyDescent="0.25">
      <c r="B373" s="1">
        <v>41292</v>
      </c>
      <c r="C373">
        <v>1.702</v>
      </c>
      <c r="D373">
        <v>0.96399999999999997</v>
      </c>
      <c r="E373" t="s">
        <v>33</v>
      </c>
      <c r="G373">
        <v>3197.35</v>
      </c>
      <c r="I373" s="14">
        <f t="shared" si="88"/>
        <v>2.9643073200241954E-2</v>
      </c>
      <c r="J373" s="15">
        <f t="shared" si="89"/>
        <v>6.7552602436323328E-2</v>
      </c>
      <c r="K373" s="15"/>
      <c r="L373" s="15"/>
      <c r="M373" s="16">
        <f t="shared" si="90"/>
        <v>2.8860943603869149E-2</v>
      </c>
      <c r="O373" s="13">
        <f t="shared" si="92"/>
        <v>4.8597837818282641E-2</v>
      </c>
      <c r="Q373" s="5">
        <f t="shared" si="93"/>
        <v>147.18507134594046</v>
      </c>
      <c r="R373" s="6">
        <f t="shared" si="94"/>
        <v>197.82031689857638</v>
      </c>
      <c r="T373" s="11">
        <f t="shared" si="86"/>
        <v>0.74403415004841533</v>
      </c>
      <c r="V373" s="9">
        <v>41292</v>
      </c>
      <c r="W373">
        <v>6900</v>
      </c>
      <c r="X373">
        <v>7859.7439999999997</v>
      </c>
      <c r="Y373" t="s">
        <v>33</v>
      </c>
      <c r="AC373" s="24">
        <f t="shared" si="95"/>
        <v>4.9491284833716037E-2</v>
      </c>
      <c r="AE373" s="5">
        <f t="shared" si="96"/>
        <v>125.07673238235911</v>
      </c>
      <c r="AF373" s="6">
        <f t="shared" si="97"/>
        <v>197.82031689857638</v>
      </c>
      <c r="AH373" s="1">
        <f t="shared" si="87"/>
        <v>41292</v>
      </c>
      <c r="AI373">
        <f t="shared" si="91"/>
        <v>0.63227445159986606</v>
      </c>
      <c r="AJ373">
        <f t="shared" ca="1" si="81"/>
        <v>0.63610691005056719</v>
      </c>
      <c r="AK373">
        <f t="shared" ca="1" si="82"/>
        <v>0.65862484138658728</v>
      </c>
      <c r="AL373">
        <f t="shared" ca="1" si="83"/>
        <v>0.71720091189946367</v>
      </c>
      <c r="AM373">
        <f t="shared" ca="1" si="84"/>
        <v>0.77179737093908063</v>
      </c>
      <c r="AN373">
        <f t="shared" ca="1" si="85"/>
        <v>0.82930518026885902</v>
      </c>
      <c r="AP373" s="40"/>
      <c r="AQ373" s="41"/>
    </row>
    <row r="374" spans="2:43" x14ac:dyDescent="0.25">
      <c r="B374" s="1">
        <v>41299</v>
      </c>
      <c r="C374">
        <v>1.7390000000000001</v>
      </c>
      <c r="D374">
        <v>1.036</v>
      </c>
      <c r="E374" t="s">
        <v>33</v>
      </c>
      <c r="G374">
        <v>3339.77</v>
      </c>
      <c r="I374" s="14">
        <f t="shared" si="88"/>
        <v>2.1739130434782705E-2</v>
      </c>
      <c r="J374" s="15">
        <f t="shared" si="89"/>
        <v>7.4688796680498104E-2</v>
      </c>
      <c r="K374" s="15"/>
      <c r="L374" s="15"/>
      <c r="M374" s="16">
        <f t="shared" si="90"/>
        <v>4.4543137285564693E-2</v>
      </c>
      <c r="O374" s="13">
        <f t="shared" si="92"/>
        <v>4.8213963557640405E-2</v>
      </c>
      <c r="Q374" s="5">
        <f t="shared" si="93"/>
        <v>154.28144701204232</v>
      </c>
      <c r="R374" s="6">
        <f t="shared" si="94"/>
        <v>206.63185443206359</v>
      </c>
      <c r="T374" s="11">
        <f t="shared" si="86"/>
        <v>0.74664890094555569</v>
      </c>
      <c r="V374" s="9">
        <v>41299</v>
      </c>
      <c r="W374">
        <v>7050</v>
      </c>
      <c r="X374">
        <v>8446.9662000000008</v>
      </c>
      <c r="Y374" t="s">
        <v>33</v>
      </c>
      <c r="AC374" s="24">
        <f t="shared" si="95"/>
        <v>4.9935474597443262E-2</v>
      </c>
      <c r="AE374" s="5">
        <f t="shared" si="96"/>
        <v>131.3224983749696</v>
      </c>
      <c r="AF374" s="6">
        <f t="shared" si="97"/>
        <v>206.63185443206359</v>
      </c>
      <c r="AH374" s="1">
        <f t="shared" si="87"/>
        <v>41299</v>
      </c>
      <c r="AI374">
        <f t="shared" si="91"/>
        <v>0.63553849785607852</v>
      </c>
      <c r="AJ374">
        <f t="shared" ca="1" si="81"/>
        <v>0.63291487659220702</v>
      </c>
      <c r="AK374">
        <f t="shared" ca="1" si="82"/>
        <v>0.65390431026738483</v>
      </c>
      <c r="AL374">
        <f t="shared" ca="1" si="83"/>
        <v>0.71497601348524642</v>
      </c>
      <c r="AM374">
        <f t="shared" ca="1" si="84"/>
        <v>0.76433538615052321</v>
      </c>
      <c r="AN374">
        <f t="shared" ca="1" si="85"/>
        <v>0.82930518026885902</v>
      </c>
      <c r="AP374" s="40"/>
      <c r="AQ374" s="41"/>
    </row>
    <row r="375" spans="2:43" x14ac:dyDescent="0.25">
      <c r="B375" s="1">
        <v>41306</v>
      </c>
      <c r="C375">
        <v>1.819</v>
      </c>
      <c r="D375">
        <v>1.08</v>
      </c>
      <c r="E375" t="s">
        <v>33</v>
      </c>
      <c r="G375">
        <v>3531.46</v>
      </c>
      <c r="I375" s="14">
        <f t="shared" si="88"/>
        <v>4.6003450258769396E-2</v>
      </c>
      <c r="J375" s="15">
        <f t="shared" si="89"/>
        <v>4.2471042471042608E-2</v>
      </c>
      <c r="K375" s="15"/>
      <c r="L375" s="15"/>
      <c r="M375" s="16">
        <f t="shared" si="90"/>
        <v>5.7396167999592906E-2</v>
      </c>
      <c r="O375" s="13">
        <f t="shared" si="92"/>
        <v>4.4237246364906002E-2</v>
      </c>
      <c r="Q375" s="5">
        <f t="shared" si="93"/>
        <v>161.10643339304823</v>
      </c>
      <c r="R375" s="6">
        <f t="shared" si="94"/>
        <v>218.49173106311375</v>
      </c>
      <c r="T375" s="11">
        <f t="shared" si="86"/>
        <v>0.73735711923354608</v>
      </c>
      <c r="V375" s="9">
        <v>41306</v>
      </c>
      <c r="W375">
        <v>7375</v>
      </c>
      <c r="X375">
        <v>8808.3338000000003</v>
      </c>
      <c r="Y375" t="s">
        <v>33</v>
      </c>
      <c r="AC375" s="24">
        <f t="shared" si="95"/>
        <v>4.4078032805929826E-2</v>
      </c>
      <c r="AE375" s="5">
        <f t="shared" si="96"/>
        <v>137.11093576649816</v>
      </c>
      <c r="AF375" s="6">
        <f t="shared" si="97"/>
        <v>218.49173106311375</v>
      </c>
      <c r="AH375" s="1">
        <f t="shared" si="87"/>
        <v>41306</v>
      </c>
      <c r="AI375">
        <f t="shared" si="91"/>
        <v>0.62753375196103944</v>
      </c>
      <c r="AJ375">
        <f t="shared" ca="1" si="81"/>
        <v>0.63289488969521868</v>
      </c>
      <c r="AK375">
        <f t="shared" ca="1" si="82"/>
        <v>0.65086401401427119</v>
      </c>
      <c r="AL375">
        <f t="shared" ca="1" si="83"/>
        <v>0.7130301489472064</v>
      </c>
      <c r="AM375">
        <f t="shared" ca="1" si="84"/>
        <v>0.76217824812971635</v>
      </c>
      <c r="AN375">
        <f t="shared" ca="1" si="85"/>
        <v>0.82930518026885902</v>
      </c>
      <c r="AP375" s="40"/>
      <c r="AQ375" s="41"/>
    </row>
    <row r="376" spans="2:43" x14ac:dyDescent="0.25">
      <c r="B376" s="1">
        <v>41313</v>
      </c>
      <c r="C376">
        <v>1.665</v>
      </c>
      <c r="D376">
        <v>0.96899999999999997</v>
      </c>
      <c r="E376" t="s">
        <v>33</v>
      </c>
      <c r="G376">
        <v>3279.96</v>
      </c>
      <c r="I376" s="14">
        <f t="shared" si="88"/>
        <v>-8.4661902144035128E-2</v>
      </c>
      <c r="J376" s="15">
        <f t="shared" si="89"/>
        <v>-0.10277777777777786</v>
      </c>
      <c r="K376" s="15"/>
      <c r="L376" s="15"/>
      <c r="M376" s="16">
        <f t="shared" si="90"/>
        <v>-7.1217003732167439E-2</v>
      </c>
      <c r="O376" s="13">
        <f t="shared" si="92"/>
        <v>-9.3719839960906492E-2</v>
      </c>
      <c r="Q376" s="5">
        <f t="shared" si="93"/>
        <v>146.00756423877931</v>
      </c>
      <c r="R376" s="6">
        <f t="shared" si="94"/>
        <v>202.93140463654424</v>
      </c>
      <c r="T376" s="11">
        <f t="shared" si="86"/>
        <v>0.71949220723269958</v>
      </c>
      <c r="V376" s="9">
        <v>41313</v>
      </c>
      <c r="W376">
        <v>6750</v>
      </c>
      <c r="X376">
        <v>7904.9148999999998</v>
      </c>
      <c r="Y376" t="s">
        <v>33</v>
      </c>
      <c r="AC376" s="24">
        <f t="shared" si="95"/>
        <v>-9.4522088038568958E-2</v>
      </c>
      <c r="AE376" s="5">
        <f t="shared" si="96"/>
        <v>124.15092382492664</v>
      </c>
      <c r="AF376" s="6">
        <f t="shared" si="97"/>
        <v>202.93140463654424</v>
      </c>
      <c r="AH376" s="1">
        <f t="shared" si="87"/>
        <v>41313</v>
      </c>
      <c r="AI376">
        <f t="shared" si="91"/>
        <v>0.61178763359611277</v>
      </c>
      <c r="AJ376">
        <f t="shared" ca="1" si="81"/>
        <v>0.63230712198539174</v>
      </c>
      <c r="AK376">
        <f t="shared" ca="1" si="82"/>
        <v>0.64738944501280127</v>
      </c>
      <c r="AL376">
        <f t="shared" ca="1" si="83"/>
        <v>0.71145205642709441</v>
      </c>
      <c r="AM376">
        <f t="shared" ca="1" si="84"/>
        <v>0.7541967257369302</v>
      </c>
      <c r="AN376">
        <f t="shared" ca="1" si="85"/>
        <v>0.82930518026885902</v>
      </c>
      <c r="AP376" s="40"/>
      <c r="AQ376" s="41"/>
    </row>
    <row r="377" spans="2:43" x14ac:dyDescent="0.25">
      <c r="B377" s="1">
        <v>41320</v>
      </c>
      <c r="C377">
        <v>1.7509999999999999</v>
      </c>
      <c r="D377">
        <v>1.052</v>
      </c>
      <c r="E377" t="s">
        <v>33</v>
      </c>
      <c r="G377">
        <v>3295.42</v>
      </c>
      <c r="I377" s="14">
        <f t="shared" si="88"/>
        <v>5.1651651651651642E-2</v>
      </c>
      <c r="J377" s="15">
        <f t="shared" si="89"/>
        <v>8.5655314757482115E-2</v>
      </c>
      <c r="K377" s="15"/>
      <c r="L377" s="15"/>
      <c r="M377" s="16">
        <f t="shared" si="90"/>
        <v>4.7134721155135395E-3</v>
      </c>
      <c r="O377" s="13">
        <f t="shared" si="92"/>
        <v>6.8653483204566879E-2</v>
      </c>
      <c r="Q377" s="5">
        <f t="shared" si="93"/>
        <v>156.03149209798607</v>
      </c>
      <c r="R377" s="6">
        <f t="shared" si="94"/>
        <v>203.8879161536606</v>
      </c>
      <c r="T377" s="11">
        <f t="shared" si="86"/>
        <v>0.76528072404444303</v>
      </c>
      <c r="V377" s="9">
        <v>41320</v>
      </c>
      <c r="W377">
        <v>7100</v>
      </c>
      <c r="X377">
        <v>8582.4791000000005</v>
      </c>
      <c r="Y377" t="s">
        <v>33</v>
      </c>
      <c r="AC377" s="24">
        <f t="shared" si="95"/>
        <v>6.9993352369399214E-2</v>
      </c>
      <c r="AE377" s="5">
        <f t="shared" si="96"/>
        <v>132.84066318319117</v>
      </c>
      <c r="AF377" s="6">
        <f t="shared" si="97"/>
        <v>203.8879161536606</v>
      </c>
      <c r="AH377" s="1">
        <f t="shared" si="87"/>
        <v>41320</v>
      </c>
      <c r="AI377">
        <f t="shared" si="91"/>
        <v>0.65153769624618407</v>
      </c>
      <c r="AJ377">
        <f t="shared" ca="1" si="81"/>
        <v>0.62874523644751668</v>
      </c>
      <c r="AK377">
        <f t="shared" ca="1" si="82"/>
        <v>0.64719002572805373</v>
      </c>
      <c r="AL377">
        <f t="shared" ca="1" si="83"/>
        <v>0.70922375724826958</v>
      </c>
      <c r="AM377">
        <f t="shared" ca="1" si="84"/>
        <v>0.74774448314842767</v>
      </c>
      <c r="AN377">
        <f t="shared" ca="1" si="85"/>
        <v>0.82930518026885902</v>
      </c>
      <c r="AP377" s="40"/>
      <c r="AQ377" s="41"/>
    </row>
    <row r="378" spans="2:43" x14ac:dyDescent="0.25">
      <c r="B378" s="1">
        <v>41327</v>
      </c>
      <c r="C378">
        <v>1.702</v>
      </c>
      <c r="D378">
        <v>0.98599999999999999</v>
      </c>
      <c r="E378" t="s">
        <v>33</v>
      </c>
      <c r="G378">
        <v>3140.38</v>
      </c>
      <c r="I378" s="14">
        <f t="shared" si="88"/>
        <v>-2.7984009137635546E-2</v>
      </c>
      <c r="J378" s="15">
        <f t="shared" si="89"/>
        <v>-6.2737642585551368E-2</v>
      </c>
      <c r="K378" s="15"/>
      <c r="L378" s="15"/>
      <c r="M378" s="16">
        <f t="shared" si="90"/>
        <v>-4.7047113873193713E-2</v>
      </c>
      <c r="O378" s="13">
        <f t="shared" si="92"/>
        <v>-4.5360825861593457E-2</v>
      </c>
      <c r="Q378" s="5">
        <f t="shared" si="93"/>
        <v>148.95377475600475</v>
      </c>
      <c r="R378" s="6">
        <f t="shared" si="94"/>
        <v>194.29557814501115</v>
      </c>
      <c r="T378" s="11">
        <f t="shared" si="86"/>
        <v>0.76663491870532507</v>
      </c>
      <c r="V378" s="9">
        <v>41327</v>
      </c>
      <c r="W378">
        <v>6900</v>
      </c>
      <c r="X378">
        <v>8040.4277000000002</v>
      </c>
      <c r="Y378" t="s">
        <v>33</v>
      </c>
      <c r="AC378" s="24">
        <f t="shared" si="95"/>
        <v>-4.7003472247635708E-2</v>
      </c>
      <c r="AE378" s="5">
        <f t="shared" si="96"/>
        <v>126.59669075790252</v>
      </c>
      <c r="AF378" s="6">
        <f t="shared" si="97"/>
        <v>194.29557814501115</v>
      </c>
      <c r="AH378" s="1">
        <f t="shared" si="87"/>
        <v>41327</v>
      </c>
      <c r="AI378">
        <f t="shared" si="91"/>
        <v>0.65156753419997016</v>
      </c>
      <c r="AJ378">
        <f t="shared" ca="1" si="81"/>
        <v>0.62874523644751668</v>
      </c>
      <c r="AK378">
        <f t="shared" ca="1" si="82"/>
        <v>0.64719002572805373</v>
      </c>
      <c r="AL378">
        <f t="shared" ca="1" si="83"/>
        <v>0.70051232905511207</v>
      </c>
      <c r="AM378">
        <f t="shared" ca="1" si="84"/>
        <v>0.74504099660834544</v>
      </c>
      <c r="AN378">
        <f t="shared" ca="1" si="85"/>
        <v>0.82930518026885902</v>
      </c>
      <c r="AP378" s="40"/>
      <c r="AQ378" s="41"/>
    </row>
    <row r="379" spans="2:43" x14ac:dyDescent="0.25">
      <c r="B379" s="1">
        <v>41334</v>
      </c>
      <c r="C379">
        <v>1.665</v>
      </c>
      <c r="D379">
        <v>0.95299999999999996</v>
      </c>
      <c r="E379" t="s">
        <v>33</v>
      </c>
      <c r="G379">
        <v>3099.71</v>
      </c>
      <c r="I379" s="14">
        <f t="shared" si="88"/>
        <v>-2.1739130434782594E-2</v>
      </c>
      <c r="J379" s="15">
        <f t="shared" si="89"/>
        <v>-3.3468559837728229E-2</v>
      </c>
      <c r="K379" s="15"/>
      <c r="L379" s="15"/>
      <c r="M379" s="16">
        <f t="shared" si="90"/>
        <v>-1.2950662021793513E-2</v>
      </c>
      <c r="O379" s="13">
        <f t="shared" si="92"/>
        <v>-2.7603845136255412E-2</v>
      </c>
      <c r="Q379" s="5">
        <f t="shared" si="93"/>
        <v>144.8420778251793</v>
      </c>
      <c r="R379" s="6">
        <f t="shared" si="94"/>
        <v>191.77932178012614</v>
      </c>
      <c r="T379" s="11">
        <f t="shared" si="86"/>
        <v>0.75525388493781354</v>
      </c>
      <c r="V379" s="9">
        <v>41334</v>
      </c>
      <c r="W379">
        <v>6750</v>
      </c>
      <c r="X379">
        <v>7769.4021000000002</v>
      </c>
      <c r="Y379" t="s">
        <v>33</v>
      </c>
      <c r="AC379" s="24">
        <f t="shared" si="95"/>
        <v>-2.8051508565472824E-2</v>
      </c>
      <c r="AE379" s="5">
        <f t="shared" si="96"/>
        <v>123.04546260274671</v>
      </c>
      <c r="AF379" s="6">
        <f t="shared" si="97"/>
        <v>191.77932178012614</v>
      </c>
      <c r="AH379" s="1">
        <f t="shared" si="87"/>
        <v>41334</v>
      </c>
      <c r="AI379">
        <f t="shared" si="91"/>
        <v>0.64159921654023588</v>
      </c>
      <c r="AJ379">
        <f t="shared" ref="AJ379:AJ442" ca="1" si="98">+_xlfn.PERCENTILE.INC(OFFSET(AI379,-52,0,52,1),0.1)</f>
        <v>0.62874523644751668</v>
      </c>
      <c r="AK379">
        <f t="shared" ref="AK379:AK442" ca="1" si="99">+_xlfn.PERCENTILE.INC(OFFSET(AI379,-52,0,52,1),0.25)</f>
        <v>0.64719002572805373</v>
      </c>
      <c r="AL379">
        <f t="shared" ref="AL379:AL442" ca="1" si="100">+_xlfn.PERCENTILE.INC(OFFSET(AI379,-52,0,52,1),0.5)</f>
        <v>0.69248393593694957</v>
      </c>
      <c r="AM379">
        <f t="shared" ref="AM379:AM442" ca="1" si="101">+_xlfn.PERCENTILE.INC(OFFSET(AI379,-52,0,52,1),0.75)</f>
        <v>0.74504099660834544</v>
      </c>
      <c r="AN379">
        <f t="shared" ref="AN379:AN442" ca="1" si="102">+_xlfn.PERCENTILE.INC(OFFSET(AI379,-52,0,52,1),0.9)</f>
        <v>0.82930518026885902</v>
      </c>
      <c r="AP379" s="40"/>
      <c r="AQ379" s="41"/>
    </row>
    <row r="380" spans="2:43" x14ac:dyDescent="0.25">
      <c r="B380" s="1">
        <v>41341</v>
      </c>
      <c r="C380">
        <v>1.64</v>
      </c>
      <c r="D380">
        <v>0.997</v>
      </c>
      <c r="E380" t="s">
        <v>33</v>
      </c>
      <c r="G380">
        <v>3324.89</v>
      </c>
      <c r="I380" s="14">
        <f t="shared" si="88"/>
        <v>-1.5015015015015121E-2</v>
      </c>
      <c r="J380" s="15">
        <f t="shared" si="89"/>
        <v>4.6169989506820608E-2</v>
      </c>
      <c r="K380" s="15"/>
      <c r="L380" s="15"/>
      <c r="M380" s="16">
        <f t="shared" si="90"/>
        <v>7.2645505547292988E-2</v>
      </c>
      <c r="O380" s="13">
        <f t="shared" si="92"/>
        <v>1.5577487245902744E-2</v>
      </c>
      <c r="Q380" s="5">
        <f t="shared" si="93"/>
        <v>147.09835344517109</v>
      </c>
      <c r="R380" s="6">
        <f t="shared" si="94"/>
        <v>205.71122756436037</v>
      </c>
      <c r="T380" s="11">
        <f t="shared" si="86"/>
        <v>0.71507207062457878</v>
      </c>
      <c r="V380" s="9">
        <v>41341</v>
      </c>
      <c r="W380">
        <v>6650</v>
      </c>
      <c r="X380">
        <v>8130.7695999999996</v>
      </c>
      <c r="Y380" t="s">
        <v>33</v>
      </c>
      <c r="AC380" s="24">
        <f t="shared" si="95"/>
        <v>1.7725376038722557E-2</v>
      </c>
      <c r="AE380" s="5">
        <f t="shared" si="96"/>
        <v>125.22648969723897</v>
      </c>
      <c r="AF380" s="6">
        <f t="shared" si="97"/>
        <v>205.71122756436037</v>
      </c>
      <c r="AH380" s="1">
        <f t="shared" si="87"/>
        <v>41341</v>
      </c>
      <c r="AI380">
        <f t="shared" si="91"/>
        <v>0.60874893013829146</v>
      </c>
      <c r="AJ380">
        <f t="shared" ca="1" si="98"/>
        <v>0.62874523644751668</v>
      </c>
      <c r="AK380">
        <f t="shared" ca="1" si="99"/>
        <v>0.64535390277860194</v>
      </c>
      <c r="AL380">
        <f t="shared" ca="1" si="100"/>
        <v>0.68721418873925444</v>
      </c>
      <c r="AM380">
        <f t="shared" ca="1" si="101"/>
        <v>0.74504099660834544</v>
      </c>
      <c r="AN380">
        <f t="shared" ca="1" si="102"/>
        <v>0.82930518026885902</v>
      </c>
      <c r="AP380" s="40"/>
      <c r="AQ380" s="41"/>
    </row>
    <row r="381" spans="2:43" x14ac:dyDescent="0.25">
      <c r="B381" s="1">
        <v>41348</v>
      </c>
      <c r="C381">
        <v>1.714</v>
      </c>
      <c r="D381">
        <v>1.0249999999999999</v>
      </c>
      <c r="E381" t="s">
        <v>33</v>
      </c>
      <c r="G381">
        <v>3488.76</v>
      </c>
      <c r="I381" s="14">
        <f t="shared" si="88"/>
        <v>4.5121951219512235E-2</v>
      </c>
      <c r="J381" s="15">
        <f t="shared" si="89"/>
        <v>2.8084252758274753E-2</v>
      </c>
      <c r="K381" s="15"/>
      <c r="L381" s="15"/>
      <c r="M381" s="16">
        <f t="shared" si="90"/>
        <v>4.9285841035342726E-2</v>
      </c>
      <c r="O381" s="13">
        <f t="shared" si="92"/>
        <v>3.6603101988893494E-2</v>
      </c>
      <c r="Q381" s="5">
        <f t="shared" si="93"/>
        <v>152.48260947872299</v>
      </c>
      <c r="R381" s="6">
        <f t="shared" si="94"/>
        <v>215.84987842528264</v>
      </c>
      <c r="T381" s="11">
        <f t="shared" si="86"/>
        <v>0.70642898013725541</v>
      </c>
      <c r="V381" s="9">
        <v>41348</v>
      </c>
      <c r="W381">
        <v>6950</v>
      </c>
      <c r="X381">
        <v>8356.6242999999995</v>
      </c>
      <c r="Y381" t="s">
        <v>33</v>
      </c>
      <c r="AC381" s="24">
        <f t="shared" si="95"/>
        <v>3.5749665171389514E-2</v>
      </c>
      <c r="AE381" s="5">
        <f t="shared" si="96"/>
        <v>129.70329477450375</v>
      </c>
      <c r="AF381" s="6">
        <f t="shared" si="97"/>
        <v>215.84987842528264</v>
      </c>
      <c r="AH381" s="1">
        <f t="shared" si="87"/>
        <v>41348</v>
      </c>
      <c r="AI381">
        <f t="shared" si="91"/>
        <v>0.60089584354063508</v>
      </c>
      <c r="AJ381">
        <f t="shared" ca="1" si="98"/>
        <v>0.62761568690799441</v>
      </c>
      <c r="AK381">
        <f t="shared" ca="1" si="99"/>
        <v>0.64156663437930195</v>
      </c>
      <c r="AL381">
        <f t="shared" ca="1" si="100"/>
        <v>0.67836192144248719</v>
      </c>
      <c r="AM381">
        <f t="shared" ca="1" si="101"/>
        <v>0.73564557526465035</v>
      </c>
      <c r="AN381">
        <f t="shared" ca="1" si="102"/>
        <v>0.82930518026885902</v>
      </c>
      <c r="AP381" s="40"/>
      <c r="AQ381" s="41"/>
    </row>
    <row r="382" spans="2:43" x14ac:dyDescent="0.25">
      <c r="B382" s="1">
        <v>41355</v>
      </c>
      <c r="C382">
        <v>1.708</v>
      </c>
      <c r="D382">
        <v>1.0629999999999999</v>
      </c>
      <c r="E382" t="s">
        <v>33</v>
      </c>
      <c r="G382">
        <v>3430.17</v>
      </c>
      <c r="I382" s="14">
        <f t="shared" si="88"/>
        <v>-3.500583430571802E-3</v>
      </c>
      <c r="J382" s="15">
        <f t="shared" si="89"/>
        <v>3.707317073170735E-2</v>
      </c>
      <c r="K382" s="15"/>
      <c r="L382" s="15"/>
      <c r="M382" s="16">
        <f t="shared" si="90"/>
        <v>-1.6793932514704402E-2</v>
      </c>
      <c r="O382" s="13">
        <f t="shared" si="92"/>
        <v>1.6786293650567774E-2</v>
      </c>
      <c r="Q382" s="5">
        <f t="shared" si="93"/>
        <v>155.04222733803769</v>
      </c>
      <c r="R382" s="6">
        <f t="shared" si="94"/>
        <v>212.22491013370129</v>
      </c>
      <c r="T382" s="11">
        <f t="shared" si="86"/>
        <v>0.73055621623475486</v>
      </c>
      <c r="V382" s="9">
        <v>41355</v>
      </c>
      <c r="W382">
        <v>6925</v>
      </c>
      <c r="X382">
        <v>8672.8209000000006</v>
      </c>
      <c r="Y382" t="s">
        <v>33</v>
      </c>
      <c r="AC382" s="24">
        <f t="shared" si="95"/>
        <v>1.8650585457445402E-2</v>
      </c>
      <c r="AE382" s="5">
        <f t="shared" si="96"/>
        <v>132.12233715780786</v>
      </c>
      <c r="AF382" s="6">
        <f t="shared" si="97"/>
        <v>212.22491013370129</v>
      </c>
      <c r="AH382" s="1">
        <f t="shared" si="87"/>
        <v>41355</v>
      </c>
      <c r="AI382">
        <f t="shared" si="91"/>
        <v>0.62255810156579183</v>
      </c>
      <c r="AJ382">
        <f t="shared" ca="1" si="98"/>
        <v>0.62061435838040435</v>
      </c>
      <c r="AK382">
        <f t="shared" ca="1" si="99"/>
        <v>0.64095761569037868</v>
      </c>
      <c r="AL382">
        <f t="shared" ca="1" si="100"/>
        <v>0.67330343290620998</v>
      </c>
      <c r="AM382">
        <f t="shared" ca="1" si="101"/>
        <v>0.72874913299715061</v>
      </c>
      <c r="AN382">
        <f t="shared" ca="1" si="102"/>
        <v>0.82930518026885902</v>
      </c>
      <c r="AP382" s="40"/>
      <c r="AQ382" s="41"/>
    </row>
    <row r="383" spans="2:43" x14ac:dyDescent="0.25">
      <c r="B383" s="1">
        <v>41362</v>
      </c>
      <c r="C383">
        <v>1.69</v>
      </c>
      <c r="D383">
        <v>1.0629999999999999</v>
      </c>
      <c r="E383" t="s">
        <v>33</v>
      </c>
      <c r="G383">
        <v>3380.78</v>
      </c>
      <c r="I383" s="14">
        <f t="shared" si="88"/>
        <v>-1.0538641686182681E-2</v>
      </c>
      <c r="J383" s="15">
        <f t="shared" si="89"/>
        <v>0</v>
      </c>
      <c r="K383" s="15"/>
      <c r="L383" s="15"/>
      <c r="M383" s="16">
        <f t="shared" si="90"/>
        <v>-1.4398703271266355E-2</v>
      </c>
      <c r="O383" s="13">
        <f t="shared" si="92"/>
        <v>-5.2693208430913407E-3</v>
      </c>
      <c r="Q383" s="5">
        <f t="shared" si="93"/>
        <v>154.22526009796604</v>
      </c>
      <c r="R383" s="6">
        <f t="shared" si="94"/>
        <v>209.16914662591495</v>
      </c>
      <c r="T383" s="11">
        <f t="shared" si="86"/>
        <v>0.73732317880412657</v>
      </c>
      <c r="V383" s="9">
        <v>41362</v>
      </c>
      <c r="W383">
        <v>6850</v>
      </c>
      <c r="X383">
        <v>8672.8209000000006</v>
      </c>
      <c r="Y383" t="s">
        <v>33</v>
      </c>
      <c r="AC383" s="24">
        <f t="shared" si="95"/>
        <v>-4.6788647045444068E-3</v>
      </c>
      <c r="AE383" s="5">
        <f t="shared" si="96"/>
        <v>131.50415461779829</v>
      </c>
      <c r="AF383" s="6">
        <f t="shared" si="97"/>
        <v>209.16914662591495</v>
      </c>
      <c r="AH383" s="1">
        <f t="shared" si="87"/>
        <v>41362</v>
      </c>
      <c r="AI383">
        <f t="shared" si="91"/>
        <v>0.62869766760097123</v>
      </c>
      <c r="AJ383">
        <f t="shared" ca="1" si="98"/>
        <v>0.62011679334087955</v>
      </c>
      <c r="AK383">
        <f t="shared" ca="1" si="99"/>
        <v>0.63850244101050135</v>
      </c>
      <c r="AL383">
        <f t="shared" ca="1" si="100"/>
        <v>0.67137162894018987</v>
      </c>
      <c r="AM383">
        <f t="shared" ca="1" si="101"/>
        <v>0.72846371490580053</v>
      </c>
      <c r="AN383">
        <f t="shared" ca="1" si="102"/>
        <v>0.82930518026885902</v>
      </c>
      <c r="AP383" s="40"/>
      <c r="AQ383" s="41"/>
    </row>
    <row r="384" spans="2:43" x14ac:dyDescent="0.25">
      <c r="B384" s="1">
        <v>41369</v>
      </c>
      <c r="C384">
        <v>1.653</v>
      </c>
      <c r="D384">
        <v>1.08</v>
      </c>
      <c r="E384" t="s">
        <v>33</v>
      </c>
      <c r="G384">
        <v>3312.8</v>
      </c>
      <c r="I384" s="14">
        <f t="shared" si="88"/>
        <v>-2.1893491124260311E-2</v>
      </c>
      <c r="J384" s="15">
        <f t="shared" si="89"/>
        <v>1.599247412982141E-2</v>
      </c>
      <c r="K384" s="15"/>
      <c r="L384" s="15"/>
      <c r="M384" s="16">
        <f t="shared" si="90"/>
        <v>-2.0107785777246701E-2</v>
      </c>
      <c r="O384" s="13">
        <f t="shared" si="92"/>
        <v>-2.9505084972194506E-3</v>
      </c>
      <c r="Q384" s="5">
        <f t="shared" si="93"/>
        <v>153.77021715756112</v>
      </c>
      <c r="R384" s="6">
        <f t="shared" si="94"/>
        <v>204.96321823435156</v>
      </c>
      <c r="T384" s="11">
        <f t="shared" si="86"/>
        <v>0.75023322956289062</v>
      </c>
      <c r="V384" s="9">
        <v>41369</v>
      </c>
      <c r="W384">
        <v>6700</v>
      </c>
      <c r="X384">
        <v>8808.3338000000003</v>
      </c>
      <c r="Y384" t="s">
        <v>33</v>
      </c>
      <c r="AC384" s="24">
        <f t="shared" si="95"/>
        <v>-7.2606328437112028E-4</v>
      </c>
      <c r="AE384" s="5">
        <f t="shared" si="96"/>
        <v>131.40867427938804</v>
      </c>
      <c r="AF384" s="6">
        <f t="shared" si="97"/>
        <v>204.96321823435156</v>
      </c>
      <c r="AH384" s="1">
        <f t="shared" si="87"/>
        <v>41369</v>
      </c>
      <c r="AI384">
        <f t="shared" si="91"/>
        <v>0.64113295747111809</v>
      </c>
      <c r="AJ384">
        <f t="shared" ca="1" si="98"/>
        <v>0.62011679334087955</v>
      </c>
      <c r="AK384">
        <f t="shared" ca="1" si="99"/>
        <v>0.6356883995834911</v>
      </c>
      <c r="AL384">
        <f t="shared" ca="1" si="100"/>
        <v>0.66809433505146543</v>
      </c>
      <c r="AM384">
        <f t="shared" ca="1" si="101"/>
        <v>0.72680586044072215</v>
      </c>
      <c r="AN384">
        <f t="shared" ca="1" si="102"/>
        <v>0.82930518026885902</v>
      </c>
      <c r="AP384" s="40"/>
      <c r="AQ384" s="41"/>
    </row>
    <row r="385" spans="2:43" x14ac:dyDescent="0.25">
      <c r="B385" s="1">
        <v>41376</v>
      </c>
      <c r="C385">
        <v>1.708</v>
      </c>
      <c r="D385">
        <v>1.1240000000000001</v>
      </c>
      <c r="E385" t="s">
        <v>33</v>
      </c>
      <c r="G385">
        <v>3463.49</v>
      </c>
      <c r="I385" s="14">
        <f t="shared" si="88"/>
        <v>3.3272837265577726E-2</v>
      </c>
      <c r="J385" s="15">
        <f t="shared" si="89"/>
        <v>4.0740740740740744E-2</v>
      </c>
      <c r="K385" s="15"/>
      <c r="L385" s="15"/>
      <c r="M385" s="16">
        <f t="shared" si="90"/>
        <v>4.5487201159140289E-2</v>
      </c>
      <c r="O385" s="13">
        <f t="shared" si="92"/>
        <v>3.7006789003159235E-2</v>
      </c>
      <c r="Q385" s="5">
        <f t="shared" si="93"/>
        <v>159.46075913888095</v>
      </c>
      <c r="R385" s="6">
        <f t="shared" si="94"/>
        <v>214.28642137240229</v>
      </c>
      <c r="T385" s="11">
        <f t="shared" si="86"/>
        <v>0.74414775382224807</v>
      </c>
      <c r="V385" s="9">
        <v>41376</v>
      </c>
      <c r="W385">
        <v>6925</v>
      </c>
      <c r="X385">
        <v>9169.7013000000006</v>
      </c>
      <c r="Y385" t="s">
        <v>33</v>
      </c>
      <c r="AC385" s="24">
        <f t="shared" si="95"/>
        <v>3.7514413920022444E-2</v>
      </c>
      <c r="AE385" s="5">
        <f t="shared" si="96"/>
        <v>136.33839367898642</v>
      </c>
      <c r="AF385" s="6">
        <f t="shared" si="97"/>
        <v>214.28642137240229</v>
      </c>
      <c r="AH385" s="1">
        <f t="shared" si="87"/>
        <v>41376</v>
      </c>
      <c r="AI385">
        <f t="shared" si="91"/>
        <v>0.6362437377310427</v>
      </c>
      <c r="AJ385">
        <f t="shared" ca="1" si="98"/>
        <v>0.62011679334087955</v>
      </c>
      <c r="AK385">
        <f t="shared" ca="1" si="99"/>
        <v>0.6356883995834911</v>
      </c>
      <c r="AL385">
        <f t="shared" ca="1" si="100"/>
        <v>0.66318930173289348</v>
      </c>
      <c r="AM385">
        <f t="shared" ca="1" si="101"/>
        <v>0.72680586044072215</v>
      </c>
      <c r="AN385">
        <f t="shared" ca="1" si="102"/>
        <v>0.82930518026885902</v>
      </c>
      <c r="AP385" s="40"/>
      <c r="AQ385" s="41"/>
    </row>
    <row r="386" spans="2:43" x14ac:dyDescent="0.25">
      <c r="B386" s="1">
        <v>41383</v>
      </c>
      <c r="C386">
        <v>1.7509999999999999</v>
      </c>
      <c r="D386">
        <v>1.18</v>
      </c>
      <c r="E386" t="s">
        <v>33</v>
      </c>
      <c r="G386">
        <v>3444.49</v>
      </c>
      <c r="I386" s="14">
        <f t="shared" si="88"/>
        <v>2.5175644028103017E-2</v>
      </c>
      <c r="J386" s="15">
        <f t="shared" si="89"/>
        <v>4.9822064056939341E-2</v>
      </c>
      <c r="K386" s="15"/>
      <c r="L386" s="15"/>
      <c r="M386" s="16">
        <f t="shared" si="90"/>
        <v>-5.48579611894362E-3</v>
      </c>
      <c r="O386" s="13">
        <f t="shared" si="92"/>
        <v>3.7498854042521179E-2</v>
      </c>
      <c r="Q386" s="5">
        <f t="shared" si="93"/>
        <v>165.44035487133948</v>
      </c>
      <c r="R386" s="6">
        <f t="shared" si="94"/>
        <v>213.11088975369523</v>
      </c>
      <c r="T386" s="11">
        <f t="shared" si="86"/>
        <v>0.77631112639315902</v>
      </c>
      <c r="V386" s="9">
        <v>41383</v>
      </c>
      <c r="W386">
        <v>7100</v>
      </c>
      <c r="X386">
        <v>9621.4107000000004</v>
      </c>
      <c r="Y386" t="s">
        <v>33</v>
      </c>
      <c r="AC386" s="24">
        <f t="shared" si="95"/>
        <v>3.9217551707294705E-2</v>
      </c>
      <c r="AE386" s="5">
        <f t="shared" si="96"/>
        <v>141.6852516827816</v>
      </c>
      <c r="AF386" s="6">
        <f t="shared" si="97"/>
        <v>213.11088975369523</v>
      </c>
      <c r="AH386" s="1">
        <f t="shared" si="87"/>
        <v>41383</v>
      </c>
      <c r="AI386">
        <f t="shared" si="91"/>
        <v>0.66484285174978874</v>
      </c>
      <c r="AJ386">
        <f t="shared" ca="1" si="98"/>
        <v>0.62011679334087955</v>
      </c>
      <c r="AK386">
        <f t="shared" ca="1" si="99"/>
        <v>0.6356883995834911</v>
      </c>
      <c r="AL386">
        <f t="shared" ca="1" si="100"/>
        <v>0.65726051033370525</v>
      </c>
      <c r="AM386">
        <f t="shared" ca="1" si="101"/>
        <v>0.72680586044072215</v>
      </c>
      <c r="AN386">
        <f t="shared" ca="1" si="102"/>
        <v>0.82930518026885902</v>
      </c>
      <c r="AP386" s="40"/>
      <c r="AQ386" s="41"/>
    </row>
    <row r="387" spans="2:43" x14ac:dyDescent="0.25">
      <c r="B387" s="1">
        <v>41390</v>
      </c>
      <c r="C387">
        <v>2.0409999999999999</v>
      </c>
      <c r="D387">
        <v>1.35</v>
      </c>
      <c r="E387" t="s">
        <v>33</v>
      </c>
      <c r="G387">
        <v>3734.24</v>
      </c>
      <c r="I387" s="14">
        <f t="shared" si="88"/>
        <v>0.16561964591661904</v>
      </c>
      <c r="J387" s="15">
        <f t="shared" si="89"/>
        <v>0.14406779661016955</v>
      </c>
      <c r="K387" s="15"/>
      <c r="L387" s="15"/>
      <c r="M387" s="16">
        <f t="shared" si="90"/>
        <v>8.4119855189012105E-2</v>
      </c>
      <c r="O387" s="13">
        <f t="shared" si="92"/>
        <v>0.1548437212633943</v>
      </c>
      <c r="Q387" s="5">
        <f t="shared" si="93"/>
        <v>191.05775506675423</v>
      </c>
      <c r="R387" s="6">
        <f t="shared" si="94"/>
        <v>231.03774693897759</v>
      </c>
      <c r="T387" s="11">
        <f t="shared" si="86"/>
        <v>0.82695471886339422</v>
      </c>
      <c r="V387" s="9">
        <v>41390</v>
      </c>
      <c r="W387">
        <v>8275</v>
      </c>
      <c r="X387">
        <v>10615.1715</v>
      </c>
      <c r="Y387" t="s">
        <v>33</v>
      </c>
      <c r="AC387" s="24">
        <f t="shared" si="95"/>
        <v>0.15321882655740907</v>
      </c>
      <c r="AE387" s="5">
        <f t="shared" si="96"/>
        <v>163.39409968610855</v>
      </c>
      <c r="AF387" s="6">
        <f t="shared" si="97"/>
        <v>231.03774693897759</v>
      </c>
      <c r="AH387" s="1">
        <f t="shared" si="87"/>
        <v>41390</v>
      </c>
      <c r="AI387">
        <f t="shared" si="91"/>
        <v>0.70721820070927499</v>
      </c>
      <c r="AJ387">
        <f t="shared" ca="1" si="98"/>
        <v>0.62011679334087955</v>
      </c>
      <c r="AK387">
        <f t="shared" ca="1" si="99"/>
        <v>0.6356883995834911</v>
      </c>
      <c r="AL387">
        <f t="shared" ca="1" si="100"/>
        <v>0.65726051033370525</v>
      </c>
      <c r="AM387">
        <f t="shared" ca="1" si="101"/>
        <v>0.72680586044072215</v>
      </c>
      <c r="AN387">
        <f t="shared" ca="1" si="102"/>
        <v>0.82930518026885902</v>
      </c>
      <c r="AP387" s="40"/>
      <c r="AQ387" s="41"/>
    </row>
    <row r="388" spans="2:43" x14ac:dyDescent="0.25">
      <c r="B388" s="1">
        <v>41397</v>
      </c>
      <c r="C388">
        <v>2.1579999999999999</v>
      </c>
      <c r="D388">
        <v>1.482</v>
      </c>
      <c r="E388" t="s">
        <v>33</v>
      </c>
      <c r="G388">
        <v>3888.1</v>
      </c>
      <c r="I388" s="14">
        <f t="shared" si="88"/>
        <v>5.7324840764331197E-2</v>
      </c>
      <c r="J388" s="15">
        <f t="shared" si="89"/>
        <v>9.7777777777777741E-2</v>
      </c>
      <c r="K388" s="15"/>
      <c r="L388" s="15"/>
      <c r="M388" s="16">
        <f t="shared" si="90"/>
        <v>4.1202493680106311E-2</v>
      </c>
      <c r="O388" s="13">
        <f t="shared" si="92"/>
        <v>7.7551309271054469E-2</v>
      </c>
      <c r="Q388" s="5">
        <f t="shared" si="93"/>
        <v>205.87453411856944</v>
      </c>
      <c r="R388" s="6">
        <f t="shared" si="94"/>
        <v>240.55707824709683</v>
      </c>
      <c r="T388" s="11">
        <f t="shared" si="86"/>
        <v>0.85582405480955348</v>
      </c>
      <c r="V388" s="9">
        <v>41397</v>
      </c>
      <c r="W388">
        <v>8750</v>
      </c>
      <c r="X388">
        <v>11654.1031</v>
      </c>
      <c r="Y388" t="s">
        <v>33</v>
      </c>
      <c r="AC388" s="24">
        <f t="shared" si="95"/>
        <v>8.0057025280307295E-2</v>
      </c>
      <c r="AE388" s="5">
        <f t="shared" si="96"/>
        <v>176.47494525533239</v>
      </c>
      <c r="AF388" s="6">
        <f t="shared" si="97"/>
        <v>240.55707824709683</v>
      </c>
      <c r="AH388" s="1">
        <f t="shared" si="87"/>
        <v>41397</v>
      </c>
      <c r="AI388">
        <f t="shared" si="91"/>
        <v>0.73360944745953305</v>
      </c>
      <c r="AJ388">
        <f t="shared" ca="1" si="98"/>
        <v>0.62011679334087955</v>
      </c>
      <c r="AK388">
        <f t="shared" ca="1" si="99"/>
        <v>0.6356883995834911</v>
      </c>
      <c r="AL388">
        <f t="shared" ca="1" si="100"/>
        <v>0.65726051033370525</v>
      </c>
      <c r="AM388">
        <f t="shared" ca="1" si="101"/>
        <v>0.72680586044072215</v>
      </c>
      <c r="AN388">
        <f t="shared" ca="1" si="102"/>
        <v>0.82930518026885902</v>
      </c>
      <c r="AP388" s="40"/>
      <c r="AQ388" s="41"/>
    </row>
    <row r="389" spans="2:43" x14ac:dyDescent="0.25">
      <c r="B389" s="1">
        <v>41404</v>
      </c>
      <c r="C389">
        <v>2.0230000000000001</v>
      </c>
      <c r="D389">
        <v>1.448</v>
      </c>
      <c r="E389" t="s">
        <v>33</v>
      </c>
      <c r="G389">
        <v>3712.51</v>
      </c>
      <c r="I389" s="14">
        <f t="shared" si="88"/>
        <v>-6.2557924003707077E-2</v>
      </c>
      <c r="J389" s="15">
        <f t="shared" si="89"/>
        <v>-2.2941970310391357E-2</v>
      </c>
      <c r="K389" s="15"/>
      <c r="L389" s="15"/>
      <c r="M389" s="16">
        <f t="shared" si="90"/>
        <v>-4.5160875491885411E-2</v>
      </c>
      <c r="O389" s="13">
        <f t="shared" si="92"/>
        <v>-4.2749947157049217E-2</v>
      </c>
      <c r="Q389" s="5">
        <f t="shared" si="93"/>
        <v>197.07340866401847</v>
      </c>
      <c r="R389" s="6">
        <f t="shared" si="94"/>
        <v>229.69330998768794</v>
      </c>
      <c r="T389" s="11">
        <f t="shared" si="86"/>
        <v>0.85798497428846332</v>
      </c>
      <c r="V389" s="9">
        <v>41404</v>
      </c>
      <c r="W389">
        <v>8200</v>
      </c>
      <c r="X389">
        <v>11383.077499999999</v>
      </c>
      <c r="Y389" t="s">
        <v>33</v>
      </c>
      <c r="AC389" s="24">
        <f t="shared" si="95"/>
        <v>-3.9930690329969799E-2</v>
      </c>
      <c r="AE389" s="5">
        <f t="shared" si="96"/>
        <v>169.42817886534334</v>
      </c>
      <c r="AF389" s="6">
        <f t="shared" si="97"/>
        <v>229.69330998768794</v>
      </c>
      <c r="AH389" s="1">
        <f t="shared" si="87"/>
        <v>41404</v>
      </c>
      <c r="AI389">
        <f t="shared" si="91"/>
        <v>0.73762783458701975</v>
      </c>
      <c r="AJ389">
        <f t="shared" ca="1" si="98"/>
        <v>0.62011679334087955</v>
      </c>
      <c r="AK389">
        <f t="shared" ca="1" si="99"/>
        <v>0.6356883995834911</v>
      </c>
      <c r="AL389">
        <f t="shared" ca="1" si="100"/>
        <v>0.65726051033370525</v>
      </c>
      <c r="AM389">
        <f t="shared" ca="1" si="101"/>
        <v>0.73638414738374647</v>
      </c>
      <c r="AN389">
        <f t="shared" ca="1" si="102"/>
        <v>0.82930518026885902</v>
      </c>
      <c r="AP389" s="40"/>
      <c r="AQ389" s="41"/>
    </row>
    <row r="390" spans="2:43" x14ac:dyDescent="0.25">
      <c r="B390" s="1">
        <v>41411</v>
      </c>
      <c r="C390">
        <v>1.9670000000000001</v>
      </c>
      <c r="D390">
        <v>1.3959999999999999</v>
      </c>
      <c r="E390" t="s">
        <v>33</v>
      </c>
      <c r="G390">
        <v>3694.74</v>
      </c>
      <c r="I390" s="14">
        <f t="shared" si="88"/>
        <v>-2.7681660899653959E-2</v>
      </c>
      <c r="J390" s="15">
        <f t="shared" si="89"/>
        <v>-3.5911602209944826E-2</v>
      </c>
      <c r="K390" s="15"/>
      <c r="L390" s="15"/>
      <c r="M390" s="16">
        <f t="shared" si="90"/>
        <v>-4.7865190935514335E-3</v>
      </c>
      <c r="O390" s="13">
        <f t="shared" si="92"/>
        <v>-3.1796631554799393E-2</v>
      </c>
      <c r="Q390" s="5">
        <f t="shared" si="93"/>
        <v>190.80713809948026</v>
      </c>
      <c r="R390" s="6">
        <f t="shared" si="94"/>
        <v>228.59387857377084</v>
      </c>
      <c r="T390" s="11">
        <f t="shared" ref="T390:T453" si="103">+Q390/R390</f>
        <v>0.8346992460600986</v>
      </c>
      <c r="V390" s="9">
        <v>41411</v>
      </c>
      <c r="W390">
        <v>7975</v>
      </c>
      <c r="X390">
        <v>10976.539000000001</v>
      </c>
      <c r="Y390" t="s">
        <v>33</v>
      </c>
      <c r="AC390" s="24">
        <f t="shared" si="95"/>
        <v>-3.2465488148230824E-2</v>
      </c>
      <c r="AE390" s="5">
        <f t="shared" si="96"/>
        <v>163.92761033241422</v>
      </c>
      <c r="AF390" s="6">
        <f t="shared" si="97"/>
        <v>228.59387857377084</v>
      </c>
      <c r="AH390" s="1">
        <f t="shared" ref="AH390:AH453" si="104">+B390</f>
        <v>41411</v>
      </c>
      <c r="AI390">
        <f t="shared" si="91"/>
        <v>0.7171128612681209</v>
      </c>
      <c r="AJ390">
        <f t="shared" ca="1" si="98"/>
        <v>0.62011679334087955</v>
      </c>
      <c r="AK390">
        <f t="shared" ca="1" si="99"/>
        <v>0.6356883995834911</v>
      </c>
      <c r="AL390">
        <f t="shared" ca="1" si="100"/>
        <v>0.65726051033370525</v>
      </c>
      <c r="AM390">
        <f t="shared" ca="1" si="101"/>
        <v>0.73939793772936147</v>
      </c>
      <c r="AN390">
        <f t="shared" ca="1" si="102"/>
        <v>0.82930518026885902</v>
      </c>
      <c r="AP390" s="40"/>
      <c r="AQ390" s="41"/>
    </row>
    <row r="391" spans="2:43" x14ac:dyDescent="0.25">
      <c r="B391" s="1">
        <v>41418</v>
      </c>
      <c r="C391">
        <v>1.9239999999999999</v>
      </c>
      <c r="D391">
        <v>1.2929999999999999</v>
      </c>
      <c r="E391" t="s">
        <v>33</v>
      </c>
      <c r="G391">
        <v>3509.72</v>
      </c>
      <c r="I391" s="14">
        <f t="shared" ref="I391:I454" si="105">+C391/C390-1</f>
        <v>-2.1860701576004171E-2</v>
      </c>
      <c r="J391" s="15">
        <f t="shared" ref="J391:J454" si="106">+D391/D390-1</f>
        <v>-7.3782234957020076E-2</v>
      </c>
      <c r="K391" s="15"/>
      <c r="L391" s="15"/>
      <c r="M391" s="16">
        <f t="shared" ref="M391:M454" si="107">+G391/G390-1</f>
        <v>-5.0076595376129296E-2</v>
      </c>
      <c r="O391" s="13">
        <f t="shared" si="92"/>
        <v>-4.7821468266512124E-2</v>
      </c>
      <c r="Q391" s="5">
        <f t="shared" si="93"/>
        <v>181.68246059983196</v>
      </c>
      <c r="R391" s="6">
        <f t="shared" si="94"/>
        <v>217.14667541097208</v>
      </c>
      <c r="T391" s="11">
        <f t="shared" si="103"/>
        <v>0.83668082993202408</v>
      </c>
      <c r="V391" s="9">
        <v>41418</v>
      </c>
      <c r="W391">
        <v>7800</v>
      </c>
      <c r="X391">
        <v>10163.462</v>
      </c>
      <c r="Y391" t="s">
        <v>33</v>
      </c>
      <c r="AC391" s="24">
        <f t="shared" si="95"/>
        <v>-5.1933126622673097E-2</v>
      </c>
      <c r="AE391" s="5">
        <f t="shared" si="96"/>
        <v>155.41433698806873</v>
      </c>
      <c r="AF391" s="6">
        <f t="shared" si="97"/>
        <v>217.14667541097208</v>
      </c>
      <c r="AH391" s="1">
        <f t="shared" si="104"/>
        <v>41418</v>
      </c>
      <c r="AI391">
        <f t="shared" ref="AI391:AI454" si="108">+(AE391/$AE$6)/(AF391/$AF$6)</f>
        <v>0.71571133517900443</v>
      </c>
      <c r="AJ391">
        <f t="shared" ca="1" si="98"/>
        <v>0.62011679334087955</v>
      </c>
      <c r="AK391">
        <f t="shared" ca="1" si="99"/>
        <v>0.6356883995834911</v>
      </c>
      <c r="AL391">
        <f t="shared" ca="1" si="100"/>
        <v>0.65726051033370525</v>
      </c>
      <c r="AM391">
        <f t="shared" ca="1" si="101"/>
        <v>0.73461404424140475</v>
      </c>
      <c r="AN391">
        <f t="shared" ca="1" si="102"/>
        <v>0.82930518026885902</v>
      </c>
      <c r="AP391" s="40"/>
      <c r="AQ391" s="41"/>
    </row>
    <row r="392" spans="2:43" x14ac:dyDescent="0.25">
      <c r="B392" s="1">
        <v>41425</v>
      </c>
      <c r="C392">
        <v>1.992</v>
      </c>
      <c r="D392">
        <v>1.35</v>
      </c>
      <c r="E392" t="s">
        <v>33</v>
      </c>
      <c r="G392">
        <v>3489.43</v>
      </c>
      <c r="I392" s="14">
        <f t="shared" si="105"/>
        <v>3.5343035343035289E-2</v>
      </c>
      <c r="J392" s="15">
        <f t="shared" si="106"/>
        <v>4.4083526682134666E-2</v>
      </c>
      <c r="K392" s="15"/>
      <c r="L392" s="15"/>
      <c r="M392" s="16">
        <f t="shared" si="107"/>
        <v>-5.7810879500358459E-3</v>
      </c>
      <c r="O392" s="13">
        <f t="shared" ref="O392:O455" si="109">+AVERAGE(I392:J392)</f>
        <v>3.9713281012584978E-2</v>
      </c>
      <c r="Q392" s="5">
        <f t="shared" ref="Q392:Q455" si="110">+Q391*(1+O392)</f>
        <v>188.897667212691</v>
      </c>
      <c r="R392" s="6">
        <f t="shared" ref="R392:R455" si="111">+R391*(1+M392)</f>
        <v>215.89133138236338</v>
      </c>
      <c r="T392" s="11">
        <f t="shared" si="103"/>
        <v>0.87496642872675556</v>
      </c>
      <c r="V392" s="9">
        <v>41425</v>
      </c>
      <c r="W392">
        <v>8075</v>
      </c>
      <c r="X392">
        <v>10615.1715</v>
      </c>
      <c r="Y392" t="s">
        <v>33</v>
      </c>
      <c r="AC392" s="24">
        <f t="shared" ref="AC392:AC455" si="112">+SUMPRODUCT(I392:L392,W391:Z391)/SUM(W391:AA391)</f>
        <v>4.0288276499014335E-2</v>
      </c>
      <c r="AE392" s="5">
        <f t="shared" ref="AE392:AE455" si="113">+AE391*(1+AC392)</f>
        <v>161.675712768555</v>
      </c>
      <c r="AF392" s="6">
        <f t="shared" ref="AF392:AF455" si="114">+AF391*(1+M392)</f>
        <v>215.89133138236338</v>
      </c>
      <c r="AH392" s="1">
        <f t="shared" si="104"/>
        <v>41425</v>
      </c>
      <c r="AI392">
        <f t="shared" si="108"/>
        <v>0.74887542604576585</v>
      </c>
      <c r="AJ392">
        <f t="shared" ca="1" si="98"/>
        <v>0.62011679334087955</v>
      </c>
      <c r="AK392">
        <f t="shared" ca="1" si="99"/>
        <v>0.6356883995834911</v>
      </c>
      <c r="AL392">
        <f t="shared" ca="1" si="100"/>
        <v>0.65726051033370525</v>
      </c>
      <c r="AM392">
        <f t="shared" ca="1" si="101"/>
        <v>0.72403116051650884</v>
      </c>
      <c r="AN392">
        <f t="shared" ca="1" si="102"/>
        <v>0.81932477153208627</v>
      </c>
      <c r="AP392" s="40"/>
      <c r="AQ392" s="41"/>
    </row>
    <row r="393" spans="2:43" x14ac:dyDescent="0.25">
      <c r="B393" s="1">
        <v>41432</v>
      </c>
      <c r="C393">
        <v>1.887</v>
      </c>
      <c r="D393">
        <v>1.2869999999999999</v>
      </c>
      <c r="E393" t="s">
        <v>33</v>
      </c>
      <c r="G393">
        <v>3449.68</v>
      </c>
      <c r="I393" s="14">
        <f t="shared" si="105"/>
        <v>-5.2710843373493965E-2</v>
      </c>
      <c r="J393" s="15">
        <f t="shared" si="106"/>
        <v>-4.6666666666666745E-2</v>
      </c>
      <c r="K393" s="15"/>
      <c r="L393" s="15"/>
      <c r="M393" s="16">
        <f t="shared" si="107"/>
        <v>-1.1391545324021424E-2</v>
      </c>
      <c r="O393" s="13">
        <f t="shared" si="109"/>
        <v>-4.9688755020080355E-2</v>
      </c>
      <c r="Q393" s="5">
        <f t="shared" si="110"/>
        <v>179.51157730269492</v>
      </c>
      <c r="R393" s="6">
        <f t="shared" si="111"/>
        <v>213.43199549585785</v>
      </c>
      <c r="T393" s="11">
        <f t="shared" si="103"/>
        <v>0.84107154077645663</v>
      </c>
      <c r="V393" s="9">
        <v>41432</v>
      </c>
      <c r="W393">
        <v>7650</v>
      </c>
      <c r="X393">
        <v>10118.2911</v>
      </c>
      <c r="Y393" t="s">
        <v>33</v>
      </c>
      <c r="AC393" s="24">
        <f t="shared" si="112"/>
        <v>-4.9278024561784498E-2</v>
      </c>
      <c r="AE393" s="5">
        <f t="shared" si="113"/>
        <v>153.70865302370211</v>
      </c>
      <c r="AF393" s="6">
        <f t="shared" si="114"/>
        <v>213.43199549585785</v>
      </c>
      <c r="AH393" s="1">
        <f t="shared" si="104"/>
        <v>41432</v>
      </c>
      <c r="AI393">
        <f t="shared" si="108"/>
        <v>0.72017624474061193</v>
      </c>
      <c r="AJ393">
        <f t="shared" ca="1" si="98"/>
        <v>0.62011679334087955</v>
      </c>
      <c r="AK393">
        <f t="shared" ca="1" si="99"/>
        <v>0.6356883995834911</v>
      </c>
      <c r="AL393">
        <f t="shared" ca="1" si="100"/>
        <v>0.65726051033370525</v>
      </c>
      <c r="AM393">
        <f t="shared" ca="1" si="101"/>
        <v>0.72403116051650884</v>
      </c>
      <c r="AN393">
        <f t="shared" ca="1" si="102"/>
        <v>0.79737104354923416</v>
      </c>
      <c r="AP393" s="40"/>
      <c r="AQ393" s="41"/>
    </row>
    <row r="394" spans="2:43" x14ac:dyDescent="0.25">
      <c r="B394" s="1">
        <v>41439</v>
      </c>
      <c r="C394">
        <v>1.788</v>
      </c>
      <c r="D394">
        <v>1.149</v>
      </c>
      <c r="E394" t="s">
        <v>33</v>
      </c>
      <c r="G394">
        <v>3199.92</v>
      </c>
      <c r="I394" s="14">
        <f t="shared" si="105"/>
        <v>-5.246422893481717E-2</v>
      </c>
      <c r="J394" s="15">
        <f t="shared" si="106"/>
        <v>-0.10722610722610715</v>
      </c>
      <c r="K394" s="15"/>
      <c r="L394" s="15"/>
      <c r="M394" s="16">
        <f t="shared" si="107"/>
        <v>-7.2400918346049448E-2</v>
      </c>
      <c r="O394" s="13">
        <f t="shared" si="109"/>
        <v>-7.9845168080462159E-2</v>
      </c>
      <c r="Q394" s="5">
        <f t="shared" si="110"/>
        <v>165.17844524057236</v>
      </c>
      <c r="R394" s="6">
        <f t="shared" si="111"/>
        <v>197.97932301752786</v>
      </c>
      <c r="T394" s="11">
        <f t="shared" si="103"/>
        <v>0.8343216994733762</v>
      </c>
      <c r="V394" s="9">
        <v>41439</v>
      </c>
      <c r="W394">
        <v>7250</v>
      </c>
      <c r="X394">
        <v>9034.1885000000002</v>
      </c>
      <c r="Y394" t="s">
        <v>33</v>
      </c>
      <c r="AC394" s="24">
        <f t="shared" si="112"/>
        <v>-8.3648805021261541E-2</v>
      </c>
      <c r="AE394" s="5">
        <f t="shared" si="113"/>
        <v>140.8511078768417</v>
      </c>
      <c r="AF394" s="6">
        <f t="shared" si="114"/>
        <v>197.97932301752786</v>
      </c>
      <c r="AH394" s="1">
        <f t="shared" si="104"/>
        <v>41439</v>
      </c>
      <c r="AI394">
        <f t="shared" si="108"/>
        <v>0.71144352718274328</v>
      </c>
      <c r="AJ394">
        <f t="shared" ca="1" si="98"/>
        <v>0.62011679334087955</v>
      </c>
      <c r="AK394">
        <f t="shared" ca="1" si="99"/>
        <v>0.6356883995834911</v>
      </c>
      <c r="AL394">
        <f t="shared" ca="1" si="100"/>
        <v>0.65726051033370525</v>
      </c>
      <c r="AM394">
        <f t="shared" ca="1" si="101"/>
        <v>0.72034178310600083</v>
      </c>
      <c r="AN394">
        <f t="shared" ca="1" si="102"/>
        <v>0.79154520053450717</v>
      </c>
      <c r="AP394" s="40"/>
      <c r="AQ394" s="41"/>
    </row>
    <row r="395" spans="2:43" x14ac:dyDescent="0.25">
      <c r="B395" s="1">
        <v>41446</v>
      </c>
      <c r="C395">
        <v>1.665</v>
      </c>
      <c r="D395">
        <v>1.103</v>
      </c>
      <c r="E395" t="s">
        <v>33</v>
      </c>
      <c r="G395">
        <v>3070.86</v>
      </c>
      <c r="I395" s="14">
        <f t="shared" si="105"/>
        <v>-6.8791946308724872E-2</v>
      </c>
      <c r="J395" s="15">
        <f t="shared" si="106"/>
        <v>-4.0034812880765935E-2</v>
      </c>
      <c r="K395" s="15"/>
      <c r="L395" s="15"/>
      <c r="M395" s="16">
        <f t="shared" si="107"/>
        <v>-4.0332258306457591E-2</v>
      </c>
      <c r="O395" s="13">
        <f t="shared" si="109"/>
        <v>-5.4413379594745404E-2</v>
      </c>
      <c r="Q395" s="5">
        <f t="shared" si="110"/>
        <v>156.19052779882722</v>
      </c>
      <c r="R395" s="6">
        <f t="shared" si="111"/>
        <v>189.99436982224734</v>
      </c>
      <c r="T395" s="11">
        <f t="shared" si="103"/>
        <v>0.82207976975819907</v>
      </c>
      <c r="V395" s="9">
        <v>41446</v>
      </c>
      <c r="W395">
        <v>6750</v>
      </c>
      <c r="X395">
        <v>8672.8209000000006</v>
      </c>
      <c r="Y395" t="s">
        <v>33</v>
      </c>
      <c r="AC395" s="24">
        <f t="shared" si="112"/>
        <v>-5.2837981878269387E-2</v>
      </c>
      <c r="AE395" s="5">
        <f t="shared" si="113"/>
        <v>133.40881959131096</v>
      </c>
      <c r="AF395" s="6">
        <f t="shared" si="114"/>
        <v>189.99436982224734</v>
      </c>
      <c r="AH395" s="1">
        <f t="shared" si="104"/>
        <v>41446</v>
      </c>
      <c r="AI395">
        <f t="shared" si="108"/>
        <v>0.7021724891959904</v>
      </c>
      <c r="AJ395">
        <f t="shared" ca="1" si="98"/>
        <v>0.62011679334087955</v>
      </c>
      <c r="AK395">
        <f t="shared" ca="1" si="99"/>
        <v>0.6356883995834911</v>
      </c>
      <c r="AL395">
        <f t="shared" ca="1" si="100"/>
        <v>0.65726051033370525</v>
      </c>
      <c r="AM395">
        <f t="shared" ca="1" si="101"/>
        <v>0.71787870713624369</v>
      </c>
      <c r="AN395">
        <f t="shared" ca="1" si="102"/>
        <v>0.78901681250188704</v>
      </c>
      <c r="AP395" s="40"/>
      <c r="AQ395" s="41"/>
    </row>
    <row r="396" spans="2:43" x14ac:dyDescent="0.25">
      <c r="B396" s="1">
        <v>41453</v>
      </c>
      <c r="C396">
        <v>1.653</v>
      </c>
      <c r="D396">
        <v>1.103</v>
      </c>
      <c r="E396" t="s">
        <v>33</v>
      </c>
      <c r="G396">
        <v>2976.27</v>
      </c>
      <c r="I396" s="14">
        <f t="shared" si="105"/>
        <v>-7.2072072072072446E-3</v>
      </c>
      <c r="J396" s="15">
        <f t="shared" si="106"/>
        <v>0</v>
      </c>
      <c r="K396" s="15"/>
      <c r="L396" s="15"/>
      <c r="M396" s="16">
        <f t="shared" si="107"/>
        <v>-3.0802446220277058E-2</v>
      </c>
      <c r="O396" s="13">
        <f t="shared" si="109"/>
        <v>-3.6036036036036223E-3</v>
      </c>
      <c r="Q396" s="5">
        <f t="shared" si="110"/>
        <v>155.62767905000263</v>
      </c>
      <c r="R396" s="6">
        <f t="shared" si="111"/>
        <v>184.14207846364212</v>
      </c>
      <c r="T396" s="11">
        <f t="shared" si="103"/>
        <v>0.84515000780079974</v>
      </c>
      <c r="V396" s="9">
        <v>41453</v>
      </c>
      <c r="W396">
        <v>6700</v>
      </c>
      <c r="X396">
        <v>8672.8209000000006</v>
      </c>
      <c r="Y396" t="s">
        <v>33</v>
      </c>
      <c r="AC396" s="24">
        <f t="shared" si="112"/>
        <v>-3.1543288328433417E-3</v>
      </c>
      <c r="AE396" s="5">
        <f t="shared" si="113"/>
        <v>132.98800430511849</v>
      </c>
      <c r="AF396" s="6">
        <f t="shared" si="114"/>
        <v>184.14207846364212</v>
      </c>
      <c r="AH396" s="1">
        <f t="shared" si="104"/>
        <v>41453</v>
      </c>
      <c r="AI396">
        <f t="shared" si="108"/>
        <v>0.72220323249678253</v>
      </c>
      <c r="AJ396">
        <f t="shared" ca="1" si="98"/>
        <v>0.62011679334087955</v>
      </c>
      <c r="AK396">
        <f t="shared" ca="1" si="99"/>
        <v>0.6356883995834911</v>
      </c>
      <c r="AL396">
        <f t="shared" ca="1" si="100"/>
        <v>0.65726051033370525</v>
      </c>
      <c r="AM396">
        <f t="shared" ca="1" si="101"/>
        <v>0.71606171670128349</v>
      </c>
      <c r="AN396">
        <f t="shared" ca="1" si="102"/>
        <v>0.77157219929116627</v>
      </c>
      <c r="AP396" s="40"/>
      <c r="AQ396" s="41"/>
    </row>
    <row r="397" spans="2:43" x14ac:dyDescent="0.25">
      <c r="B397" s="1">
        <v>41460</v>
      </c>
      <c r="C397">
        <v>1.696</v>
      </c>
      <c r="D397">
        <v>1.1779999999999999</v>
      </c>
      <c r="E397" t="s">
        <v>33</v>
      </c>
      <c r="G397">
        <v>3063.69</v>
      </c>
      <c r="I397" s="14">
        <f t="shared" si="105"/>
        <v>2.6013309134906182E-2</v>
      </c>
      <c r="J397" s="15">
        <f t="shared" si="106"/>
        <v>6.7996373526745257E-2</v>
      </c>
      <c r="K397" s="15"/>
      <c r="L397" s="15"/>
      <c r="M397" s="16">
        <f t="shared" si="107"/>
        <v>2.93723351712043E-2</v>
      </c>
      <c r="O397" s="13">
        <f t="shared" si="109"/>
        <v>4.700484133082572E-2</v>
      </c>
      <c r="Q397" s="5">
        <f t="shared" si="110"/>
        <v>162.94293341043266</v>
      </c>
      <c r="R397" s="6">
        <f t="shared" si="111"/>
        <v>189.55076131139842</v>
      </c>
      <c r="T397" s="11">
        <f t="shared" si="103"/>
        <v>0.8596269003781325</v>
      </c>
      <c r="V397" s="9">
        <v>41460</v>
      </c>
      <c r="W397">
        <v>6875</v>
      </c>
      <c r="X397">
        <v>9260.0432000000001</v>
      </c>
      <c r="Y397" t="s">
        <v>33</v>
      </c>
      <c r="AC397" s="24">
        <f t="shared" si="112"/>
        <v>4.9698721244507207E-2</v>
      </c>
      <c r="AE397" s="5">
        <f t="shared" si="113"/>
        <v>139.5973380599419</v>
      </c>
      <c r="AF397" s="6">
        <f t="shared" si="114"/>
        <v>189.55076131139842</v>
      </c>
      <c r="AH397" s="1">
        <f t="shared" si="104"/>
        <v>41460</v>
      </c>
      <c r="AI397">
        <f t="shared" si="108"/>
        <v>0.73646413812397271</v>
      </c>
      <c r="AJ397">
        <f t="shared" ca="1" si="98"/>
        <v>0.62011679334087955</v>
      </c>
      <c r="AK397">
        <f t="shared" ca="1" si="99"/>
        <v>0.6356883995834911</v>
      </c>
      <c r="AL397">
        <f t="shared" ca="1" si="100"/>
        <v>0.65726051033370525</v>
      </c>
      <c r="AM397">
        <f t="shared" ca="1" si="101"/>
        <v>0.71606171670128349</v>
      </c>
      <c r="AN397">
        <f t="shared" ca="1" si="102"/>
        <v>0.74859180793761149</v>
      </c>
      <c r="AP397" s="40"/>
      <c r="AQ397" s="41"/>
    </row>
    <row r="398" spans="2:43" x14ac:dyDescent="0.25">
      <c r="B398" s="1">
        <v>41467</v>
      </c>
      <c r="C398">
        <v>1.788</v>
      </c>
      <c r="D398">
        <v>1.258</v>
      </c>
      <c r="E398" t="s">
        <v>33</v>
      </c>
      <c r="G398">
        <v>3226.38</v>
      </c>
      <c r="I398" s="14">
        <f t="shared" si="105"/>
        <v>5.4245283018867996E-2</v>
      </c>
      <c r="J398" s="15">
        <f t="shared" si="106"/>
        <v>6.7911714770797937E-2</v>
      </c>
      <c r="K398" s="15"/>
      <c r="L398" s="15"/>
      <c r="M398" s="16">
        <f t="shared" si="107"/>
        <v>5.3102631140879097E-2</v>
      </c>
      <c r="O398" s="13">
        <f t="shared" si="109"/>
        <v>6.1078498894832967E-2</v>
      </c>
      <c r="Q398" s="5">
        <f t="shared" si="110"/>
        <v>172.89524318866262</v>
      </c>
      <c r="R398" s="6">
        <f t="shared" si="111"/>
        <v>199.61640547179042</v>
      </c>
      <c r="T398" s="11">
        <f t="shared" si="103"/>
        <v>0.86613744386403146</v>
      </c>
      <c r="V398" s="9">
        <v>41467</v>
      </c>
      <c r="W398">
        <v>7250</v>
      </c>
      <c r="X398">
        <v>9892.4364000000005</v>
      </c>
      <c r="Y398" t="s">
        <v>33</v>
      </c>
      <c r="AC398" s="24">
        <f t="shared" si="112"/>
        <v>6.2088568397411198E-2</v>
      </c>
      <c r="AE398" s="5">
        <f t="shared" si="113"/>
        <v>148.26473693217315</v>
      </c>
      <c r="AF398" s="6">
        <f t="shared" si="114"/>
        <v>199.61640547179042</v>
      </c>
      <c r="AH398" s="1">
        <f t="shared" si="104"/>
        <v>41467</v>
      </c>
      <c r="AI398">
        <f t="shared" si="108"/>
        <v>0.7427482554940894</v>
      </c>
      <c r="AJ398">
        <f t="shared" ca="1" si="98"/>
        <v>0.62011679334087955</v>
      </c>
      <c r="AK398">
        <f t="shared" ca="1" si="99"/>
        <v>0.6356883995834911</v>
      </c>
      <c r="AL398">
        <f t="shared" ca="1" si="100"/>
        <v>0.65726051033370525</v>
      </c>
      <c r="AM398">
        <f t="shared" ca="1" si="101"/>
        <v>0.71606171670128349</v>
      </c>
      <c r="AN398">
        <f t="shared" ca="1" si="102"/>
        <v>0.74519810392650199</v>
      </c>
      <c r="AP398" s="40"/>
      <c r="AQ398" s="41"/>
    </row>
    <row r="399" spans="2:43" x14ac:dyDescent="0.25">
      <c r="B399" s="1">
        <v>41474</v>
      </c>
      <c r="C399">
        <v>1.85</v>
      </c>
      <c r="D399">
        <v>1.264</v>
      </c>
      <c r="E399" t="s">
        <v>33</v>
      </c>
      <c r="G399">
        <v>3410.14</v>
      </c>
      <c r="I399" s="14">
        <f t="shared" si="105"/>
        <v>3.4675615212528044E-2</v>
      </c>
      <c r="J399" s="15">
        <f t="shared" si="106"/>
        <v>4.7694753577105509E-3</v>
      </c>
      <c r="K399" s="15"/>
      <c r="L399" s="15"/>
      <c r="M399" s="16">
        <f t="shared" si="107"/>
        <v>5.6955473316844252E-2</v>
      </c>
      <c r="O399" s="13">
        <f t="shared" si="109"/>
        <v>1.9722545285119297E-2</v>
      </c>
      <c r="Q399" s="5">
        <f t="shared" si="110"/>
        <v>176.30517745203272</v>
      </c>
      <c r="R399" s="6">
        <f t="shared" si="111"/>
        <v>210.98565232724334</v>
      </c>
      <c r="T399" s="11">
        <f t="shared" si="103"/>
        <v>0.83562638268207712</v>
      </c>
      <c r="V399" s="9">
        <v>41474</v>
      </c>
      <c r="W399">
        <v>7500</v>
      </c>
      <c r="X399">
        <v>9937.6072999999997</v>
      </c>
      <c r="Y399" t="s">
        <v>33</v>
      </c>
      <c r="AC399" s="24">
        <f t="shared" si="112"/>
        <v>1.7417590764889596E-2</v>
      </c>
      <c r="AE399" s="5">
        <f t="shared" si="113"/>
        <v>150.84715144492176</v>
      </c>
      <c r="AF399" s="6">
        <f t="shared" si="114"/>
        <v>210.98565232724334</v>
      </c>
      <c r="AH399" s="1">
        <f t="shared" si="104"/>
        <v>41474</v>
      </c>
      <c r="AI399">
        <f t="shared" si="108"/>
        <v>0.71496402613650012</v>
      </c>
      <c r="AJ399">
        <f t="shared" ca="1" si="98"/>
        <v>0.62011679334087955</v>
      </c>
      <c r="AK399">
        <f t="shared" ca="1" si="99"/>
        <v>0.6356883995834911</v>
      </c>
      <c r="AL399">
        <f t="shared" ca="1" si="100"/>
        <v>0.65726051033370525</v>
      </c>
      <c r="AM399">
        <f t="shared" ca="1" si="101"/>
        <v>0.71606171670128349</v>
      </c>
      <c r="AN399">
        <f t="shared" ca="1" si="102"/>
        <v>0.74223621340338242</v>
      </c>
      <c r="AP399" s="40"/>
      <c r="AQ399" s="41"/>
    </row>
    <row r="400" spans="2:43" x14ac:dyDescent="0.25">
      <c r="B400" s="1">
        <v>41481</v>
      </c>
      <c r="C400">
        <v>1.788</v>
      </c>
      <c r="D400">
        <v>1.258</v>
      </c>
      <c r="E400" t="s">
        <v>33</v>
      </c>
      <c r="G400">
        <v>3423.19</v>
      </c>
      <c r="I400" s="14">
        <f t="shared" si="105"/>
        <v>-3.3513513513513504E-2</v>
      </c>
      <c r="J400" s="15">
        <f t="shared" si="106"/>
        <v>-4.746835443038E-3</v>
      </c>
      <c r="K400" s="15"/>
      <c r="L400" s="15"/>
      <c r="M400" s="16">
        <f t="shared" si="107"/>
        <v>3.8268223591992889E-3</v>
      </c>
      <c r="O400" s="13">
        <f t="shared" si="109"/>
        <v>-1.9130174478275752E-2</v>
      </c>
      <c r="Q400" s="5">
        <f t="shared" si="110"/>
        <v>172.93242864595197</v>
      </c>
      <c r="R400" s="6">
        <f t="shared" si="111"/>
        <v>211.79305693903947</v>
      </c>
      <c r="T400" s="11">
        <f t="shared" si="103"/>
        <v>0.81651604233526509</v>
      </c>
      <c r="V400" s="9">
        <v>41481</v>
      </c>
      <c r="W400">
        <v>7250</v>
      </c>
      <c r="X400">
        <v>9892.4364000000005</v>
      </c>
      <c r="Y400" t="s">
        <v>33</v>
      </c>
      <c r="AC400" s="24">
        <f t="shared" si="112"/>
        <v>-1.7119524070368555E-2</v>
      </c>
      <c r="AE400" s="5">
        <f t="shared" si="113"/>
        <v>148.26472000481391</v>
      </c>
      <c r="AF400" s="6">
        <f t="shared" si="114"/>
        <v>211.79305693903947</v>
      </c>
      <c r="AH400" s="1">
        <f t="shared" si="104"/>
        <v>41481</v>
      </c>
      <c r="AI400">
        <f t="shared" si="108"/>
        <v>0.70004523352948733</v>
      </c>
      <c r="AJ400">
        <f t="shared" ca="1" si="98"/>
        <v>0.62011679334087955</v>
      </c>
      <c r="AK400">
        <f t="shared" ca="1" si="99"/>
        <v>0.6356883995834911</v>
      </c>
      <c r="AL400">
        <f t="shared" ca="1" si="100"/>
        <v>0.65726051033370525</v>
      </c>
      <c r="AM400">
        <f t="shared" ca="1" si="101"/>
        <v>0.71515085339712625</v>
      </c>
      <c r="AN400">
        <f t="shared" ca="1" si="102"/>
        <v>0.73751146494071507</v>
      </c>
      <c r="AP400" s="40"/>
      <c r="AQ400" s="41"/>
    </row>
    <row r="401" spans="2:43" x14ac:dyDescent="0.25">
      <c r="B401" s="1">
        <v>41488</v>
      </c>
      <c r="C401">
        <v>1.782</v>
      </c>
      <c r="D401">
        <v>1.264</v>
      </c>
      <c r="E401" t="s">
        <v>33</v>
      </c>
      <c r="G401">
        <v>3458.79</v>
      </c>
      <c r="I401" s="14">
        <f t="shared" si="105"/>
        <v>-3.3557046979866278E-3</v>
      </c>
      <c r="J401" s="15">
        <f t="shared" si="106"/>
        <v>4.7694753577105509E-3</v>
      </c>
      <c r="K401" s="15"/>
      <c r="L401" s="15"/>
      <c r="M401" s="16">
        <f t="shared" si="107"/>
        <v>1.0399656460786444E-2</v>
      </c>
      <c r="O401" s="13">
        <f t="shared" si="109"/>
        <v>7.0688532986196151E-4</v>
      </c>
      <c r="Q401" s="5">
        <f t="shared" si="110"/>
        <v>173.05467204281919</v>
      </c>
      <c r="R401" s="6">
        <f t="shared" si="111"/>
        <v>213.99563197198526</v>
      </c>
      <c r="T401" s="11">
        <f t="shared" si="103"/>
        <v>0.80868319810132494</v>
      </c>
      <c r="V401" s="9">
        <v>41488</v>
      </c>
      <c r="W401">
        <v>7225</v>
      </c>
      <c r="X401">
        <v>9937.6072999999997</v>
      </c>
      <c r="Y401" t="s">
        <v>33</v>
      </c>
      <c r="AC401" s="24">
        <f t="shared" si="112"/>
        <v>1.3331169527988349E-3</v>
      </c>
      <c r="AE401" s="5">
        <f t="shared" si="113"/>
        <v>148.46237421655431</v>
      </c>
      <c r="AF401" s="6">
        <f t="shared" si="114"/>
        <v>213.99563197198526</v>
      </c>
      <c r="AH401" s="1">
        <f t="shared" si="104"/>
        <v>41488</v>
      </c>
      <c r="AI401">
        <f t="shared" si="108"/>
        <v>0.69376357287512258</v>
      </c>
      <c r="AJ401">
        <f t="shared" ca="1" si="98"/>
        <v>0.62011679334087955</v>
      </c>
      <c r="AK401">
        <f t="shared" ca="1" si="99"/>
        <v>0.6356883995834911</v>
      </c>
      <c r="AL401">
        <f t="shared" ca="1" si="100"/>
        <v>0.65726051033370525</v>
      </c>
      <c r="AM401">
        <f t="shared" ca="1" si="101"/>
        <v>0.71437565530781255</v>
      </c>
      <c r="AN401">
        <f t="shared" ca="1" si="102"/>
        <v>0.73617866905752871</v>
      </c>
      <c r="AP401" s="40"/>
      <c r="AQ401" s="41"/>
    </row>
    <row r="402" spans="2:43" x14ac:dyDescent="0.25">
      <c r="B402" s="1">
        <v>41495</v>
      </c>
      <c r="C402">
        <v>1.9059999999999999</v>
      </c>
      <c r="D402">
        <v>1.385</v>
      </c>
      <c r="E402" t="s">
        <v>33</v>
      </c>
      <c r="G402">
        <v>3615.11</v>
      </c>
      <c r="I402" s="14">
        <f t="shared" si="105"/>
        <v>6.9584736251402823E-2</v>
      </c>
      <c r="J402" s="15">
        <f t="shared" si="106"/>
        <v>9.5727848101265778E-2</v>
      </c>
      <c r="K402" s="15"/>
      <c r="L402" s="15"/>
      <c r="M402" s="16">
        <f t="shared" si="107"/>
        <v>4.5194995937885896E-2</v>
      </c>
      <c r="O402" s="13">
        <f t="shared" si="109"/>
        <v>8.2656292176334301E-2</v>
      </c>
      <c r="Q402" s="5">
        <f t="shared" si="110"/>
        <v>187.35872957767018</v>
      </c>
      <c r="R402" s="6">
        <f t="shared" si="111"/>
        <v>223.66716368968446</v>
      </c>
      <c r="T402" s="11">
        <f t="shared" si="103"/>
        <v>0.83766757036187678</v>
      </c>
      <c r="V402" s="9">
        <v>41495</v>
      </c>
      <c r="W402">
        <v>7725</v>
      </c>
      <c r="X402">
        <v>10886.197099999999</v>
      </c>
      <c r="Y402" t="s">
        <v>33</v>
      </c>
      <c r="AC402" s="24">
        <f t="shared" si="112"/>
        <v>8.4722295167868528E-2</v>
      </c>
      <c r="AE402" s="5">
        <f t="shared" si="113"/>
        <v>161.04044730625179</v>
      </c>
      <c r="AF402" s="6">
        <f t="shared" si="114"/>
        <v>223.66716368968446</v>
      </c>
      <c r="AH402" s="1">
        <f t="shared" si="104"/>
        <v>41495</v>
      </c>
      <c r="AI402">
        <f t="shared" si="108"/>
        <v>0.72000039992316045</v>
      </c>
      <c r="AJ402">
        <f t="shared" ca="1" si="98"/>
        <v>0.62011679334087955</v>
      </c>
      <c r="AK402">
        <f t="shared" ca="1" si="99"/>
        <v>0.6356883995834911</v>
      </c>
      <c r="AL402">
        <f t="shared" ca="1" si="100"/>
        <v>0.65726051033370525</v>
      </c>
      <c r="AM402">
        <f t="shared" ca="1" si="101"/>
        <v>0.71212752831161996</v>
      </c>
      <c r="AN402">
        <f t="shared" ca="1" si="102"/>
        <v>0.73246882596325802</v>
      </c>
      <c r="AP402" s="40"/>
      <c r="AQ402" s="41"/>
    </row>
    <row r="403" spans="2:43" x14ac:dyDescent="0.25">
      <c r="B403" s="1">
        <v>41502</v>
      </c>
      <c r="C403">
        <v>1.881</v>
      </c>
      <c r="D403">
        <v>1.367</v>
      </c>
      <c r="E403" t="s">
        <v>33</v>
      </c>
      <c r="G403">
        <v>3815.29</v>
      </c>
      <c r="I403" s="14">
        <f t="shared" si="105"/>
        <v>-1.3116474291710367E-2</v>
      </c>
      <c r="J403" s="15">
        <f t="shared" si="106"/>
        <v>-1.2996389891696714E-2</v>
      </c>
      <c r="K403" s="15"/>
      <c r="L403" s="15"/>
      <c r="M403" s="16">
        <f t="shared" si="107"/>
        <v>5.5373142172713941E-2</v>
      </c>
      <c r="O403" s="13">
        <f t="shared" si="109"/>
        <v>-1.305643209170354E-2</v>
      </c>
      <c r="Q403" s="5">
        <f t="shared" si="110"/>
        <v>184.91249304815148</v>
      </c>
      <c r="R403" s="6">
        <f t="shared" si="111"/>
        <v>236.05231734404103</v>
      </c>
      <c r="T403" s="11">
        <f t="shared" si="103"/>
        <v>0.78335385616505349</v>
      </c>
      <c r="V403" s="9">
        <v>41502</v>
      </c>
      <c r="W403">
        <v>7625</v>
      </c>
      <c r="X403">
        <v>10750.684300000001</v>
      </c>
      <c r="Y403" t="s">
        <v>33</v>
      </c>
      <c r="AC403" s="24">
        <f t="shared" si="112"/>
        <v>-1.3046233648931732E-2</v>
      </c>
      <c r="AE403" s="5">
        <f t="shared" si="113"/>
        <v>158.93947600376595</v>
      </c>
      <c r="AF403" s="6">
        <f t="shared" si="114"/>
        <v>236.05231734404103</v>
      </c>
      <c r="AH403" s="1">
        <f t="shared" si="104"/>
        <v>41502</v>
      </c>
      <c r="AI403">
        <f t="shared" si="108"/>
        <v>0.67332309122013478</v>
      </c>
      <c r="AJ403">
        <f t="shared" ca="1" si="98"/>
        <v>0.62011679334087955</v>
      </c>
      <c r="AK403">
        <f t="shared" ca="1" si="99"/>
        <v>0.6356883995834911</v>
      </c>
      <c r="AL403">
        <f t="shared" ca="1" si="100"/>
        <v>0.65726051033370525</v>
      </c>
      <c r="AM403">
        <f t="shared" ca="1" si="101"/>
        <v>0.71212752831161996</v>
      </c>
      <c r="AN403">
        <f t="shared" ca="1" si="102"/>
        <v>0.72206674906732105</v>
      </c>
      <c r="AP403" s="40"/>
      <c r="AQ403" s="41"/>
    </row>
    <row r="404" spans="2:43" x14ac:dyDescent="0.25">
      <c r="B404" s="1">
        <v>41509</v>
      </c>
      <c r="C404">
        <v>1.998</v>
      </c>
      <c r="D404">
        <v>1.4530000000000001</v>
      </c>
      <c r="E404" t="s">
        <v>33</v>
      </c>
      <c r="G404">
        <v>3903.21</v>
      </c>
      <c r="I404" s="14">
        <f t="shared" si="105"/>
        <v>6.2200956937799035E-2</v>
      </c>
      <c r="J404" s="15">
        <f t="shared" si="106"/>
        <v>6.2911485003657619E-2</v>
      </c>
      <c r="K404" s="15"/>
      <c r="L404" s="15"/>
      <c r="M404" s="16">
        <f t="shared" si="107"/>
        <v>2.304411984410093E-2</v>
      </c>
      <c r="O404" s="13">
        <f t="shared" si="109"/>
        <v>6.2556220970728327E-2</v>
      </c>
      <c r="Q404" s="5">
        <f t="shared" si="110"/>
        <v>196.47991982351988</v>
      </c>
      <c r="R404" s="6">
        <f t="shared" si="111"/>
        <v>241.49193523439484</v>
      </c>
      <c r="T404" s="11">
        <f t="shared" si="103"/>
        <v>0.81360861857690703</v>
      </c>
      <c r="V404" s="9">
        <v>41509</v>
      </c>
      <c r="W404">
        <v>8100</v>
      </c>
      <c r="X404">
        <v>11428.2484</v>
      </c>
      <c r="Y404" t="s">
        <v>33</v>
      </c>
      <c r="AC404" s="24">
        <f t="shared" si="112"/>
        <v>6.2616651003806437E-2</v>
      </c>
      <c r="AE404" s="5">
        <f t="shared" si="113"/>
        <v>168.89173370342164</v>
      </c>
      <c r="AF404" s="6">
        <f t="shared" si="114"/>
        <v>241.49193523439484</v>
      </c>
      <c r="AH404" s="1">
        <f t="shared" si="104"/>
        <v>41509</v>
      </c>
      <c r="AI404">
        <f t="shared" si="108"/>
        <v>0.69936800804338817</v>
      </c>
      <c r="AJ404">
        <f t="shared" ca="1" si="98"/>
        <v>0.62011679334087955</v>
      </c>
      <c r="AK404">
        <f t="shared" ca="1" si="99"/>
        <v>0.6356883995834911</v>
      </c>
      <c r="AL404">
        <f t="shared" ca="1" si="100"/>
        <v>0.65726051033370525</v>
      </c>
      <c r="AM404">
        <f t="shared" ca="1" si="101"/>
        <v>0.71112839178920539</v>
      </c>
      <c r="AN404">
        <f t="shared" ca="1" si="102"/>
        <v>0.72206674906732105</v>
      </c>
      <c r="AP404" s="40"/>
      <c r="AQ404" s="41"/>
    </row>
    <row r="405" spans="2:43" x14ac:dyDescent="0.25">
      <c r="B405" s="1">
        <v>41516</v>
      </c>
      <c r="C405">
        <v>1.9670000000000001</v>
      </c>
      <c r="D405">
        <v>1.54</v>
      </c>
      <c r="E405" t="s">
        <v>33</v>
      </c>
      <c r="G405">
        <v>3935.89</v>
      </c>
      <c r="I405" s="14">
        <f t="shared" si="105"/>
        <v>-1.5515515515515443E-2</v>
      </c>
      <c r="J405" s="15">
        <f t="shared" si="106"/>
        <v>5.9876118375774334E-2</v>
      </c>
      <c r="K405" s="15"/>
      <c r="L405" s="15"/>
      <c r="M405" s="16">
        <f t="shared" si="107"/>
        <v>8.3725958890246144E-3</v>
      </c>
      <c r="O405" s="13">
        <f t="shared" si="109"/>
        <v>2.2180301430129445E-2</v>
      </c>
      <c r="Q405" s="5">
        <f t="shared" si="110"/>
        <v>200.8379036701732</v>
      </c>
      <c r="R405" s="6">
        <f t="shared" si="111"/>
        <v>243.51384961857093</v>
      </c>
      <c r="T405" s="11">
        <f t="shared" si="103"/>
        <v>0.82474940946790753</v>
      </c>
      <c r="V405" s="9">
        <v>41516</v>
      </c>
      <c r="W405">
        <v>7975</v>
      </c>
      <c r="X405">
        <v>12105.812599999999</v>
      </c>
      <c r="Y405" t="s">
        <v>33</v>
      </c>
      <c r="AC405" s="24">
        <f t="shared" si="112"/>
        <v>2.8604894146598347E-2</v>
      </c>
      <c r="AE405" s="5">
        <f t="shared" si="113"/>
        <v>173.72286386824351</v>
      </c>
      <c r="AF405" s="6">
        <f t="shared" si="114"/>
        <v>243.51384961857093</v>
      </c>
      <c r="AH405" s="1">
        <f t="shared" si="104"/>
        <v>41516</v>
      </c>
      <c r="AI405">
        <f t="shared" si="108"/>
        <v>0.71340034310309308</v>
      </c>
      <c r="AJ405">
        <f t="shared" ca="1" si="98"/>
        <v>0.62011679334087955</v>
      </c>
      <c r="AK405">
        <f t="shared" ca="1" si="99"/>
        <v>0.6356883995834911</v>
      </c>
      <c r="AL405">
        <f t="shared" ca="1" si="100"/>
        <v>0.65726051033370525</v>
      </c>
      <c r="AM405">
        <f t="shared" ca="1" si="101"/>
        <v>0.70816948719646278</v>
      </c>
      <c r="AN405">
        <f t="shared" ca="1" si="102"/>
        <v>0.72200053372116546</v>
      </c>
      <c r="AP405" s="40"/>
      <c r="AQ405" s="41"/>
    </row>
    <row r="406" spans="2:43" x14ac:dyDescent="0.25">
      <c r="B406" s="1">
        <v>41523</v>
      </c>
      <c r="C406">
        <v>2.0169999999999999</v>
      </c>
      <c r="D406">
        <v>1.54</v>
      </c>
      <c r="E406" t="s">
        <v>33</v>
      </c>
      <c r="G406">
        <v>4181.58</v>
      </c>
      <c r="I406" s="14">
        <f t="shared" si="105"/>
        <v>2.5419420437214013E-2</v>
      </c>
      <c r="J406" s="15">
        <f t="shared" si="106"/>
        <v>0</v>
      </c>
      <c r="K406" s="15"/>
      <c r="L406" s="15"/>
      <c r="M406" s="16">
        <f t="shared" si="107"/>
        <v>6.242298438218552E-2</v>
      </c>
      <c r="O406" s="13">
        <f t="shared" si="109"/>
        <v>1.2709710218607007E-2</v>
      </c>
      <c r="Q406" s="5">
        <f t="shared" si="110"/>
        <v>203.39049522673363</v>
      </c>
      <c r="R406" s="6">
        <f t="shared" si="111"/>
        <v>258.71471085015685</v>
      </c>
      <c r="T406" s="11">
        <f t="shared" si="103"/>
        <v>0.78615744175650659</v>
      </c>
      <c r="V406" s="9">
        <v>41523</v>
      </c>
      <c r="W406">
        <v>8175</v>
      </c>
      <c r="X406">
        <v>12105.812599999999</v>
      </c>
      <c r="Y406" t="s">
        <v>33</v>
      </c>
      <c r="AC406" s="24">
        <f t="shared" si="112"/>
        <v>1.0095202919566204E-2</v>
      </c>
      <c r="AE406" s="5">
        <f t="shared" si="113"/>
        <v>175.47663143076161</v>
      </c>
      <c r="AF406" s="6">
        <f t="shared" si="114"/>
        <v>258.71471085015685</v>
      </c>
      <c r="AH406" s="1">
        <f t="shared" si="104"/>
        <v>41523</v>
      </c>
      <c r="AI406">
        <f t="shared" si="108"/>
        <v>0.67826305993243152</v>
      </c>
      <c r="AJ406">
        <f t="shared" ca="1" si="98"/>
        <v>0.62011679334087955</v>
      </c>
      <c r="AK406">
        <f t="shared" ca="1" si="99"/>
        <v>0.6356883995834911</v>
      </c>
      <c r="AL406">
        <f t="shared" ca="1" si="100"/>
        <v>0.65726051033370525</v>
      </c>
      <c r="AM406">
        <f t="shared" ca="1" si="101"/>
        <v>0.70827453232764204</v>
      </c>
      <c r="AN406">
        <f t="shared" ca="1" si="102"/>
        <v>0.72200053372116546</v>
      </c>
      <c r="AP406" s="40"/>
      <c r="AQ406" s="41"/>
    </row>
    <row r="407" spans="2:43" x14ac:dyDescent="0.25">
      <c r="B407" s="1">
        <v>41530</v>
      </c>
      <c r="C407">
        <v>2.004</v>
      </c>
      <c r="D407">
        <v>1.591</v>
      </c>
      <c r="E407" t="s">
        <v>33</v>
      </c>
      <c r="G407">
        <v>4494.93</v>
      </c>
      <c r="I407" s="14">
        <f t="shared" si="105"/>
        <v>-6.4452156668318716E-3</v>
      </c>
      <c r="J407" s="15">
        <f t="shared" si="106"/>
        <v>3.31168831168831E-2</v>
      </c>
      <c r="K407" s="15"/>
      <c r="L407" s="15"/>
      <c r="M407" s="16">
        <f t="shared" si="107"/>
        <v>7.4935789821072518E-2</v>
      </c>
      <c r="O407" s="13">
        <f t="shared" si="109"/>
        <v>1.3335833725025614E-2</v>
      </c>
      <c r="Q407" s="5">
        <f t="shared" si="110"/>
        <v>206.10287705232795</v>
      </c>
      <c r="R407" s="6">
        <f t="shared" si="111"/>
        <v>278.10170204604373</v>
      </c>
      <c r="T407" s="11">
        <f t="shared" si="103"/>
        <v>0.74110613324547248</v>
      </c>
      <c r="V407" s="9">
        <v>41530</v>
      </c>
      <c r="W407">
        <v>8125</v>
      </c>
      <c r="X407">
        <v>12512.351000000001</v>
      </c>
      <c r="Y407" t="s">
        <v>33</v>
      </c>
      <c r="AC407" s="24">
        <f t="shared" si="112"/>
        <v>1.716978257728885E-2</v>
      </c>
      <c r="AE407" s="5">
        <f t="shared" si="113"/>
        <v>178.48952703982283</v>
      </c>
      <c r="AF407" s="6">
        <f t="shared" si="114"/>
        <v>278.10170204604373</v>
      </c>
      <c r="AH407" s="1">
        <f t="shared" si="104"/>
        <v>41530</v>
      </c>
      <c r="AI407">
        <f t="shared" si="108"/>
        <v>0.64181386063675128</v>
      </c>
      <c r="AJ407">
        <f t="shared" ca="1" si="98"/>
        <v>0.62011679334087955</v>
      </c>
      <c r="AK407">
        <f t="shared" ca="1" si="99"/>
        <v>0.6356883995834911</v>
      </c>
      <c r="AL407">
        <f t="shared" ca="1" si="100"/>
        <v>0.66241601209462897</v>
      </c>
      <c r="AM407">
        <f t="shared" ca="1" si="101"/>
        <v>0.70827453232764204</v>
      </c>
      <c r="AN407">
        <f t="shared" ca="1" si="102"/>
        <v>0.72200053372116546</v>
      </c>
      <c r="AP407" s="40"/>
      <c r="AQ407" s="41"/>
    </row>
    <row r="408" spans="2:43" x14ac:dyDescent="0.25">
      <c r="B408" s="1">
        <v>41537</v>
      </c>
      <c r="C408">
        <v>2.1520000000000001</v>
      </c>
      <c r="D408">
        <v>1.6319999999999999</v>
      </c>
      <c r="E408" t="s">
        <v>33</v>
      </c>
      <c r="G408">
        <v>4754.93</v>
      </c>
      <c r="I408" s="14">
        <f t="shared" si="105"/>
        <v>7.3852295409181812E-2</v>
      </c>
      <c r="J408" s="15">
        <f t="shared" si="106"/>
        <v>2.5769956002514194E-2</v>
      </c>
      <c r="K408" s="15"/>
      <c r="L408" s="15"/>
      <c r="M408" s="16">
        <f t="shared" si="107"/>
        <v>5.7842947498626174E-2</v>
      </c>
      <c r="O408" s="13">
        <f t="shared" si="109"/>
        <v>4.9811125705848003E-2</v>
      </c>
      <c r="Q408" s="5">
        <f t="shared" si="110"/>
        <v>216.3690933695184</v>
      </c>
      <c r="R408" s="6">
        <f t="shared" si="111"/>
        <v>294.18792419677163</v>
      </c>
      <c r="T408" s="11">
        <f t="shared" si="103"/>
        <v>0.73547918039218008</v>
      </c>
      <c r="V408" s="9">
        <v>41537</v>
      </c>
      <c r="W408">
        <v>8725</v>
      </c>
      <c r="X408">
        <v>12828.5476</v>
      </c>
      <c r="Y408" t="s">
        <v>33</v>
      </c>
      <c r="AC408" s="24">
        <f t="shared" si="112"/>
        <v>4.4700147560489553E-2</v>
      </c>
      <c r="AE408" s="5">
        <f t="shared" si="113"/>
        <v>186.4680352365049</v>
      </c>
      <c r="AF408" s="6">
        <f t="shared" si="114"/>
        <v>294.18792419677163</v>
      </c>
      <c r="AH408" s="1">
        <f t="shared" si="104"/>
        <v>41537</v>
      </c>
      <c r="AI408">
        <f t="shared" si="108"/>
        <v>0.63383986866769959</v>
      </c>
      <c r="AJ408">
        <f t="shared" ca="1" si="98"/>
        <v>0.62011679334087955</v>
      </c>
      <c r="AK408">
        <f t="shared" ca="1" si="99"/>
        <v>0.6356883995834911</v>
      </c>
      <c r="AL408">
        <f t="shared" ca="1" si="100"/>
        <v>0.65726051033370525</v>
      </c>
      <c r="AM408">
        <f t="shared" ca="1" si="101"/>
        <v>0.70827453232764204</v>
      </c>
      <c r="AN408">
        <f t="shared" ca="1" si="102"/>
        <v>0.72200053372116546</v>
      </c>
      <c r="AP408" s="40"/>
      <c r="AQ408" s="41"/>
    </row>
    <row r="409" spans="2:43" x14ac:dyDescent="0.25">
      <c r="B409" s="1">
        <v>41544</v>
      </c>
      <c r="C409">
        <v>2.1030000000000002</v>
      </c>
      <c r="D409">
        <v>1.5629999999999999</v>
      </c>
      <c r="E409" t="s">
        <v>33</v>
      </c>
      <c r="G409">
        <v>4730.1400000000003</v>
      </c>
      <c r="I409" s="14">
        <f t="shared" si="105"/>
        <v>-2.2769516728624484E-2</v>
      </c>
      <c r="J409" s="15">
        <f t="shared" si="106"/>
        <v>-4.2279411764705843E-2</v>
      </c>
      <c r="K409" s="15"/>
      <c r="L409" s="15"/>
      <c r="M409" s="16">
        <f t="shared" si="107"/>
        <v>-5.2135362665696183E-3</v>
      </c>
      <c r="O409" s="13">
        <f t="shared" si="109"/>
        <v>-3.2524464246665163E-2</v>
      </c>
      <c r="Q409" s="5">
        <f t="shared" si="110"/>
        <v>209.33180452813815</v>
      </c>
      <c r="R409" s="6">
        <f t="shared" si="111"/>
        <v>292.65416478478494</v>
      </c>
      <c r="T409" s="11">
        <f t="shared" si="103"/>
        <v>0.71528729031441851</v>
      </c>
      <c r="V409" s="9">
        <v>41544</v>
      </c>
      <c r="W409">
        <v>8525</v>
      </c>
      <c r="X409">
        <v>12286.496300000001</v>
      </c>
      <c r="Y409" t="s">
        <v>33</v>
      </c>
      <c r="AC409" s="24">
        <f t="shared" si="112"/>
        <v>-3.4381694073451631E-2</v>
      </c>
      <c r="AE409" s="5">
        <f t="shared" si="113"/>
        <v>180.0569482945258</v>
      </c>
      <c r="AF409" s="6">
        <f t="shared" si="114"/>
        <v>292.65416478478494</v>
      </c>
      <c r="AH409" s="1">
        <f t="shared" si="104"/>
        <v>41544</v>
      </c>
      <c r="AI409">
        <f t="shared" si="108"/>
        <v>0.61525503464793652</v>
      </c>
      <c r="AJ409">
        <f t="shared" ca="1" si="98"/>
        <v>0.62011679334087955</v>
      </c>
      <c r="AK409">
        <f t="shared" ca="1" si="99"/>
        <v>0.63511384055898379</v>
      </c>
      <c r="AL409">
        <f t="shared" ca="1" si="100"/>
        <v>0.65327677230682824</v>
      </c>
      <c r="AM409">
        <f t="shared" ca="1" si="101"/>
        <v>0.70827453232764204</v>
      </c>
      <c r="AN409">
        <f t="shared" ca="1" si="102"/>
        <v>0.72200053372116546</v>
      </c>
      <c r="AP409" s="40"/>
      <c r="AQ409" s="41"/>
    </row>
    <row r="410" spans="2:43" x14ac:dyDescent="0.25">
      <c r="B410" s="1">
        <v>41551</v>
      </c>
      <c r="C410">
        <v>2.2450000000000001</v>
      </c>
      <c r="D410">
        <v>1.6319999999999999</v>
      </c>
      <c r="E410" t="s">
        <v>33</v>
      </c>
      <c r="G410">
        <v>4855.47</v>
      </c>
      <c r="I410" s="14">
        <f t="shared" si="105"/>
        <v>6.7522586780789373E-2</v>
      </c>
      <c r="J410" s="15">
        <f t="shared" si="106"/>
        <v>4.4145873320537321E-2</v>
      </c>
      <c r="K410" s="15"/>
      <c r="L410" s="15"/>
      <c r="M410" s="16">
        <f t="shared" si="107"/>
        <v>2.6496044514538575E-2</v>
      </c>
      <c r="O410" s="13">
        <f t="shared" si="109"/>
        <v>5.5834230050663347E-2</v>
      </c>
      <c r="Q410" s="5">
        <f t="shared" si="110"/>
        <v>221.01968465908271</v>
      </c>
      <c r="R410" s="6">
        <f t="shared" si="111"/>
        <v>300.40834256228771</v>
      </c>
      <c r="T410" s="11">
        <f t="shared" si="103"/>
        <v>0.73573084813134215</v>
      </c>
      <c r="V410" s="9">
        <v>41551</v>
      </c>
      <c r="W410">
        <v>9100</v>
      </c>
      <c r="X410">
        <v>12828.5476</v>
      </c>
      <c r="Y410" t="s">
        <v>33</v>
      </c>
      <c r="AC410" s="24">
        <f t="shared" si="112"/>
        <v>5.3721661595244358E-2</v>
      </c>
      <c r="AE410" s="5">
        <f t="shared" si="113"/>
        <v>189.7299067386767</v>
      </c>
      <c r="AF410" s="6">
        <f t="shared" si="114"/>
        <v>300.40834256228771</v>
      </c>
      <c r="AH410" s="1">
        <f t="shared" si="104"/>
        <v>41551</v>
      </c>
      <c r="AI410">
        <f t="shared" si="108"/>
        <v>0.63157336151321253</v>
      </c>
      <c r="AJ410">
        <f t="shared" ca="1" si="98"/>
        <v>0.6167774618434656</v>
      </c>
      <c r="AK410">
        <f t="shared" ca="1" si="99"/>
        <v>0.63353019036455549</v>
      </c>
      <c r="AL410">
        <f t="shared" ca="1" si="100"/>
        <v>0.65179461529284266</v>
      </c>
      <c r="AM410">
        <f t="shared" ca="1" si="101"/>
        <v>0.70827453232764204</v>
      </c>
      <c r="AN410">
        <f t="shared" ca="1" si="102"/>
        <v>0.72200053372116546</v>
      </c>
      <c r="AP410" s="40"/>
      <c r="AQ410" s="41"/>
    </row>
    <row r="411" spans="2:43" x14ac:dyDescent="0.25">
      <c r="B411" s="1">
        <v>41558</v>
      </c>
      <c r="C411">
        <v>2.2320000000000002</v>
      </c>
      <c r="D411">
        <v>1.712</v>
      </c>
      <c r="E411" t="s">
        <v>33</v>
      </c>
      <c r="G411">
        <v>5241.88</v>
      </c>
      <c r="I411" s="14">
        <f t="shared" si="105"/>
        <v>-5.7906458797326588E-3</v>
      </c>
      <c r="J411" s="15">
        <f t="shared" si="106"/>
        <v>4.9019607843137303E-2</v>
      </c>
      <c r="K411" s="15"/>
      <c r="L411" s="15"/>
      <c r="M411" s="16">
        <f t="shared" si="107"/>
        <v>7.958240911796377E-2</v>
      </c>
      <c r="O411" s="13">
        <f t="shared" si="109"/>
        <v>2.1614480981702322E-2</v>
      </c>
      <c r="Q411" s="5">
        <f t="shared" si="110"/>
        <v>225.79691042972829</v>
      </c>
      <c r="R411" s="6">
        <f t="shared" si="111"/>
        <v>324.31556218252911</v>
      </c>
      <c r="T411" s="11">
        <f t="shared" si="103"/>
        <v>0.69622595015236055</v>
      </c>
      <c r="V411" s="9">
        <v>41558</v>
      </c>
      <c r="W411">
        <v>9050</v>
      </c>
      <c r="X411">
        <v>13460.9408</v>
      </c>
      <c r="Y411" t="s">
        <v>33</v>
      </c>
      <c r="AC411" s="24">
        <f t="shared" si="112"/>
        <v>2.6274220507128028E-2</v>
      </c>
      <c r="AE411" s="5">
        <f t="shared" si="113"/>
        <v>194.71491214512554</v>
      </c>
      <c r="AF411" s="6">
        <f t="shared" si="114"/>
        <v>324.31556218252911</v>
      </c>
      <c r="AH411" s="1">
        <f t="shared" si="104"/>
        <v>41558</v>
      </c>
      <c r="AI411">
        <f t="shared" si="108"/>
        <v>0.60038719953727471</v>
      </c>
      <c r="AJ411">
        <f t="shared" ca="1" si="98"/>
        <v>0.6167774618434656</v>
      </c>
      <c r="AK411">
        <f t="shared" ca="1" si="99"/>
        <v>0.63251947949130893</v>
      </c>
      <c r="AL411">
        <f t="shared" ca="1" si="100"/>
        <v>0.65155261522307706</v>
      </c>
      <c r="AM411">
        <f t="shared" ca="1" si="101"/>
        <v>0.70827453232764204</v>
      </c>
      <c r="AN411">
        <f t="shared" ca="1" si="102"/>
        <v>0.72200053372116546</v>
      </c>
      <c r="AP411" s="40"/>
      <c r="AQ411" s="41"/>
    </row>
    <row r="412" spans="2:43" x14ac:dyDescent="0.25">
      <c r="B412" s="1">
        <v>41565</v>
      </c>
      <c r="C412">
        <v>2.2629999999999999</v>
      </c>
      <c r="D412">
        <v>1.655</v>
      </c>
      <c r="E412" t="s">
        <v>33</v>
      </c>
      <c r="G412">
        <v>5465.85</v>
      </c>
      <c r="I412" s="14">
        <f t="shared" si="105"/>
        <v>1.388888888888884E-2</v>
      </c>
      <c r="J412" s="15">
        <f t="shared" si="106"/>
        <v>-3.3294392523364413E-2</v>
      </c>
      <c r="K412" s="15"/>
      <c r="L412" s="15"/>
      <c r="M412" s="16">
        <f t="shared" si="107"/>
        <v>4.2727036864636414E-2</v>
      </c>
      <c r="O412" s="13">
        <f t="shared" si="109"/>
        <v>-9.7027518172377869E-3</v>
      </c>
      <c r="Q412" s="5">
        <f t="shared" si="110"/>
        <v>223.60605904672957</v>
      </c>
      <c r="R412" s="6">
        <f t="shared" si="111"/>
        <v>338.1726051636773</v>
      </c>
      <c r="T412" s="11">
        <f t="shared" si="103"/>
        <v>0.66121872568152906</v>
      </c>
      <c r="V412" s="9">
        <v>41565</v>
      </c>
      <c r="W412">
        <v>9175</v>
      </c>
      <c r="X412">
        <v>13009.231400000001</v>
      </c>
      <c r="Y412" t="s">
        <v>33</v>
      </c>
      <c r="AC412" s="24">
        <f t="shared" si="112"/>
        <v>-1.4325452016848936E-2</v>
      </c>
      <c r="AE412" s="5">
        <f t="shared" si="113"/>
        <v>191.92553301422558</v>
      </c>
      <c r="AF412" s="6">
        <f t="shared" si="114"/>
        <v>338.1726051636773</v>
      </c>
      <c r="AH412" s="1">
        <f t="shared" si="104"/>
        <v>41565</v>
      </c>
      <c r="AI412">
        <f t="shared" si="108"/>
        <v>0.56753719870754349</v>
      </c>
      <c r="AJ412">
        <f t="shared" ca="1" si="98"/>
        <v>0.6153731876449563</v>
      </c>
      <c r="AK412">
        <f t="shared" ca="1" si="99"/>
        <v>0.63209917907820268</v>
      </c>
      <c r="AL412">
        <f t="shared" ca="1" si="100"/>
        <v>0.64946433157306194</v>
      </c>
      <c r="AM412">
        <f t="shared" ca="1" si="101"/>
        <v>0.70827453232764204</v>
      </c>
      <c r="AN412">
        <f t="shared" ca="1" si="102"/>
        <v>0.72200053372116546</v>
      </c>
      <c r="AP412" s="40"/>
      <c r="AQ412" s="41"/>
    </row>
    <row r="413" spans="2:43" x14ac:dyDescent="0.25">
      <c r="B413" s="1">
        <v>41572</v>
      </c>
      <c r="C413">
        <v>2.319</v>
      </c>
      <c r="D413">
        <v>1.827</v>
      </c>
      <c r="E413" t="s">
        <v>33</v>
      </c>
      <c r="G413">
        <v>5526.29</v>
      </c>
      <c r="I413" s="14">
        <f t="shared" si="105"/>
        <v>2.4745912505523604E-2</v>
      </c>
      <c r="J413" s="15">
        <f t="shared" si="106"/>
        <v>0.10392749244712984</v>
      </c>
      <c r="K413" s="15"/>
      <c r="L413" s="15"/>
      <c r="M413" s="16">
        <f t="shared" si="107"/>
        <v>1.1057749480867463E-2</v>
      </c>
      <c r="O413" s="13">
        <f t="shared" si="109"/>
        <v>6.4336702476326724E-2</v>
      </c>
      <c r="Q413" s="5">
        <f t="shared" si="110"/>
        <v>237.99213553952299</v>
      </c>
      <c r="R413" s="6">
        <f t="shared" si="111"/>
        <v>341.91203311286955</v>
      </c>
      <c r="T413" s="11">
        <f t="shared" si="103"/>
        <v>0.69606247365081397</v>
      </c>
      <c r="V413" s="9">
        <v>41572</v>
      </c>
      <c r="W413">
        <v>9400</v>
      </c>
      <c r="X413">
        <v>14364.359700000001</v>
      </c>
      <c r="Y413" t="s">
        <v>33</v>
      </c>
      <c r="AC413" s="24">
        <f t="shared" si="112"/>
        <v>7.1179411936022424E-2</v>
      </c>
      <c r="AE413" s="5">
        <f t="shared" si="113"/>
        <v>205.58667958968582</v>
      </c>
      <c r="AF413" s="6">
        <f t="shared" si="114"/>
        <v>341.91203311286955</v>
      </c>
      <c r="AH413" s="1">
        <f t="shared" si="104"/>
        <v>41572</v>
      </c>
      <c r="AI413">
        <f t="shared" si="108"/>
        <v>0.60128530054342666</v>
      </c>
      <c r="AJ413">
        <f t="shared" ca="1" si="98"/>
        <v>0.6121343737012952</v>
      </c>
      <c r="AK413">
        <f t="shared" ca="1" si="99"/>
        <v>0.63085443803515218</v>
      </c>
      <c r="AL413">
        <f t="shared" ca="1" si="100"/>
        <v>0.64699821587899853</v>
      </c>
      <c r="AM413">
        <f t="shared" ca="1" si="101"/>
        <v>0.70827453232764204</v>
      </c>
      <c r="AN413">
        <f t="shared" ca="1" si="102"/>
        <v>0.72200053372116546</v>
      </c>
      <c r="AP413" s="40"/>
      <c r="AQ413" s="41"/>
    </row>
    <row r="414" spans="2:43" x14ac:dyDescent="0.25">
      <c r="B414" s="1">
        <v>41579</v>
      </c>
      <c r="C414">
        <v>2.2999999999999998</v>
      </c>
      <c r="D414">
        <v>1.64</v>
      </c>
      <c r="E414" t="s">
        <v>33</v>
      </c>
      <c r="G414">
        <v>5094.67</v>
      </c>
      <c r="I414" s="14">
        <f t="shared" si="105"/>
        <v>-8.1931867184131812E-3</v>
      </c>
      <c r="J414" s="15">
        <f t="shared" si="106"/>
        <v>-0.10235358511220582</v>
      </c>
      <c r="K414" s="15"/>
      <c r="L414" s="15"/>
      <c r="M414" s="16">
        <f t="shared" si="107"/>
        <v>-7.810303114747863E-2</v>
      </c>
      <c r="O414" s="13">
        <f t="shared" si="109"/>
        <v>-5.5273385915309503E-2</v>
      </c>
      <c r="Q414" s="5">
        <f t="shared" si="110"/>
        <v>224.83750438703828</v>
      </c>
      <c r="R414" s="6">
        <f t="shared" si="111"/>
        <v>315.20766694095738</v>
      </c>
      <c r="T414" s="11">
        <f t="shared" si="103"/>
        <v>0.71329960520647284</v>
      </c>
      <c r="V414" s="9">
        <v>41579</v>
      </c>
      <c r="W414">
        <v>9325</v>
      </c>
      <c r="X414">
        <v>12331.667299999999</v>
      </c>
      <c r="Y414" t="s">
        <v>33</v>
      </c>
      <c r="AC414" s="24">
        <f t="shared" si="112"/>
        <v>-6.5108409728765942E-2</v>
      </c>
      <c r="AE414" s="5">
        <f t="shared" si="113"/>
        <v>192.20125782018403</v>
      </c>
      <c r="AF414" s="6">
        <f t="shared" si="114"/>
        <v>315.20766694095738</v>
      </c>
      <c r="AH414" s="1">
        <f t="shared" si="104"/>
        <v>41579</v>
      </c>
      <c r="AI414">
        <f t="shared" si="108"/>
        <v>0.60976073229902084</v>
      </c>
      <c r="AJ414">
        <f t="shared" ca="1" si="98"/>
        <v>0.60939632757695783</v>
      </c>
      <c r="AK414">
        <f t="shared" ca="1" si="99"/>
        <v>0.62861152605837567</v>
      </c>
      <c r="AL414">
        <f t="shared" ca="1" si="100"/>
        <v>0.64420966274740432</v>
      </c>
      <c r="AM414">
        <f t="shared" ca="1" si="101"/>
        <v>0.70827453232764204</v>
      </c>
      <c r="AN414">
        <f t="shared" ca="1" si="102"/>
        <v>0.72200053372116546</v>
      </c>
      <c r="AP414" s="40"/>
      <c r="AQ414" s="41"/>
    </row>
    <row r="415" spans="2:43" x14ac:dyDescent="0.25">
      <c r="B415" s="1">
        <v>41586</v>
      </c>
      <c r="C415">
        <v>2.3740000000000001</v>
      </c>
      <c r="D415">
        <v>1.76</v>
      </c>
      <c r="E415" t="s">
        <v>33</v>
      </c>
      <c r="G415">
        <v>5294.18</v>
      </c>
      <c r="I415" s="14">
        <f t="shared" si="105"/>
        <v>3.2173913043478386E-2</v>
      </c>
      <c r="J415" s="15">
        <f t="shared" si="106"/>
        <v>7.3170731707317138E-2</v>
      </c>
      <c r="K415" s="15"/>
      <c r="L415" s="15"/>
      <c r="M415" s="16">
        <f t="shared" si="107"/>
        <v>3.9160534440896066E-2</v>
      </c>
      <c r="O415" s="13">
        <f t="shared" si="109"/>
        <v>5.2672322375397762E-2</v>
      </c>
      <c r="Q415" s="5">
        <f t="shared" si="110"/>
        <v>236.68021790019228</v>
      </c>
      <c r="R415" s="6">
        <f t="shared" si="111"/>
        <v>327.55136763823322</v>
      </c>
      <c r="T415" s="11">
        <f t="shared" si="103"/>
        <v>0.72257435408297754</v>
      </c>
      <c r="V415" s="9">
        <v>41586</v>
      </c>
      <c r="W415">
        <v>9625</v>
      </c>
      <c r="X415">
        <v>13235.0861</v>
      </c>
      <c r="Y415" t="s">
        <v>33</v>
      </c>
      <c r="AC415" s="24">
        <f t="shared" si="112"/>
        <v>5.5518184861372076E-2</v>
      </c>
      <c r="AE415" s="5">
        <f t="shared" si="113"/>
        <v>202.87192278243324</v>
      </c>
      <c r="AF415" s="6">
        <f t="shared" si="114"/>
        <v>327.55136763823322</v>
      </c>
      <c r="AH415" s="1">
        <f t="shared" si="104"/>
        <v>41586</v>
      </c>
      <c r="AI415">
        <f t="shared" si="108"/>
        <v>0.61935910768810098</v>
      </c>
      <c r="AJ415">
        <f t="shared" ca="1" si="98"/>
        <v>0.60919363744724864</v>
      </c>
      <c r="AK415">
        <f t="shared" ca="1" si="99"/>
        <v>0.62814826406320157</v>
      </c>
      <c r="AL415">
        <f t="shared" ca="1" si="100"/>
        <v>0.64170653858849358</v>
      </c>
      <c r="AM415">
        <f t="shared" ca="1" si="101"/>
        <v>0.70827453232764204</v>
      </c>
      <c r="AN415">
        <f t="shared" ca="1" si="102"/>
        <v>0.72200053372116546</v>
      </c>
      <c r="AP415" s="40"/>
      <c r="AQ415" s="41"/>
    </row>
    <row r="416" spans="2:43" x14ac:dyDescent="0.25">
      <c r="B416" s="1">
        <v>41593</v>
      </c>
      <c r="C416">
        <v>2.3679999999999999</v>
      </c>
      <c r="D416">
        <v>1.8979999999999999</v>
      </c>
      <c r="E416" t="s">
        <v>33</v>
      </c>
      <c r="G416">
        <v>5572.33</v>
      </c>
      <c r="I416" s="14">
        <f t="shared" si="105"/>
        <v>-2.5273799494525129E-3</v>
      </c>
      <c r="J416" s="15">
        <f t="shared" si="106"/>
        <v>7.8409090909090873E-2</v>
      </c>
      <c r="K416" s="15"/>
      <c r="L416" s="15"/>
      <c r="M416" s="16">
        <f t="shared" si="107"/>
        <v>5.2538825653831056E-2</v>
      </c>
      <c r="O416" s="13">
        <f t="shared" si="109"/>
        <v>3.794085547981918E-2</v>
      </c>
      <c r="Q416" s="5">
        <f t="shared" si="110"/>
        <v>245.6600678424756</v>
      </c>
      <c r="R416" s="6">
        <f t="shared" si="111"/>
        <v>344.76053183525227</v>
      </c>
      <c r="T416" s="11">
        <f t="shared" si="103"/>
        <v>0.71255275809780638</v>
      </c>
      <c r="V416" s="9">
        <v>41593</v>
      </c>
      <c r="W416">
        <v>9600</v>
      </c>
      <c r="X416">
        <v>14274.0178</v>
      </c>
      <c r="Y416" t="s">
        <v>33</v>
      </c>
      <c r="AC416" s="24">
        <f t="shared" si="112"/>
        <v>4.4331636930757867E-2</v>
      </c>
      <c r="AE416" s="5">
        <f t="shared" si="113"/>
        <v>211.8655672066688</v>
      </c>
      <c r="AF416" s="6">
        <f t="shared" si="114"/>
        <v>344.76053183525227</v>
      </c>
      <c r="AH416" s="1">
        <f t="shared" si="104"/>
        <v>41593</v>
      </c>
      <c r="AI416">
        <f t="shared" si="108"/>
        <v>0.61452964490700801</v>
      </c>
      <c r="AJ416">
        <f t="shared" ca="1" si="98"/>
        <v>0.60919363744724864</v>
      </c>
      <c r="AK416">
        <f t="shared" ca="1" si="99"/>
        <v>0.6262898393622276</v>
      </c>
      <c r="AL416">
        <f t="shared" ca="1" si="100"/>
        <v>0.6415340522183679</v>
      </c>
      <c r="AM416">
        <f t="shared" ca="1" si="101"/>
        <v>0.70827453232764204</v>
      </c>
      <c r="AN416">
        <f t="shared" ca="1" si="102"/>
        <v>0.72200053372116546</v>
      </c>
      <c r="AP416" s="40"/>
      <c r="AQ416" s="41"/>
    </row>
    <row r="417" spans="2:43" x14ac:dyDescent="0.25">
      <c r="B417" s="1">
        <v>41600</v>
      </c>
      <c r="C417">
        <v>2.359</v>
      </c>
      <c r="D417">
        <v>1.79</v>
      </c>
      <c r="E417" t="s">
        <v>33</v>
      </c>
      <c r="G417">
        <v>5529.54</v>
      </c>
      <c r="I417" s="14">
        <f t="shared" si="105"/>
        <v>-3.8006756756756577E-3</v>
      </c>
      <c r="J417" s="15">
        <f t="shared" si="106"/>
        <v>-5.6902002107481531E-2</v>
      </c>
      <c r="K417" s="15"/>
      <c r="L417" s="15"/>
      <c r="M417" s="16">
        <f t="shared" si="107"/>
        <v>-7.6790139851731221E-3</v>
      </c>
      <c r="O417" s="13">
        <f t="shared" si="109"/>
        <v>-3.0351338891578594E-2</v>
      </c>
      <c r="Q417" s="5">
        <f t="shared" si="110"/>
        <v>238.20395587126043</v>
      </c>
      <c r="R417" s="6">
        <f t="shared" si="111"/>
        <v>342.11311088975361</v>
      </c>
      <c r="T417" s="11">
        <f t="shared" si="103"/>
        <v>0.69627251423293735</v>
      </c>
      <c r="V417" s="9">
        <v>41600</v>
      </c>
      <c r="W417">
        <v>9525</v>
      </c>
      <c r="X417">
        <v>13460.9408</v>
      </c>
      <c r="Y417" t="s">
        <v>33</v>
      </c>
      <c r="AC417" s="24">
        <f t="shared" si="112"/>
        <v>-3.5549386137439971E-2</v>
      </c>
      <c r="AE417" s="5">
        <f t="shared" si="113"/>
        <v>204.3338763488112</v>
      </c>
      <c r="AF417" s="6">
        <f t="shared" si="114"/>
        <v>342.11311088975361</v>
      </c>
      <c r="AH417" s="1">
        <f t="shared" si="104"/>
        <v>41600</v>
      </c>
      <c r="AI417">
        <f t="shared" si="108"/>
        <v>0.59726993747006107</v>
      </c>
      <c r="AJ417">
        <f t="shared" ca="1" si="98"/>
        <v>0.60919363744724864</v>
      </c>
      <c r="AK417">
        <f t="shared" ca="1" si="99"/>
        <v>0.62187996039220506</v>
      </c>
      <c r="AL417">
        <f t="shared" ca="1" si="100"/>
        <v>0.64130092268380912</v>
      </c>
      <c r="AM417">
        <f t="shared" ca="1" si="101"/>
        <v>0.70827453232764204</v>
      </c>
      <c r="AN417">
        <f t="shared" ca="1" si="102"/>
        <v>0.72200053372116546</v>
      </c>
      <c r="AP417" s="40"/>
      <c r="AQ417" s="41"/>
    </row>
    <row r="418" spans="2:43" x14ac:dyDescent="0.25">
      <c r="B418" s="1">
        <v>41607</v>
      </c>
      <c r="C418">
        <v>2.4460000000000002</v>
      </c>
      <c r="D418">
        <v>1.8740000000000001</v>
      </c>
      <c r="E418" t="s">
        <v>33</v>
      </c>
      <c r="G418">
        <v>5718.68</v>
      </c>
      <c r="I418" s="14">
        <f t="shared" si="105"/>
        <v>3.6880033912674914E-2</v>
      </c>
      <c r="J418" s="15">
        <f t="shared" si="106"/>
        <v>4.6927374301676039E-2</v>
      </c>
      <c r="K418" s="15"/>
      <c r="L418" s="15"/>
      <c r="M418" s="16">
        <f t="shared" si="107"/>
        <v>3.4205376939130616E-2</v>
      </c>
      <c r="O418" s="13">
        <f t="shared" si="109"/>
        <v>4.1903704107175477E-2</v>
      </c>
      <c r="Q418" s="5">
        <f t="shared" si="110"/>
        <v>248.1855839552484</v>
      </c>
      <c r="R418" s="6">
        <f t="shared" si="111"/>
        <v>353.81521880355621</v>
      </c>
      <c r="T418" s="11">
        <f t="shared" si="103"/>
        <v>0.70145536643251338</v>
      </c>
      <c r="V418" s="9">
        <v>41607</v>
      </c>
      <c r="W418">
        <v>9875</v>
      </c>
      <c r="X418">
        <v>14093.334000000001</v>
      </c>
      <c r="Y418" t="s">
        <v>33</v>
      </c>
      <c r="AC418" s="24">
        <f t="shared" si="112"/>
        <v>4.2763919864986823E-2</v>
      </c>
      <c r="AE418" s="5">
        <f t="shared" si="113"/>
        <v>213.07199386269386</v>
      </c>
      <c r="AF418" s="6">
        <f t="shared" si="114"/>
        <v>353.81521880355621</v>
      </c>
      <c r="AH418" s="1">
        <f t="shared" si="104"/>
        <v>41607</v>
      </c>
      <c r="AI418">
        <f t="shared" si="108"/>
        <v>0.60221263116721613</v>
      </c>
      <c r="AJ418">
        <f t="shared" ca="1" si="98"/>
        <v>0.60878709981527857</v>
      </c>
      <c r="AK418">
        <f t="shared" ca="1" si="99"/>
        <v>0.61972392957560885</v>
      </c>
      <c r="AL418">
        <f t="shared" ca="1" si="100"/>
        <v>0.64130092268380912</v>
      </c>
      <c r="AM418">
        <f t="shared" ca="1" si="101"/>
        <v>0.70827453232764204</v>
      </c>
      <c r="AN418">
        <f t="shared" ca="1" si="102"/>
        <v>0.72200053372116546</v>
      </c>
      <c r="AP418" s="40"/>
      <c r="AQ418" s="41"/>
    </row>
    <row r="419" spans="2:43" x14ac:dyDescent="0.25">
      <c r="B419" s="1">
        <v>41614</v>
      </c>
      <c r="C419">
        <v>2.31</v>
      </c>
      <c r="D419">
        <v>1.796</v>
      </c>
      <c r="E419" t="s">
        <v>33</v>
      </c>
      <c r="G419">
        <v>5331.28</v>
      </c>
      <c r="I419" s="14">
        <f t="shared" si="105"/>
        <v>-5.560098119378587E-2</v>
      </c>
      <c r="J419" s="15">
        <f t="shared" si="106"/>
        <v>-4.162219850586979E-2</v>
      </c>
      <c r="K419" s="15"/>
      <c r="L419" s="15"/>
      <c r="M419" s="16">
        <f t="shared" si="107"/>
        <v>-6.7742905705512557E-2</v>
      </c>
      <c r="O419" s="13">
        <f t="shared" si="109"/>
        <v>-4.861158984982783E-2</v>
      </c>
      <c r="Q419" s="5">
        <f t="shared" si="110"/>
        <v>236.12088814137587</v>
      </c>
      <c r="R419" s="6">
        <f t="shared" si="111"/>
        <v>329.84674779897159</v>
      </c>
      <c r="T419" s="11">
        <f t="shared" si="103"/>
        <v>0.71585028416069796</v>
      </c>
      <c r="V419" s="9">
        <v>41614</v>
      </c>
      <c r="W419">
        <v>9325</v>
      </c>
      <c r="X419">
        <v>13506.111800000001</v>
      </c>
      <c r="Y419" t="s">
        <v>33</v>
      </c>
      <c r="AC419" s="24">
        <f t="shared" si="112"/>
        <v>-4.7381484029977189E-2</v>
      </c>
      <c r="AE419" s="5">
        <f t="shared" si="113"/>
        <v>202.97632658825322</v>
      </c>
      <c r="AF419" s="6">
        <f t="shared" si="114"/>
        <v>329.84674779897159</v>
      </c>
      <c r="AH419" s="1">
        <f t="shared" si="104"/>
        <v>41614</v>
      </c>
      <c r="AI419">
        <f t="shared" si="108"/>
        <v>0.61536555367815593</v>
      </c>
      <c r="AJ419">
        <f t="shared" ca="1" si="98"/>
        <v>0.60286626106432362</v>
      </c>
      <c r="AK419">
        <f t="shared" ca="1" si="99"/>
        <v>0.61972392957560885</v>
      </c>
      <c r="AL419">
        <f t="shared" ca="1" si="100"/>
        <v>0.64130092268380912</v>
      </c>
      <c r="AM419">
        <f t="shared" ca="1" si="101"/>
        <v>0.70827453232764204</v>
      </c>
      <c r="AN419">
        <f t="shared" ca="1" si="102"/>
        <v>0.72200053372116546</v>
      </c>
      <c r="AP419" s="40"/>
      <c r="AQ419" s="41"/>
    </row>
    <row r="420" spans="2:43" x14ac:dyDescent="0.25">
      <c r="B420" s="1">
        <v>41621</v>
      </c>
      <c r="C420">
        <v>2.2480000000000002</v>
      </c>
      <c r="D420">
        <v>1.8260000000000001</v>
      </c>
      <c r="E420" t="s">
        <v>33</v>
      </c>
      <c r="G420">
        <v>5258.27</v>
      </c>
      <c r="I420" s="14">
        <f t="shared" si="105"/>
        <v>-2.6839826839826775E-2</v>
      </c>
      <c r="J420" s="15">
        <f t="shared" si="106"/>
        <v>1.6703786191536674E-2</v>
      </c>
      <c r="K420" s="15"/>
      <c r="L420" s="15"/>
      <c r="M420" s="16">
        <f t="shared" si="107"/>
        <v>-1.3694647439263963E-2</v>
      </c>
      <c r="O420" s="13">
        <f t="shared" si="109"/>
        <v>-5.0680203241450505E-3</v>
      </c>
      <c r="Q420" s="5">
        <f t="shared" si="110"/>
        <v>234.92422268132017</v>
      </c>
      <c r="R420" s="6">
        <f t="shared" si="111"/>
        <v>325.32961287887684</v>
      </c>
      <c r="T420" s="11">
        <f t="shared" si="103"/>
        <v>0.72211140142592734</v>
      </c>
      <c r="V420" s="9">
        <v>41621</v>
      </c>
      <c r="W420">
        <v>9075</v>
      </c>
      <c r="X420">
        <v>13731.9665</v>
      </c>
      <c r="Y420" t="s">
        <v>33</v>
      </c>
      <c r="AC420" s="24">
        <f t="shared" si="112"/>
        <v>-1.0809014344712788E-3</v>
      </c>
      <c r="AE420" s="5">
        <f t="shared" si="113"/>
        <v>202.75692918568026</v>
      </c>
      <c r="AF420" s="6">
        <f t="shared" si="114"/>
        <v>325.32961287887684</v>
      </c>
      <c r="AH420" s="1">
        <f t="shared" si="104"/>
        <v>41621</v>
      </c>
      <c r="AI420">
        <f t="shared" si="108"/>
        <v>0.62323539314931187</v>
      </c>
      <c r="AJ420">
        <f t="shared" ca="1" si="98"/>
        <v>0.60286626106432362</v>
      </c>
      <c r="AK420">
        <f t="shared" ca="1" si="99"/>
        <v>0.61862847192060944</v>
      </c>
      <c r="AL420">
        <f t="shared" ca="1" si="100"/>
        <v>0.64130092268380912</v>
      </c>
      <c r="AM420">
        <f t="shared" ca="1" si="101"/>
        <v>0.70827453232764204</v>
      </c>
      <c r="AN420">
        <f t="shared" ca="1" si="102"/>
        <v>0.72200053372116546</v>
      </c>
      <c r="AP420" s="40"/>
      <c r="AQ420" s="41"/>
    </row>
    <row r="421" spans="2:43" x14ac:dyDescent="0.25">
      <c r="B421" s="1">
        <v>41628</v>
      </c>
      <c r="C421">
        <v>2.3530000000000002</v>
      </c>
      <c r="D421">
        <v>1.8320000000000001</v>
      </c>
      <c r="E421" t="s">
        <v>33</v>
      </c>
      <c r="G421">
        <v>5264.78</v>
      </c>
      <c r="I421" s="14">
        <f t="shared" si="105"/>
        <v>4.6708185053380813E-2</v>
      </c>
      <c r="J421" s="15">
        <f t="shared" si="106"/>
        <v>3.2858707557503752E-3</v>
      </c>
      <c r="K421" s="15"/>
      <c r="L421" s="15"/>
      <c r="M421" s="16">
        <f t="shared" si="107"/>
        <v>1.2380497768276211E-3</v>
      </c>
      <c r="O421" s="13">
        <f t="shared" si="109"/>
        <v>2.4997027904565594E-2</v>
      </c>
      <c r="Q421" s="5">
        <f t="shared" si="110"/>
        <v>240.79663003114354</v>
      </c>
      <c r="R421" s="6">
        <f t="shared" si="111"/>
        <v>325.73238713349696</v>
      </c>
      <c r="T421" s="11">
        <f t="shared" si="103"/>
        <v>0.7392468159221034</v>
      </c>
      <c r="V421" s="9">
        <v>41628</v>
      </c>
      <c r="W421">
        <v>9500</v>
      </c>
      <c r="X421">
        <v>13777.1374</v>
      </c>
      <c r="Y421" t="s">
        <v>33</v>
      </c>
      <c r="AC421" s="24">
        <f t="shared" si="112"/>
        <v>2.0563815293047617E-2</v>
      </c>
      <c r="AE421" s="5">
        <f t="shared" si="113"/>
        <v>206.92638522684013</v>
      </c>
      <c r="AF421" s="6">
        <f t="shared" si="114"/>
        <v>325.73238713349696</v>
      </c>
      <c r="AH421" s="1">
        <f t="shared" si="104"/>
        <v>41628</v>
      </c>
      <c r="AI421">
        <f t="shared" si="108"/>
        <v>0.63526500096545258</v>
      </c>
      <c r="AJ421">
        <f t="shared" ca="1" si="98"/>
        <v>0.60286626106432362</v>
      </c>
      <c r="AK421">
        <f t="shared" ca="1" si="99"/>
        <v>0.61972392957560885</v>
      </c>
      <c r="AL421">
        <f t="shared" ca="1" si="100"/>
        <v>0.64130092268380912</v>
      </c>
      <c r="AM421">
        <f t="shared" ca="1" si="101"/>
        <v>0.70827453232764204</v>
      </c>
      <c r="AN421">
        <f t="shared" ca="1" si="102"/>
        <v>0.72200053372116546</v>
      </c>
      <c r="AP421" s="40"/>
      <c r="AQ421" s="41"/>
    </row>
    <row r="422" spans="2:43" x14ac:dyDescent="0.25">
      <c r="B422" s="1">
        <v>41635</v>
      </c>
      <c r="C422">
        <v>2.31</v>
      </c>
      <c r="D422">
        <v>1.8380000000000001</v>
      </c>
      <c r="E422" t="s">
        <v>33</v>
      </c>
      <c r="G422">
        <v>5400.16</v>
      </c>
      <c r="I422" s="14">
        <f t="shared" si="105"/>
        <v>-1.8274543136421628E-2</v>
      </c>
      <c r="J422" s="15">
        <f t="shared" si="106"/>
        <v>3.2751091703056012E-3</v>
      </c>
      <c r="K422" s="15"/>
      <c r="L422" s="15"/>
      <c r="M422" s="16">
        <f t="shared" si="107"/>
        <v>2.571427486048794E-2</v>
      </c>
      <c r="O422" s="13">
        <f t="shared" si="109"/>
        <v>-7.4997169830580135E-3</v>
      </c>
      <c r="Q422" s="5">
        <f t="shared" si="110"/>
        <v>238.99072345543584</v>
      </c>
      <c r="R422" s="6">
        <f t="shared" si="111"/>
        <v>334.10835926721057</v>
      </c>
      <c r="T422" s="11">
        <f t="shared" si="103"/>
        <v>0.71530902123971618</v>
      </c>
      <c r="V422" s="9">
        <v>41635</v>
      </c>
      <c r="W422">
        <v>9325</v>
      </c>
      <c r="X422">
        <v>13822.3084</v>
      </c>
      <c r="Y422" t="s">
        <v>33</v>
      </c>
      <c r="AC422" s="24">
        <f t="shared" si="112"/>
        <v>-5.5198596179917387E-3</v>
      </c>
      <c r="AE422" s="5">
        <f t="shared" si="113"/>
        <v>205.78418062912948</v>
      </c>
      <c r="AF422" s="6">
        <f t="shared" si="114"/>
        <v>334.10835926721057</v>
      </c>
      <c r="AH422" s="1">
        <f t="shared" si="104"/>
        <v>41635</v>
      </c>
      <c r="AI422">
        <f t="shared" si="108"/>
        <v>0.61592047885443357</v>
      </c>
      <c r="AJ422">
        <f t="shared" ca="1" si="98"/>
        <v>0.60286626106432362</v>
      </c>
      <c r="AK422">
        <f t="shared" ca="1" si="99"/>
        <v>0.61972392957560885</v>
      </c>
      <c r="AL422">
        <f t="shared" ca="1" si="100"/>
        <v>0.64130092268380912</v>
      </c>
      <c r="AM422">
        <f t="shared" ca="1" si="101"/>
        <v>0.70827453232764204</v>
      </c>
      <c r="AN422">
        <f t="shared" ca="1" si="102"/>
        <v>0.72200053372116546</v>
      </c>
      <c r="AP422" s="40"/>
      <c r="AQ422" s="41"/>
    </row>
    <row r="423" spans="2:43" x14ac:dyDescent="0.25">
      <c r="B423" s="1">
        <v>41642</v>
      </c>
      <c r="C423">
        <v>2.2480000000000002</v>
      </c>
      <c r="D423">
        <v>1.79</v>
      </c>
      <c r="E423" t="s">
        <v>33</v>
      </c>
      <c r="G423">
        <v>5382.05</v>
      </c>
      <c r="I423" s="14">
        <f t="shared" si="105"/>
        <v>-2.6839826839826775E-2</v>
      </c>
      <c r="J423" s="15">
        <f t="shared" si="106"/>
        <v>-2.6115342763873839E-2</v>
      </c>
      <c r="K423" s="15"/>
      <c r="L423" s="15"/>
      <c r="M423" s="16">
        <f t="shared" si="107"/>
        <v>-3.3536043376491964E-3</v>
      </c>
      <c r="O423" s="13">
        <f t="shared" si="109"/>
        <v>-2.6477584801850307E-2</v>
      </c>
      <c r="Q423" s="5">
        <f t="shared" si="110"/>
        <v>232.66282630828897</v>
      </c>
      <c r="R423" s="6">
        <f t="shared" si="111"/>
        <v>332.98789202432721</v>
      </c>
      <c r="T423" s="11">
        <f t="shared" si="103"/>
        <v>0.69871257148080101</v>
      </c>
      <c r="V423" s="9">
        <v>41642</v>
      </c>
      <c r="W423">
        <v>9075</v>
      </c>
      <c r="X423">
        <v>13460.9408</v>
      </c>
      <c r="Y423" t="s">
        <v>33</v>
      </c>
      <c r="AC423" s="24">
        <f t="shared" si="112"/>
        <v>-2.6407204516934558E-2</v>
      </c>
      <c r="AE423" s="5">
        <f t="shared" si="113"/>
        <v>200.34999568490625</v>
      </c>
      <c r="AF423" s="6">
        <f t="shared" si="114"/>
        <v>332.98789202432721</v>
      </c>
      <c r="AH423" s="1">
        <f t="shared" si="104"/>
        <v>41642</v>
      </c>
      <c r="AI423">
        <f t="shared" si="108"/>
        <v>0.60167351571530769</v>
      </c>
      <c r="AJ423">
        <f t="shared" ca="1" si="98"/>
        <v>0.60286626106432362</v>
      </c>
      <c r="AK423">
        <f t="shared" ca="1" si="99"/>
        <v>0.61849945047968413</v>
      </c>
      <c r="AL423">
        <f t="shared" ca="1" si="100"/>
        <v>0.64130092268380912</v>
      </c>
      <c r="AM423">
        <f t="shared" ca="1" si="101"/>
        <v>0.70827453232764204</v>
      </c>
      <c r="AN423">
        <f t="shared" ca="1" si="102"/>
        <v>0.72200053372116546</v>
      </c>
      <c r="AP423" s="40"/>
      <c r="AQ423" s="41"/>
    </row>
    <row r="424" spans="2:43" x14ac:dyDescent="0.25">
      <c r="B424" s="1">
        <v>41649</v>
      </c>
      <c r="C424">
        <v>2.1549999999999998</v>
      </c>
      <c r="D424">
        <v>1.766</v>
      </c>
      <c r="E424" t="s">
        <v>33</v>
      </c>
      <c r="G424">
        <v>5490.88</v>
      </c>
      <c r="I424" s="14">
        <f t="shared" si="105"/>
        <v>-4.137010676156605E-2</v>
      </c>
      <c r="J424" s="15">
        <f t="shared" si="106"/>
        <v>-1.3407821229050265E-2</v>
      </c>
      <c r="K424" s="15"/>
      <c r="L424" s="15"/>
      <c r="M424" s="16">
        <f t="shared" si="107"/>
        <v>2.022091953809424E-2</v>
      </c>
      <c r="O424" s="13">
        <f t="shared" si="109"/>
        <v>-2.7388963995308158E-2</v>
      </c>
      <c r="Q424" s="5">
        <f t="shared" si="110"/>
        <v>226.2904325354846</v>
      </c>
      <c r="R424" s="6">
        <f t="shared" si="111"/>
        <v>339.72121339611073</v>
      </c>
      <c r="T424" s="11">
        <f t="shared" si="103"/>
        <v>0.66610627659460508</v>
      </c>
      <c r="V424" s="9">
        <v>41649</v>
      </c>
      <c r="W424">
        <v>8700</v>
      </c>
      <c r="X424">
        <v>13280.257100000001</v>
      </c>
      <c r="Y424" t="s">
        <v>33</v>
      </c>
      <c r="AC424" s="24">
        <f t="shared" si="112"/>
        <v>-2.466795647077848E-2</v>
      </c>
      <c r="AE424" s="5">
        <f t="shared" si="113"/>
        <v>195.40777071243033</v>
      </c>
      <c r="AF424" s="6">
        <f t="shared" si="114"/>
        <v>339.72121339611073</v>
      </c>
      <c r="AH424" s="1">
        <f t="shared" si="104"/>
        <v>41649</v>
      </c>
      <c r="AI424">
        <f t="shared" si="108"/>
        <v>0.57520037903722931</v>
      </c>
      <c r="AJ424">
        <f t="shared" ca="1" si="98"/>
        <v>0.60172742726049855</v>
      </c>
      <c r="AK424">
        <f t="shared" ca="1" si="99"/>
        <v>0.61578174756036419</v>
      </c>
      <c r="AL424">
        <f t="shared" ca="1" si="100"/>
        <v>0.6386883476010804</v>
      </c>
      <c r="AM424">
        <f t="shared" ca="1" si="101"/>
        <v>0.70827453232764204</v>
      </c>
      <c r="AN424">
        <f t="shared" ca="1" si="102"/>
        <v>0.72200053372116546</v>
      </c>
      <c r="AP424" s="40"/>
      <c r="AQ424" s="41"/>
    </row>
    <row r="425" spans="2:43" x14ac:dyDescent="0.25">
      <c r="B425" s="1">
        <v>41656</v>
      </c>
      <c r="C425">
        <v>2.3530000000000002</v>
      </c>
      <c r="D425">
        <v>1.8620000000000001</v>
      </c>
      <c r="E425" t="s">
        <v>33</v>
      </c>
      <c r="G425">
        <v>5858.77</v>
      </c>
      <c r="I425" s="14">
        <f t="shared" si="105"/>
        <v>9.1879350348027966E-2</v>
      </c>
      <c r="J425" s="15">
        <f t="shared" si="106"/>
        <v>5.4360135900339834E-2</v>
      </c>
      <c r="K425" s="15"/>
      <c r="L425" s="15"/>
      <c r="M425" s="16">
        <f t="shared" si="107"/>
        <v>6.7000189404976984E-2</v>
      </c>
      <c r="O425" s="13">
        <f t="shared" si="109"/>
        <v>7.31197431241839E-2</v>
      </c>
      <c r="Q425" s="5">
        <f t="shared" si="110"/>
        <v>242.8367308339397</v>
      </c>
      <c r="R425" s="6">
        <f t="shared" si="111"/>
        <v>362.48259903853875</v>
      </c>
      <c r="T425" s="11">
        <f t="shared" si="103"/>
        <v>0.66992658813981176</v>
      </c>
      <c r="V425" s="9">
        <v>41656</v>
      </c>
      <c r="W425">
        <v>9500</v>
      </c>
      <c r="X425">
        <v>14002.992099999999</v>
      </c>
      <c r="Y425" t="s">
        <v>33</v>
      </c>
      <c r="AC425" s="24">
        <f t="shared" si="112"/>
        <v>6.9210606675537759E-2</v>
      </c>
      <c r="AE425" s="5">
        <f t="shared" si="113"/>
        <v>208.93206107255202</v>
      </c>
      <c r="AF425" s="6">
        <f t="shared" si="114"/>
        <v>362.48259903853875</v>
      </c>
      <c r="AH425" s="1">
        <f t="shared" si="104"/>
        <v>41656</v>
      </c>
      <c r="AI425">
        <f t="shared" si="108"/>
        <v>0.57639197475059656</v>
      </c>
      <c r="AJ425">
        <f t="shared" ca="1" si="98"/>
        <v>0.60132412206061481</v>
      </c>
      <c r="AK425">
        <f t="shared" ca="1" si="99"/>
        <v>0.61533792392060105</v>
      </c>
      <c r="AL425">
        <f t="shared" ca="1" si="100"/>
        <v>0.6386883476010804</v>
      </c>
      <c r="AM425">
        <f t="shared" ca="1" si="101"/>
        <v>0.70827453232764204</v>
      </c>
      <c r="AN425">
        <f t="shared" ca="1" si="102"/>
        <v>0.72200053372116546</v>
      </c>
      <c r="AP425" s="40"/>
      <c r="AQ425" s="41"/>
    </row>
    <row r="426" spans="2:43" x14ac:dyDescent="0.25">
      <c r="B426" s="1">
        <v>41663</v>
      </c>
      <c r="C426">
        <v>2.694</v>
      </c>
      <c r="D426">
        <v>2.1019999999999999</v>
      </c>
      <c r="E426" t="s">
        <v>33</v>
      </c>
      <c r="G426">
        <v>5545.21</v>
      </c>
      <c r="I426" s="14">
        <f t="shared" si="105"/>
        <v>0.14492137696557572</v>
      </c>
      <c r="J426" s="15">
        <f t="shared" si="106"/>
        <v>0.12889366272824909</v>
      </c>
      <c r="K426" s="15"/>
      <c r="L426" s="15"/>
      <c r="M426" s="16">
        <f t="shared" si="107"/>
        <v>-5.3519766094248467E-2</v>
      </c>
      <c r="O426" s="13">
        <f t="shared" si="109"/>
        <v>0.13690751984691241</v>
      </c>
      <c r="Q426" s="5">
        <f t="shared" si="110"/>
        <v>276.08290538014666</v>
      </c>
      <c r="R426" s="6">
        <f t="shared" si="111"/>
        <v>343.08261512476088</v>
      </c>
      <c r="T426" s="11">
        <f t="shared" si="103"/>
        <v>0.80471260626176</v>
      </c>
      <c r="V426" s="9">
        <v>41663</v>
      </c>
      <c r="W426">
        <v>10875</v>
      </c>
      <c r="X426">
        <v>15809.8298</v>
      </c>
      <c r="Y426" t="s">
        <v>33</v>
      </c>
      <c r="AC426" s="24">
        <f t="shared" si="112"/>
        <v>0.13537212660241271</v>
      </c>
      <c r="AE426" s="5">
        <f t="shared" si="113"/>
        <v>237.21563849536858</v>
      </c>
      <c r="AF426" s="6">
        <f t="shared" si="114"/>
        <v>343.08261512476088</v>
      </c>
      <c r="AH426" s="1">
        <f t="shared" si="104"/>
        <v>41663</v>
      </c>
      <c r="AI426">
        <f t="shared" si="108"/>
        <v>0.69142424604961661</v>
      </c>
      <c r="AJ426">
        <f t="shared" ca="1" si="98"/>
        <v>0.60093478924091426</v>
      </c>
      <c r="AK426">
        <f t="shared" ca="1" si="99"/>
        <v>0.61507368721270439</v>
      </c>
      <c r="AL426">
        <f t="shared" ca="1" si="100"/>
        <v>0.6386883476010804</v>
      </c>
      <c r="AM426">
        <f t="shared" ca="1" si="101"/>
        <v>0.70827453232764204</v>
      </c>
      <c r="AN426">
        <f t="shared" ca="1" si="102"/>
        <v>0.72200053372116546</v>
      </c>
      <c r="AP426" s="40"/>
      <c r="AQ426" s="41"/>
    </row>
    <row r="427" spans="2:43" x14ac:dyDescent="0.25">
      <c r="B427" s="1">
        <v>41670</v>
      </c>
      <c r="C427">
        <v>2.9289999999999998</v>
      </c>
      <c r="D427">
        <v>2.319</v>
      </c>
      <c r="E427" t="s">
        <v>33</v>
      </c>
      <c r="G427">
        <v>6018.65</v>
      </c>
      <c r="I427" s="14">
        <f t="shared" si="105"/>
        <v>8.7230883444691765E-2</v>
      </c>
      <c r="J427" s="15">
        <f t="shared" si="106"/>
        <v>0.10323501427212189</v>
      </c>
      <c r="K427" s="15"/>
      <c r="L427" s="15"/>
      <c r="M427" s="16">
        <f t="shared" si="107"/>
        <v>8.537819126777868E-2</v>
      </c>
      <c r="O427" s="13">
        <f t="shared" si="109"/>
        <v>9.523294885840683E-2</v>
      </c>
      <c r="Q427" s="5">
        <f t="shared" si="110"/>
        <v>302.37509458889451</v>
      </c>
      <c r="R427" s="6">
        <f t="shared" si="111"/>
        <v>372.3743882595324</v>
      </c>
      <c r="T427" s="11">
        <f t="shared" si="103"/>
        <v>0.81201904352817433</v>
      </c>
      <c r="V427" s="9">
        <v>41670</v>
      </c>
      <c r="W427">
        <v>11825</v>
      </c>
      <c r="X427">
        <v>17435.983800000002</v>
      </c>
      <c r="Y427" t="s">
        <v>33</v>
      </c>
      <c r="AC427" s="24">
        <f t="shared" si="112"/>
        <v>9.6712772082355222E-2</v>
      </c>
      <c r="AE427" s="5">
        <f t="shared" si="113"/>
        <v>260.15742047554153</v>
      </c>
      <c r="AF427" s="6">
        <f t="shared" si="114"/>
        <v>372.3743882595324</v>
      </c>
      <c r="AH427" s="1">
        <f t="shared" si="104"/>
        <v>41670</v>
      </c>
      <c r="AI427">
        <f t="shared" si="108"/>
        <v>0.69864477439361528</v>
      </c>
      <c r="AJ427">
        <f t="shared" ca="1" si="98"/>
        <v>0.60093478924091426</v>
      </c>
      <c r="AK427">
        <f t="shared" ca="1" si="99"/>
        <v>0.61507368721270439</v>
      </c>
      <c r="AL427">
        <f t="shared" ca="1" si="100"/>
        <v>0.64136608700567699</v>
      </c>
      <c r="AM427">
        <f t="shared" ca="1" si="101"/>
        <v>0.70827453232764204</v>
      </c>
      <c r="AN427">
        <f t="shared" ca="1" si="102"/>
        <v>0.72200053372116546</v>
      </c>
      <c r="AP427" s="40"/>
      <c r="AQ427" s="41"/>
    </row>
    <row r="428" spans="2:43" x14ac:dyDescent="0.25">
      <c r="B428" s="1">
        <v>41677</v>
      </c>
      <c r="C428">
        <v>2.5760000000000001</v>
      </c>
      <c r="D428">
        <v>2.1019999999999999</v>
      </c>
      <c r="E428" t="s">
        <v>33</v>
      </c>
      <c r="G428">
        <v>5585</v>
      </c>
      <c r="I428" s="14">
        <f t="shared" si="105"/>
        <v>-0.12051894844656874</v>
      </c>
      <c r="J428" s="15">
        <f t="shared" si="106"/>
        <v>-9.3574816731349708E-2</v>
      </c>
      <c r="K428" s="15"/>
      <c r="L428" s="15"/>
      <c r="M428" s="16">
        <f t="shared" si="107"/>
        <v>-7.2051041346481326E-2</v>
      </c>
      <c r="O428" s="13">
        <f t="shared" si="109"/>
        <v>-0.10704688258895922</v>
      </c>
      <c r="Q428" s="5">
        <f t="shared" si="110"/>
        <v>270.00678334061166</v>
      </c>
      <c r="R428" s="6">
        <f t="shared" si="111"/>
        <v>345.54442581467413</v>
      </c>
      <c r="T428" s="11">
        <f t="shared" si="103"/>
        <v>0.78139527993840197</v>
      </c>
      <c r="V428" s="9">
        <v>41677</v>
      </c>
      <c r="W428">
        <v>10400</v>
      </c>
      <c r="X428">
        <v>15809.8298</v>
      </c>
      <c r="Y428" t="s">
        <v>33</v>
      </c>
      <c r="AC428" s="24">
        <f t="shared" si="112"/>
        <v>-0.10446352641077153</v>
      </c>
      <c r="AE428" s="5">
        <f t="shared" si="113"/>
        <v>232.98045891073662</v>
      </c>
      <c r="AF428" s="6">
        <f t="shared" si="114"/>
        <v>345.54442581467413</v>
      </c>
      <c r="AH428" s="1">
        <f t="shared" si="104"/>
        <v>41677</v>
      </c>
      <c r="AI428">
        <f t="shared" si="108"/>
        <v>0.67424169370247933</v>
      </c>
      <c r="AJ428">
        <f t="shared" ca="1" si="98"/>
        <v>0.60093478924091426</v>
      </c>
      <c r="AK428">
        <f t="shared" ca="1" si="99"/>
        <v>0.61507368721270439</v>
      </c>
      <c r="AL428">
        <f t="shared" ca="1" si="100"/>
        <v>0.64170653858849358</v>
      </c>
      <c r="AM428">
        <f t="shared" ca="1" si="101"/>
        <v>0.70827453232764204</v>
      </c>
      <c r="AN428">
        <f t="shared" ca="1" si="102"/>
        <v>0.72200053372116546</v>
      </c>
      <c r="AP428" s="40"/>
      <c r="AQ428" s="41"/>
    </row>
    <row r="429" spans="2:43" x14ac:dyDescent="0.25">
      <c r="B429" s="1">
        <v>41684</v>
      </c>
      <c r="C429">
        <v>2.7</v>
      </c>
      <c r="D429">
        <v>2.2170000000000001</v>
      </c>
      <c r="E429" t="s">
        <v>33</v>
      </c>
      <c r="G429">
        <v>6070.6</v>
      </c>
      <c r="I429" s="14">
        <f t="shared" si="105"/>
        <v>4.8136645962733038E-2</v>
      </c>
      <c r="J429" s="15">
        <f t="shared" si="106"/>
        <v>5.4709800190295033E-2</v>
      </c>
      <c r="K429" s="15"/>
      <c r="L429" s="15"/>
      <c r="M429" s="16">
        <f t="shared" si="107"/>
        <v>8.6947179946284647E-2</v>
      </c>
      <c r="O429" s="13">
        <f t="shared" si="109"/>
        <v>5.1423223076514035E-2</v>
      </c>
      <c r="Q429" s="5">
        <f t="shared" si="110"/>
        <v>283.89140239250787</v>
      </c>
      <c r="R429" s="6">
        <f t="shared" si="111"/>
        <v>375.5885391854182</v>
      </c>
      <c r="T429" s="11">
        <f t="shared" si="103"/>
        <v>0.75585746841002022</v>
      </c>
      <c r="V429" s="9">
        <v>41684</v>
      </c>
      <c r="W429">
        <v>10900</v>
      </c>
      <c r="X429">
        <v>16668.077700000002</v>
      </c>
      <c r="Y429" t="s">
        <v>33</v>
      </c>
      <c r="AC429" s="24">
        <f t="shared" si="112"/>
        <v>5.2101587756704759E-2</v>
      </c>
      <c r="AE429" s="5">
        <f t="shared" si="113"/>
        <v>245.11911073627172</v>
      </c>
      <c r="AF429" s="6">
        <f t="shared" si="114"/>
        <v>375.5885391854182</v>
      </c>
      <c r="AH429" s="1">
        <f t="shared" si="104"/>
        <v>41684</v>
      </c>
      <c r="AI429">
        <f t="shared" si="108"/>
        <v>0.65262670492526087</v>
      </c>
      <c r="AJ429">
        <f t="shared" ca="1" si="98"/>
        <v>0.60093478924091426</v>
      </c>
      <c r="AK429">
        <f t="shared" ca="1" si="99"/>
        <v>0.61533792392060105</v>
      </c>
      <c r="AL429">
        <f t="shared" ca="1" si="100"/>
        <v>0.64667577844146762</v>
      </c>
      <c r="AM429">
        <f t="shared" ca="1" si="101"/>
        <v>0.70827453232764204</v>
      </c>
      <c r="AN429">
        <f t="shared" ca="1" si="102"/>
        <v>0.72200053372116546</v>
      </c>
      <c r="AP429" s="40"/>
      <c r="AQ429" s="41"/>
    </row>
    <row r="430" spans="2:43" x14ac:dyDescent="0.25">
      <c r="B430" s="1">
        <v>41691</v>
      </c>
      <c r="C430">
        <v>2.601</v>
      </c>
      <c r="D430">
        <v>2.169</v>
      </c>
      <c r="E430" t="s">
        <v>33</v>
      </c>
      <c r="G430">
        <v>5914.82</v>
      </c>
      <c r="I430" s="14">
        <f t="shared" si="105"/>
        <v>-3.6666666666666736E-2</v>
      </c>
      <c r="J430" s="15">
        <f t="shared" si="106"/>
        <v>-2.1650879566982417E-2</v>
      </c>
      <c r="K430" s="15"/>
      <c r="L430" s="15"/>
      <c r="M430" s="16">
        <f t="shared" si="107"/>
        <v>-2.5661384377162144E-2</v>
      </c>
      <c r="O430" s="13">
        <f t="shared" si="109"/>
        <v>-2.9158773116824577E-2</v>
      </c>
      <c r="Q430" s="5">
        <f t="shared" si="110"/>
        <v>275.61347740032761</v>
      </c>
      <c r="R430" s="6">
        <f t="shared" si="111"/>
        <v>365.95041731372436</v>
      </c>
      <c r="T430" s="11">
        <f t="shared" si="103"/>
        <v>0.75314431781081392</v>
      </c>
      <c r="V430" s="9">
        <v>41691</v>
      </c>
      <c r="W430">
        <v>10500</v>
      </c>
      <c r="X430">
        <v>16306.7102</v>
      </c>
      <c r="Y430" t="s">
        <v>33</v>
      </c>
      <c r="AC430" s="24">
        <f t="shared" si="112"/>
        <v>-2.7587894152027611E-2</v>
      </c>
      <c r="AE430" s="5">
        <f t="shared" si="113"/>
        <v>238.35679065464035</v>
      </c>
      <c r="AF430" s="6">
        <f t="shared" si="114"/>
        <v>365.95041731372436</v>
      </c>
      <c r="AH430" s="1">
        <f t="shared" si="104"/>
        <v>41691</v>
      </c>
      <c r="AI430">
        <f t="shared" si="108"/>
        <v>0.6513362996121419</v>
      </c>
      <c r="AJ430">
        <f t="shared" ca="1" si="98"/>
        <v>0.60093478924091426</v>
      </c>
      <c r="AK430">
        <f t="shared" ca="1" si="99"/>
        <v>0.61533792392060105</v>
      </c>
      <c r="AL430">
        <f t="shared" ca="1" si="100"/>
        <v>0.64669069741836072</v>
      </c>
      <c r="AM430">
        <f t="shared" ca="1" si="101"/>
        <v>0.70827453232764204</v>
      </c>
      <c r="AN430">
        <f t="shared" ca="1" si="102"/>
        <v>0.72200053372116546</v>
      </c>
      <c r="AP430" s="40"/>
      <c r="AQ430" s="41"/>
    </row>
    <row r="431" spans="2:43" x14ac:dyDescent="0.25">
      <c r="B431" s="1">
        <v>41698</v>
      </c>
      <c r="C431">
        <v>2.4460000000000002</v>
      </c>
      <c r="D431">
        <v>2.09</v>
      </c>
      <c r="E431" t="s">
        <v>33</v>
      </c>
      <c r="G431">
        <v>5784.39</v>
      </c>
      <c r="I431" s="14">
        <f t="shared" si="105"/>
        <v>-5.9592464436755033E-2</v>
      </c>
      <c r="J431" s="15">
        <f t="shared" si="106"/>
        <v>-3.6422314430613278E-2</v>
      </c>
      <c r="K431" s="15"/>
      <c r="L431" s="15"/>
      <c r="M431" s="16">
        <f t="shared" si="107"/>
        <v>-2.2051389560459933E-2</v>
      </c>
      <c r="O431" s="13">
        <f t="shared" si="109"/>
        <v>-4.8007389433684156E-2</v>
      </c>
      <c r="Q431" s="5">
        <f t="shared" si="110"/>
        <v>262.38199385759822</v>
      </c>
      <c r="R431" s="6">
        <f t="shared" si="111"/>
        <v>357.88070210172651</v>
      </c>
      <c r="T431" s="11">
        <f t="shared" si="103"/>
        <v>0.73315490976939268</v>
      </c>
      <c r="V431" s="9">
        <v>41698</v>
      </c>
      <c r="W431">
        <v>9875</v>
      </c>
      <c r="X431">
        <v>15719.4879</v>
      </c>
      <c r="Y431" t="s">
        <v>33</v>
      </c>
      <c r="AC431" s="24">
        <f t="shared" si="112"/>
        <v>-4.5497899358766393E-2</v>
      </c>
      <c r="AE431" s="5">
        <f t="shared" si="113"/>
        <v>227.51205738195699</v>
      </c>
      <c r="AF431" s="6">
        <f t="shared" si="114"/>
        <v>357.88070210172651</v>
      </c>
      <c r="AH431" s="1">
        <f t="shared" si="104"/>
        <v>41698</v>
      </c>
      <c r="AI431">
        <f t="shared" si="108"/>
        <v>0.63572038404375142</v>
      </c>
      <c r="AJ431">
        <f t="shared" ca="1" si="98"/>
        <v>0.60093478924091426</v>
      </c>
      <c r="AK431">
        <f t="shared" ca="1" si="99"/>
        <v>0.61533792392060105</v>
      </c>
      <c r="AL431">
        <f t="shared" ca="1" si="100"/>
        <v>0.64657508012444653</v>
      </c>
      <c r="AM431">
        <f t="shared" ca="1" si="101"/>
        <v>0.70827453232764204</v>
      </c>
      <c r="AN431">
        <f t="shared" ca="1" si="102"/>
        <v>0.72200053372116546</v>
      </c>
      <c r="AP431" s="40"/>
      <c r="AQ431" s="41"/>
    </row>
    <row r="432" spans="2:43" x14ac:dyDescent="0.25">
      <c r="B432" s="1">
        <v>41705</v>
      </c>
      <c r="C432">
        <v>2.4279999999999999</v>
      </c>
      <c r="D432">
        <v>2.048</v>
      </c>
      <c r="E432" t="s">
        <v>33</v>
      </c>
      <c r="G432">
        <v>5880.84</v>
      </c>
      <c r="I432" s="14">
        <f t="shared" si="105"/>
        <v>-7.3589533932952866E-3</v>
      </c>
      <c r="J432" s="15">
        <f t="shared" si="106"/>
        <v>-2.0095693779904167E-2</v>
      </c>
      <c r="K432" s="15"/>
      <c r="L432" s="15"/>
      <c r="M432" s="16">
        <f t="shared" si="107"/>
        <v>1.6674186906484589E-2</v>
      </c>
      <c r="O432" s="13">
        <f t="shared" si="109"/>
        <v>-1.3727323586599727E-2</v>
      </c>
      <c r="Q432" s="5">
        <f t="shared" si="110"/>
        <v>258.7801913246177</v>
      </c>
      <c r="R432" s="6">
        <f t="shared" si="111"/>
        <v>363.84807181879461</v>
      </c>
      <c r="T432" s="11">
        <f t="shared" si="103"/>
        <v>0.71123144896998847</v>
      </c>
      <c r="V432" s="9">
        <v>41705</v>
      </c>
      <c r="W432">
        <v>9800</v>
      </c>
      <c r="X432">
        <v>15403.2914</v>
      </c>
      <c r="Y432" t="s">
        <v>33</v>
      </c>
      <c r="AC432" s="24">
        <f t="shared" si="112"/>
        <v>-1.5181537583102013E-2</v>
      </c>
      <c r="AE432" s="5">
        <f t="shared" si="113"/>
        <v>224.05807453220393</v>
      </c>
      <c r="AF432" s="6">
        <f t="shared" si="114"/>
        <v>363.84807181879461</v>
      </c>
      <c r="AH432" s="1">
        <f t="shared" si="104"/>
        <v>41705</v>
      </c>
      <c r="AI432">
        <f t="shared" si="108"/>
        <v>0.61580118705092501</v>
      </c>
      <c r="AJ432">
        <f t="shared" ca="1" si="98"/>
        <v>0.60093478924091426</v>
      </c>
      <c r="AK432">
        <f t="shared" ca="1" si="99"/>
        <v>0.61533792392060105</v>
      </c>
      <c r="AL432">
        <f t="shared" ca="1" si="100"/>
        <v>0.64657508012444653</v>
      </c>
      <c r="AM432">
        <f t="shared" ca="1" si="101"/>
        <v>0.70827453232764204</v>
      </c>
      <c r="AN432">
        <f t="shared" ca="1" si="102"/>
        <v>0.72200053372116546</v>
      </c>
      <c r="AP432" s="40"/>
      <c r="AQ432" s="41"/>
    </row>
    <row r="433" spans="2:43" x14ac:dyDescent="0.25">
      <c r="B433" s="1">
        <v>41712</v>
      </c>
      <c r="C433">
        <v>2.3660000000000001</v>
      </c>
      <c r="D433">
        <v>2.0539999999999998</v>
      </c>
      <c r="E433" t="s">
        <v>33</v>
      </c>
      <c r="G433">
        <v>5747.12</v>
      </c>
      <c r="I433" s="14">
        <f t="shared" si="105"/>
        <v>-2.5535420098846684E-2</v>
      </c>
      <c r="J433" s="15">
        <f t="shared" si="106"/>
        <v>2.9296875E-3</v>
      </c>
      <c r="K433" s="15"/>
      <c r="L433" s="15"/>
      <c r="M433" s="16">
        <f t="shared" si="107"/>
        <v>-2.2738248277456963E-2</v>
      </c>
      <c r="O433" s="13">
        <f t="shared" si="109"/>
        <v>-1.1302866299423342E-2</v>
      </c>
      <c r="Q433" s="5">
        <f t="shared" si="110"/>
        <v>255.85523342113635</v>
      </c>
      <c r="R433" s="6">
        <f t="shared" si="111"/>
        <v>355.57480402650486</v>
      </c>
      <c r="T433" s="11">
        <f t="shared" si="103"/>
        <v>0.71955388999402969</v>
      </c>
      <c r="V433" s="9">
        <v>41712</v>
      </c>
      <c r="W433">
        <v>9550</v>
      </c>
      <c r="X433">
        <v>15448.462299999999</v>
      </c>
      <c r="Y433" t="s">
        <v>33</v>
      </c>
      <c r="AC433" s="24">
        <f t="shared" si="112"/>
        <v>-8.1386309208510751E-3</v>
      </c>
      <c r="AE433" s="5">
        <f t="shared" si="113"/>
        <v>222.23454855874976</v>
      </c>
      <c r="AF433" s="6">
        <f t="shared" si="114"/>
        <v>355.57480402650486</v>
      </c>
      <c r="AH433" s="1">
        <f t="shared" si="104"/>
        <v>41712</v>
      </c>
      <c r="AI433">
        <f t="shared" si="108"/>
        <v>0.62500083257357064</v>
      </c>
      <c r="AJ433">
        <f t="shared" ca="1" si="98"/>
        <v>0.60093478924091426</v>
      </c>
      <c r="AK433">
        <f t="shared" ca="1" si="99"/>
        <v>0.6156922787077328</v>
      </c>
      <c r="AL433">
        <f t="shared" ca="1" si="100"/>
        <v>0.64657508012444653</v>
      </c>
      <c r="AM433">
        <f t="shared" ca="1" si="101"/>
        <v>0.70827453232764204</v>
      </c>
      <c r="AN433">
        <f t="shared" ca="1" si="102"/>
        <v>0.72200053372116546</v>
      </c>
      <c r="AP433" s="40"/>
      <c r="AQ433" s="41"/>
    </row>
    <row r="434" spans="2:43" x14ac:dyDescent="0.25">
      <c r="B434" s="1">
        <v>41719</v>
      </c>
      <c r="C434">
        <v>2.4769999999999999</v>
      </c>
      <c r="D434">
        <v>2.1139999999999999</v>
      </c>
      <c r="E434" t="s">
        <v>33</v>
      </c>
      <c r="G434">
        <v>6086.82</v>
      </c>
      <c r="I434" s="14">
        <f t="shared" si="105"/>
        <v>4.6914623837700731E-2</v>
      </c>
      <c r="J434" s="15">
        <f t="shared" si="106"/>
        <v>2.9211295034079932E-2</v>
      </c>
      <c r="K434" s="15"/>
      <c r="L434" s="15"/>
      <c r="M434" s="16">
        <f t="shared" si="107"/>
        <v>5.9107866200810211E-2</v>
      </c>
      <c r="O434" s="13">
        <f t="shared" si="109"/>
        <v>3.8062959435890331E-2</v>
      </c>
      <c r="Q434" s="5">
        <f t="shared" si="110"/>
        <v>265.59384079230529</v>
      </c>
      <c r="R434" s="6">
        <f t="shared" si="111"/>
        <v>376.59207196728283</v>
      </c>
      <c r="T434" s="11">
        <f t="shared" si="103"/>
        <v>0.70525605970637451</v>
      </c>
      <c r="V434" s="9">
        <v>41719</v>
      </c>
      <c r="W434">
        <v>10000</v>
      </c>
      <c r="X434">
        <v>15900.171700000001</v>
      </c>
      <c r="Y434" t="s">
        <v>33</v>
      </c>
      <c r="AC434" s="24">
        <f t="shared" si="112"/>
        <v>3.5974382621054374E-2</v>
      </c>
      <c r="AE434" s="5">
        <f t="shared" si="113"/>
        <v>230.22929924021952</v>
      </c>
      <c r="AF434" s="6">
        <f t="shared" si="114"/>
        <v>376.59207196728283</v>
      </c>
      <c r="AH434" s="1">
        <f t="shared" si="104"/>
        <v>41719</v>
      </c>
      <c r="AI434">
        <f t="shared" si="108"/>
        <v>0.61134929909045221</v>
      </c>
      <c r="AJ434">
        <f t="shared" ca="1" si="98"/>
        <v>0.60132412206061481</v>
      </c>
      <c r="AK434">
        <f t="shared" ca="1" si="99"/>
        <v>0.61589065590355641</v>
      </c>
      <c r="AL434">
        <f t="shared" ca="1" si="100"/>
        <v>0.64657508012444653</v>
      </c>
      <c r="AM434">
        <f t="shared" ca="1" si="101"/>
        <v>0.70827453232764204</v>
      </c>
      <c r="AN434">
        <f t="shared" ca="1" si="102"/>
        <v>0.72200053372116546</v>
      </c>
      <c r="AP434" s="40"/>
      <c r="AQ434" s="41"/>
    </row>
    <row r="435" spans="2:43" x14ac:dyDescent="0.25">
      <c r="B435" s="1">
        <v>41726</v>
      </c>
      <c r="C435">
        <v>2.3969999999999998</v>
      </c>
      <c r="D435">
        <v>2.1259999999999999</v>
      </c>
      <c r="E435" t="s">
        <v>33</v>
      </c>
      <c r="G435">
        <v>6198.58</v>
      </c>
      <c r="I435" s="14">
        <f t="shared" si="105"/>
        <v>-3.2297133629390462E-2</v>
      </c>
      <c r="J435" s="15">
        <f t="shared" si="106"/>
        <v>5.6764427625355385E-3</v>
      </c>
      <c r="K435" s="15"/>
      <c r="L435" s="15"/>
      <c r="M435" s="16">
        <f t="shared" si="107"/>
        <v>1.836098323919555E-2</v>
      </c>
      <c r="O435" s="13">
        <f t="shared" si="109"/>
        <v>-1.3310345433427462E-2</v>
      </c>
      <c r="Q435" s="5">
        <f t="shared" si="110"/>
        <v>262.05869502636898</v>
      </c>
      <c r="R435" s="6">
        <f t="shared" si="111"/>
        <v>383.50667268868801</v>
      </c>
      <c r="T435" s="11">
        <f t="shared" si="103"/>
        <v>0.68332238703730563</v>
      </c>
      <c r="V435" s="9">
        <v>41726</v>
      </c>
      <c r="W435">
        <v>9675</v>
      </c>
      <c r="X435">
        <v>15990.5136</v>
      </c>
      <c r="Y435" t="s">
        <v>33</v>
      </c>
      <c r="AC435" s="24">
        <f t="shared" si="112"/>
        <v>-8.9850725477764789E-3</v>
      </c>
      <c r="AE435" s="5">
        <f t="shared" si="113"/>
        <v>228.16067228392239</v>
      </c>
      <c r="AF435" s="6">
        <f t="shared" si="114"/>
        <v>383.50667268868801</v>
      </c>
      <c r="AH435" s="1">
        <f t="shared" si="104"/>
        <v>41726</v>
      </c>
      <c r="AI435">
        <f t="shared" si="108"/>
        <v>0.59493273137683345</v>
      </c>
      <c r="AJ435">
        <f t="shared" ca="1" si="98"/>
        <v>0.60132412206061481</v>
      </c>
      <c r="AK435">
        <f t="shared" ca="1" si="99"/>
        <v>0.6156922787077328</v>
      </c>
      <c r="AL435">
        <f t="shared" ca="1" si="100"/>
        <v>0.64657508012444653</v>
      </c>
      <c r="AM435">
        <f t="shared" ca="1" si="101"/>
        <v>0.70827453232764204</v>
      </c>
      <c r="AN435">
        <f t="shared" ca="1" si="102"/>
        <v>0.72200053372116546</v>
      </c>
      <c r="AP435" s="40"/>
      <c r="AQ435" s="41"/>
    </row>
    <row r="436" spans="2:43" x14ac:dyDescent="0.25">
      <c r="B436" s="1">
        <v>41733</v>
      </c>
      <c r="C436">
        <v>2.403</v>
      </c>
      <c r="D436">
        <v>2.1320000000000001</v>
      </c>
      <c r="E436" t="s">
        <v>33</v>
      </c>
      <c r="G436">
        <v>6386.85</v>
      </c>
      <c r="I436" s="14">
        <f t="shared" si="105"/>
        <v>2.5031289111390187E-3</v>
      </c>
      <c r="J436" s="15">
        <f t="shared" si="106"/>
        <v>2.822201317027373E-3</v>
      </c>
      <c r="K436" s="15"/>
      <c r="L436" s="15"/>
      <c r="M436" s="16">
        <f t="shared" si="107"/>
        <v>3.0373085448602843E-2</v>
      </c>
      <c r="O436" s="13">
        <f t="shared" si="109"/>
        <v>2.6626651140831958E-3</v>
      </c>
      <c r="Q436" s="5">
        <f t="shared" si="110"/>
        <v>262.7564695714579</v>
      </c>
      <c r="R436" s="6">
        <f t="shared" si="111"/>
        <v>395.15495362837089</v>
      </c>
      <c r="T436" s="11">
        <f t="shared" si="103"/>
        <v>0.66494540219928755</v>
      </c>
      <c r="V436" s="9">
        <v>41733</v>
      </c>
      <c r="W436">
        <v>9700</v>
      </c>
      <c r="X436">
        <v>16035.684499999999</v>
      </c>
      <c r="Y436" t="s">
        <v>33</v>
      </c>
      <c r="AC436" s="24">
        <f t="shared" si="112"/>
        <v>2.701922191696726E-3</v>
      </c>
      <c r="AE436" s="5">
        <f t="shared" si="113"/>
        <v>228.77714466763874</v>
      </c>
      <c r="AF436" s="6">
        <f t="shared" si="114"/>
        <v>395.15495362837089</v>
      </c>
      <c r="AH436" s="1">
        <f t="shared" si="104"/>
        <v>41733</v>
      </c>
      <c r="AI436">
        <f t="shared" si="108"/>
        <v>0.57895552761511238</v>
      </c>
      <c r="AJ436">
        <f t="shared" ca="1" si="98"/>
        <v>0.60047700963788986</v>
      </c>
      <c r="AK436">
        <f t="shared" ca="1" si="99"/>
        <v>0.61533792392060105</v>
      </c>
      <c r="AL436">
        <f t="shared" ca="1" si="100"/>
        <v>0.64657508012444653</v>
      </c>
      <c r="AM436">
        <f t="shared" ca="1" si="101"/>
        <v>0.70827453232764204</v>
      </c>
      <c r="AN436">
        <f t="shared" ca="1" si="102"/>
        <v>0.72200053372116546</v>
      </c>
      <c r="AP436" s="40"/>
      <c r="AQ436" s="41"/>
    </row>
    <row r="437" spans="2:43" x14ac:dyDescent="0.25">
      <c r="B437" s="1">
        <v>41740</v>
      </c>
      <c r="C437">
        <v>2.5449999999999999</v>
      </c>
      <c r="D437">
        <v>2.2050000000000001</v>
      </c>
      <c r="E437" t="s">
        <v>33</v>
      </c>
      <c r="G437">
        <v>6468.57</v>
      </c>
      <c r="I437" s="14">
        <f t="shared" si="105"/>
        <v>5.9092800665834444E-2</v>
      </c>
      <c r="J437" s="15">
        <f t="shared" si="106"/>
        <v>3.4240150093808541E-2</v>
      </c>
      <c r="K437" s="15"/>
      <c r="L437" s="15"/>
      <c r="M437" s="16">
        <f t="shared" si="107"/>
        <v>1.2795039808356057E-2</v>
      </c>
      <c r="O437" s="13">
        <f t="shared" si="109"/>
        <v>4.6666475379821493E-2</v>
      </c>
      <c r="Q437" s="5">
        <f t="shared" si="110"/>
        <v>275.0183878896031</v>
      </c>
      <c r="R437" s="6">
        <f t="shared" si="111"/>
        <v>400.21097699051501</v>
      </c>
      <c r="T437" s="11">
        <f t="shared" si="103"/>
        <v>0.68718351994658311</v>
      </c>
      <c r="V437" s="9">
        <v>41740</v>
      </c>
      <c r="W437">
        <v>10275</v>
      </c>
      <c r="X437">
        <v>16577.7359</v>
      </c>
      <c r="Y437" t="s">
        <v>33</v>
      </c>
      <c r="AC437" s="24">
        <f t="shared" si="112"/>
        <v>4.3607327040225151E-2</v>
      </c>
      <c r="AE437" s="5">
        <f t="shared" si="113"/>
        <v>238.75350443448934</v>
      </c>
      <c r="AF437" s="6">
        <f t="shared" si="114"/>
        <v>400.21097699051501</v>
      </c>
      <c r="AH437" s="1">
        <f t="shared" si="104"/>
        <v>41740</v>
      </c>
      <c r="AI437">
        <f t="shared" si="108"/>
        <v>0.59656910520009998</v>
      </c>
      <c r="AJ437">
        <f t="shared" ca="1" si="98"/>
        <v>0.59758166367678245</v>
      </c>
      <c r="AK437">
        <f t="shared" ca="1" si="99"/>
        <v>0.61507368721270439</v>
      </c>
      <c r="AL437">
        <f t="shared" ca="1" si="100"/>
        <v>0.64657508012444653</v>
      </c>
      <c r="AM437">
        <f t="shared" ca="1" si="101"/>
        <v>0.70827453232764204</v>
      </c>
      <c r="AN437">
        <f t="shared" ca="1" si="102"/>
        <v>0.72200053372116546</v>
      </c>
      <c r="AP437" s="40"/>
      <c r="AQ437" s="41"/>
    </row>
    <row r="438" spans="2:43" x14ac:dyDescent="0.25">
      <c r="B438" s="1">
        <v>41747</v>
      </c>
      <c r="C438">
        <v>2.4649999999999999</v>
      </c>
      <c r="D438">
        <v>2.1139999999999999</v>
      </c>
      <c r="E438" t="s">
        <v>33</v>
      </c>
      <c r="G438">
        <v>6449.87</v>
      </c>
      <c r="I438" s="14">
        <f t="shared" si="105"/>
        <v>-3.1434184675835031E-2</v>
      </c>
      <c r="J438" s="15">
        <f t="shared" si="106"/>
        <v>-4.1269841269841345E-2</v>
      </c>
      <c r="K438" s="15"/>
      <c r="L438" s="15"/>
      <c r="M438" s="16">
        <f t="shared" si="107"/>
        <v>-2.890901698520687E-3</v>
      </c>
      <c r="O438" s="13">
        <f t="shared" si="109"/>
        <v>-3.6352012972838188E-2</v>
      </c>
      <c r="Q438" s="5">
        <f t="shared" si="110"/>
        <v>265.02091588527122</v>
      </c>
      <c r="R438" s="6">
        <f t="shared" si="111"/>
        <v>399.05400639736649</v>
      </c>
      <c r="T438" s="11">
        <f t="shared" si="103"/>
        <v>0.66412292982060939</v>
      </c>
      <c r="V438" s="9">
        <v>41747</v>
      </c>
      <c r="W438">
        <v>9950</v>
      </c>
      <c r="X438">
        <v>15900.171700000001</v>
      </c>
      <c r="Y438" t="s">
        <v>33</v>
      </c>
      <c r="AC438" s="24">
        <f t="shared" si="112"/>
        <v>-3.7506300307766978E-2</v>
      </c>
      <c r="AE438" s="5">
        <f t="shared" si="113"/>
        <v>229.7987437976376</v>
      </c>
      <c r="AF438" s="6">
        <f t="shared" si="114"/>
        <v>399.05400639736649</v>
      </c>
      <c r="AH438" s="1">
        <f t="shared" si="104"/>
        <v>41747</v>
      </c>
      <c r="AI438">
        <f t="shared" si="108"/>
        <v>0.57585875624265914</v>
      </c>
      <c r="AJ438">
        <f t="shared" ca="1" si="98"/>
        <v>0.59663918842709607</v>
      </c>
      <c r="AK438">
        <f t="shared" ca="1" si="99"/>
        <v>0.61373455845286906</v>
      </c>
      <c r="AL438">
        <f t="shared" ca="1" si="100"/>
        <v>0.64657508012444653</v>
      </c>
      <c r="AM438">
        <f t="shared" ca="1" si="101"/>
        <v>0.70827453232764204</v>
      </c>
      <c r="AN438">
        <f t="shared" ca="1" si="102"/>
        <v>0.72200053372116546</v>
      </c>
      <c r="AP438" s="40"/>
      <c r="AQ438" s="41"/>
    </row>
    <row r="439" spans="2:43" x14ac:dyDescent="0.25">
      <c r="B439" s="1">
        <v>41754</v>
      </c>
      <c r="C439">
        <v>2.4209999999999998</v>
      </c>
      <c r="D439">
        <v>2.246</v>
      </c>
      <c r="E439" t="s">
        <v>33</v>
      </c>
      <c r="G439">
        <v>6557.29</v>
      </c>
      <c r="I439" s="14">
        <f t="shared" si="105"/>
        <v>-1.7849898580121759E-2</v>
      </c>
      <c r="J439" s="15">
        <f t="shared" si="106"/>
        <v>6.2440870387890257E-2</v>
      </c>
      <c r="K439" s="15"/>
      <c r="L439" s="15"/>
      <c r="M439" s="16">
        <f t="shared" si="107"/>
        <v>1.6654599239984691E-2</v>
      </c>
      <c r="O439" s="13">
        <f t="shared" si="109"/>
        <v>2.2295485903884249E-2</v>
      </c>
      <c r="Q439" s="5">
        <f t="shared" si="110"/>
        <v>270.92968597962579</v>
      </c>
      <c r="R439" s="6">
        <f t="shared" si="111"/>
        <v>405.70009094902491</v>
      </c>
      <c r="T439" s="11">
        <f t="shared" si="103"/>
        <v>0.66780780193038547</v>
      </c>
      <c r="V439" s="9">
        <v>41754</v>
      </c>
      <c r="W439">
        <v>9775</v>
      </c>
      <c r="X439">
        <v>16171.197399999999</v>
      </c>
      <c r="Y439" t="s">
        <v>33</v>
      </c>
      <c r="AC439" s="24">
        <f t="shared" si="112"/>
        <v>3.1536118167938096E-2</v>
      </c>
      <c r="AE439" s="5">
        <f t="shared" si="113"/>
        <v>237.04570413688364</v>
      </c>
      <c r="AF439" s="6">
        <f t="shared" si="114"/>
        <v>405.70009094902491</v>
      </c>
      <c r="AH439" s="1">
        <f t="shared" si="104"/>
        <v>41754</v>
      </c>
      <c r="AI439">
        <f t="shared" si="108"/>
        <v>0.58428802316109851</v>
      </c>
      <c r="AJ439">
        <f t="shared" ca="1" si="98"/>
        <v>0.59509636875916005</v>
      </c>
      <c r="AK439">
        <f t="shared" ca="1" si="99"/>
        <v>0.61095215739259434</v>
      </c>
      <c r="AL439">
        <f t="shared" ca="1" si="100"/>
        <v>0.63876712234025135</v>
      </c>
      <c r="AM439">
        <f t="shared" ca="1" si="101"/>
        <v>0.70827453232764204</v>
      </c>
      <c r="AN439">
        <f t="shared" ca="1" si="102"/>
        <v>0.72200053372116546</v>
      </c>
      <c r="AP439" s="40"/>
      <c r="AQ439" s="41"/>
    </row>
    <row r="440" spans="2:43" x14ac:dyDescent="0.25">
      <c r="B440" s="1">
        <v>41761</v>
      </c>
      <c r="C440">
        <v>2.4830000000000001</v>
      </c>
      <c r="D440">
        <v>2.415</v>
      </c>
      <c r="E440" t="s">
        <v>33</v>
      </c>
      <c r="G440">
        <v>6782.01</v>
      </c>
      <c r="I440" s="14">
        <f t="shared" si="105"/>
        <v>2.5609252375051739E-2</v>
      </c>
      <c r="J440" s="15">
        <f t="shared" si="106"/>
        <v>7.52448797862868E-2</v>
      </c>
      <c r="K440" s="15"/>
      <c r="L440" s="15"/>
      <c r="M440" s="16">
        <f t="shared" si="107"/>
        <v>3.4270254937634359E-2</v>
      </c>
      <c r="O440" s="13">
        <f t="shared" si="109"/>
        <v>5.0427066080669269E-2</v>
      </c>
      <c r="Q440" s="5">
        <f t="shared" si="110"/>
        <v>284.59187515773539</v>
      </c>
      <c r="R440" s="6">
        <f t="shared" si="111"/>
        <v>419.60353649406943</v>
      </c>
      <c r="T440" s="11">
        <f t="shared" si="103"/>
        <v>0.67823993461923016</v>
      </c>
      <c r="V440" s="9">
        <v>41761</v>
      </c>
      <c r="W440">
        <v>10025</v>
      </c>
      <c r="X440">
        <v>17390.8128</v>
      </c>
      <c r="Y440" t="s">
        <v>33</v>
      </c>
      <c r="AC440" s="24">
        <f t="shared" si="112"/>
        <v>5.654509690616339E-2</v>
      </c>
      <c r="AE440" s="5">
        <f t="shared" si="113"/>
        <v>250.44947644849347</v>
      </c>
      <c r="AF440" s="6">
        <f t="shared" si="114"/>
        <v>419.60353649406943</v>
      </c>
      <c r="AH440" s="1">
        <f t="shared" si="104"/>
        <v>41761</v>
      </c>
      <c r="AI440">
        <f t="shared" si="108"/>
        <v>0.59687170070367901</v>
      </c>
      <c r="AJ440">
        <f t="shared" ca="1" si="98"/>
        <v>0.58535249398267197</v>
      </c>
      <c r="AK440">
        <f t="shared" ca="1" si="99"/>
        <v>0.60787370701606969</v>
      </c>
      <c r="AL440">
        <f t="shared" ca="1" si="100"/>
        <v>0.63549269250460205</v>
      </c>
      <c r="AM440">
        <f t="shared" ca="1" si="101"/>
        <v>0.70449024869267862</v>
      </c>
      <c r="AN440">
        <f t="shared" ca="1" si="102"/>
        <v>0.72200053372116546</v>
      </c>
      <c r="AP440" s="40"/>
      <c r="AQ440" s="41"/>
    </row>
    <row r="441" spans="2:43" x14ac:dyDescent="0.25">
      <c r="B441" s="1">
        <v>41768</v>
      </c>
      <c r="C441">
        <v>2.496</v>
      </c>
      <c r="D441">
        <v>2.258</v>
      </c>
      <c r="E441" t="s">
        <v>33</v>
      </c>
      <c r="G441">
        <v>6846.69</v>
      </c>
      <c r="I441" s="14">
        <f t="shared" si="105"/>
        <v>5.2356020942407877E-3</v>
      </c>
      <c r="J441" s="15">
        <f t="shared" si="106"/>
        <v>-6.5010351966873769E-2</v>
      </c>
      <c r="K441" s="15"/>
      <c r="L441" s="15"/>
      <c r="M441" s="16">
        <f t="shared" si="107"/>
        <v>9.536995669425341E-3</v>
      </c>
      <c r="O441" s="13">
        <f t="shared" si="109"/>
        <v>-2.9887374936316491E-2</v>
      </c>
      <c r="Q441" s="5">
        <f t="shared" si="110"/>
        <v>276.08617108106677</v>
      </c>
      <c r="R441" s="6">
        <f t="shared" si="111"/>
        <v>423.60529360448891</v>
      </c>
      <c r="T441" s="11">
        <f t="shared" si="103"/>
        <v>0.65175335447729899</v>
      </c>
      <c r="V441" s="9">
        <v>41768</v>
      </c>
      <c r="W441">
        <v>10075</v>
      </c>
      <c r="X441">
        <v>16261.5393</v>
      </c>
      <c r="Y441" t="s">
        <v>33</v>
      </c>
      <c r="AC441" s="24">
        <f t="shared" si="112"/>
        <v>-3.9323873342294251E-2</v>
      </c>
      <c r="AE441" s="5">
        <f t="shared" si="113"/>
        <v>240.60083295798901</v>
      </c>
      <c r="AF441" s="6">
        <f t="shared" si="114"/>
        <v>423.60529360448891</v>
      </c>
      <c r="AH441" s="1">
        <f t="shared" si="104"/>
        <v>41768</v>
      </c>
      <c r="AI441">
        <f t="shared" si="108"/>
        <v>0.56798353701083071</v>
      </c>
      <c r="AJ441">
        <f t="shared" ca="1" si="98"/>
        <v>0.58535249398267197</v>
      </c>
      <c r="AK441">
        <f t="shared" ca="1" si="99"/>
        <v>0.60207785230423905</v>
      </c>
      <c r="AL441">
        <f t="shared" ca="1" si="100"/>
        <v>0.63455243481657608</v>
      </c>
      <c r="AM441">
        <f t="shared" ca="1" si="101"/>
        <v>0.70057704744611304</v>
      </c>
      <c r="AN441">
        <f t="shared" ca="1" si="102"/>
        <v>0.72015866025886677</v>
      </c>
      <c r="AP441" s="40"/>
      <c r="AQ441" s="41"/>
    </row>
    <row r="442" spans="2:43" x14ac:dyDescent="0.25">
      <c r="B442" s="1">
        <v>41775</v>
      </c>
      <c r="C442">
        <v>2.5019999999999998</v>
      </c>
      <c r="D442">
        <v>2.359</v>
      </c>
      <c r="E442" t="s">
        <v>33</v>
      </c>
      <c r="G442">
        <v>6878.73</v>
      </c>
      <c r="I442" s="14">
        <f t="shared" si="105"/>
        <v>2.4038461538460343E-3</v>
      </c>
      <c r="J442" s="15">
        <f t="shared" si="106"/>
        <v>4.4729849424269164E-2</v>
      </c>
      <c r="K442" s="15"/>
      <c r="L442" s="15"/>
      <c r="M442" s="16">
        <f t="shared" si="107"/>
        <v>4.6796335163414859E-3</v>
      </c>
      <c r="O442" s="13">
        <f t="shared" si="109"/>
        <v>2.3566847789057599E-2</v>
      </c>
      <c r="Q442" s="5">
        <f t="shared" si="110"/>
        <v>282.59265185159796</v>
      </c>
      <c r="R442" s="6">
        <f t="shared" si="111"/>
        <v>425.58761113414016</v>
      </c>
      <c r="T442" s="11">
        <f t="shared" si="103"/>
        <v>0.66400582267543529</v>
      </c>
      <c r="V442" s="9">
        <v>41775</v>
      </c>
      <c r="W442">
        <v>10100</v>
      </c>
      <c r="X442">
        <v>16984.274300000001</v>
      </c>
      <c r="Y442" t="s">
        <v>33</v>
      </c>
      <c r="AC442" s="24">
        <f t="shared" si="112"/>
        <v>2.8538106154890067E-2</v>
      </c>
      <c r="AE442" s="5">
        <f t="shared" si="113"/>
        <v>247.46712506989911</v>
      </c>
      <c r="AF442" s="6">
        <f t="shared" si="114"/>
        <v>425.58761113414016</v>
      </c>
      <c r="AH442" s="1">
        <f t="shared" si="104"/>
        <v>41775</v>
      </c>
      <c r="AI442">
        <f t="shared" si="108"/>
        <v>0.58147163732146423</v>
      </c>
      <c r="AJ442">
        <f t="shared" ca="1" si="98"/>
        <v>0.57948877716971103</v>
      </c>
      <c r="AK442">
        <f t="shared" ca="1" si="99"/>
        <v>0.60157646192233738</v>
      </c>
      <c r="AL442">
        <f t="shared" ca="1" si="100"/>
        <v>0.63270661509045611</v>
      </c>
      <c r="AM442">
        <f t="shared" ca="1" si="101"/>
        <v>0.69953731441491296</v>
      </c>
      <c r="AN442">
        <f t="shared" ca="1" si="102"/>
        <v>0.71971164605765647</v>
      </c>
      <c r="AP442" s="40"/>
      <c r="AQ442" s="41"/>
    </row>
    <row r="443" spans="2:43" x14ac:dyDescent="0.25">
      <c r="B443" s="1">
        <v>41782</v>
      </c>
      <c r="C443">
        <v>2.5449999999999999</v>
      </c>
      <c r="D443">
        <v>2.3650000000000002</v>
      </c>
      <c r="E443" t="s">
        <v>33</v>
      </c>
      <c r="G443">
        <v>7446.85</v>
      </c>
      <c r="I443" s="14">
        <f t="shared" si="105"/>
        <v>1.7186250999200681E-2</v>
      </c>
      <c r="J443" s="15">
        <f t="shared" si="106"/>
        <v>2.5434506146673197E-3</v>
      </c>
      <c r="K443" s="15"/>
      <c r="L443" s="15"/>
      <c r="M443" s="16">
        <f t="shared" si="107"/>
        <v>8.2590827085814E-2</v>
      </c>
      <c r="O443" s="13">
        <f t="shared" si="109"/>
        <v>9.8648508069340002E-3</v>
      </c>
      <c r="Q443" s="5">
        <f t="shared" si="110"/>
        <v>285.38038620124985</v>
      </c>
      <c r="R443" s="6">
        <f t="shared" si="111"/>
        <v>460.73724393518461</v>
      </c>
      <c r="T443" s="11">
        <f t="shared" si="103"/>
        <v>0.61939942984378416</v>
      </c>
      <c r="V443" s="9">
        <v>41782</v>
      </c>
      <c r="W443">
        <v>10275</v>
      </c>
      <c r="X443">
        <v>17029.445299999999</v>
      </c>
      <c r="Y443" t="s">
        <v>33</v>
      </c>
      <c r="AC443" s="24">
        <f t="shared" si="112"/>
        <v>8.0038990743769058E-3</v>
      </c>
      <c r="AE443" s="5">
        <f t="shared" si="113"/>
        <v>249.44782696318481</v>
      </c>
      <c r="AF443" s="6">
        <f t="shared" si="114"/>
        <v>460.73724393518461</v>
      </c>
      <c r="AH443" s="1">
        <f t="shared" si="104"/>
        <v>41782</v>
      </c>
      <c r="AI443">
        <f t="shared" si="108"/>
        <v>0.54141016435449374</v>
      </c>
      <c r="AJ443">
        <f t="shared" ref="AJ443:AJ489" ca="1" si="115">+_xlfn.PERCENTILE.INC(OFFSET(AI443,-52,0,52,1),0.1)</f>
        <v>0.57920713858574757</v>
      </c>
      <c r="AK443">
        <f t="shared" ref="AK443:AK489" ca="1" si="116">+_xlfn.PERCENTILE.INC(OFFSET(AI443,-52,0,52,1),0.25)</f>
        <v>0.60106077529188862</v>
      </c>
      <c r="AL443">
        <f t="shared" ref="AL443:AL489" ca="1" si="117">+_xlfn.PERCENTILE.INC(OFFSET(AI443,-52,0,52,1),0.5)</f>
        <v>0.62828709704339158</v>
      </c>
      <c r="AM443">
        <f t="shared" ref="AM443:AM489" ca="1" si="118">+_xlfn.PERCENTILE.INC(OFFSET(AI443,-52,0,52,1),0.75)</f>
        <v>0.69882558280605855</v>
      </c>
      <c r="AN443">
        <f t="shared" ref="AN443:AN489" ca="1" si="119">+_xlfn.PERCENTILE.INC(OFFSET(AI443,-52,0,52,1),0.9)</f>
        <v>0.71957149344874483</v>
      </c>
      <c r="AP443" s="40"/>
      <c r="AQ443" s="41"/>
    </row>
    <row r="444" spans="2:43" x14ac:dyDescent="0.25">
      <c r="B444" s="1">
        <v>41789</v>
      </c>
      <c r="C444">
        <v>2.57</v>
      </c>
      <c r="D444">
        <v>2.415</v>
      </c>
      <c r="E444" t="s">
        <v>33</v>
      </c>
      <c r="G444">
        <v>7712.23</v>
      </c>
      <c r="I444" s="14">
        <f t="shared" si="105"/>
        <v>9.8231827111983083E-3</v>
      </c>
      <c r="J444" s="15">
        <f t="shared" si="106"/>
        <v>2.114164904862581E-2</v>
      </c>
      <c r="K444" s="15"/>
      <c r="L444" s="15"/>
      <c r="M444" s="16">
        <f t="shared" si="107"/>
        <v>3.5636544310681639E-2</v>
      </c>
      <c r="O444" s="13">
        <f t="shared" si="109"/>
        <v>1.5482415879912059E-2</v>
      </c>
      <c r="Q444" s="5">
        <f t="shared" si="110"/>
        <v>289.79876402438754</v>
      </c>
      <c r="R444" s="6">
        <f t="shared" si="111"/>
        <v>477.15632714426215</v>
      </c>
      <c r="T444" s="11">
        <f t="shared" si="103"/>
        <v>0.60734553339951958</v>
      </c>
      <c r="V444" s="9">
        <v>41789</v>
      </c>
      <c r="W444">
        <v>10375</v>
      </c>
      <c r="X444">
        <v>17390.8128</v>
      </c>
      <c r="Y444" t="s">
        <v>33</v>
      </c>
      <c r="AC444" s="24">
        <f t="shared" si="112"/>
        <v>1.6882370372963883E-2</v>
      </c>
      <c r="AE444" s="5">
        <f t="shared" si="113"/>
        <v>253.65909756670831</v>
      </c>
      <c r="AF444" s="6">
        <f t="shared" si="114"/>
        <v>477.15632714426215</v>
      </c>
      <c r="AH444" s="1">
        <f t="shared" si="104"/>
        <v>41789</v>
      </c>
      <c r="AI444">
        <f t="shared" si="108"/>
        <v>0.5316058556423956</v>
      </c>
      <c r="AJ444">
        <f t="shared" ca="1" si="115"/>
        <v>0.57664833003704818</v>
      </c>
      <c r="AK444">
        <f t="shared" ca="1" si="116"/>
        <v>0.59960788402047127</v>
      </c>
      <c r="AL444">
        <f t="shared" ca="1" si="117"/>
        <v>0.62411811286144125</v>
      </c>
      <c r="AM444">
        <f t="shared" ca="1" si="118"/>
        <v>0.69498387325474575</v>
      </c>
      <c r="AN444">
        <f t="shared" ca="1" si="119"/>
        <v>0.71949676254449446</v>
      </c>
      <c r="AP444" s="40"/>
      <c r="AQ444" s="41"/>
    </row>
    <row r="445" spans="2:43" x14ac:dyDescent="0.25">
      <c r="B445" s="1">
        <v>41796</v>
      </c>
      <c r="C445">
        <v>2.5329999999999999</v>
      </c>
      <c r="D445">
        <v>2.39</v>
      </c>
      <c r="E445" t="s">
        <v>33</v>
      </c>
      <c r="G445">
        <v>7913.87</v>
      </c>
      <c r="I445" s="14">
        <f t="shared" si="105"/>
        <v>-1.4396887159533023E-2</v>
      </c>
      <c r="J445" s="15">
        <f t="shared" si="106"/>
        <v>-1.0351966873705987E-2</v>
      </c>
      <c r="K445" s="15"/>
      <c r="L445" s="15"/>
      <c r="M445" s="16">
        <f t="shared" si="107"/>
        <v>2.6145485806310376E-2</v>
      </c>
      <c r="O445" s="13">
        <f t="shared" si="109"/>
        <v>-1.2374427016619505E-2</v>
      </c>
      <c r="Q445" s="5">
        <f t="shared" si="110"/>
        <v>286.21267036946119</v>
      </c>
      <c r="R445" s="6">
        <f t="shared" si="111"/>
        <v>489.63181112300367</v>
      </c>
      <c r="T445" s="11">
        <f t="shared" si="103"/>
        <v>0.58454672238924399</v>
      </c>
      <c r="V445" s="9">
        <v>41796</v>
      </c>
      <c r="W445">
        <v>10225</v>
      </c>
      <c r="X445">
        <v>17210.129000000001</v>
      </c>
      <c r="Y445" t="s">
        <v>33</v>
      </c>
      <c r="AC445" s="24">
        <f t="shared" si="112"/>
        <v>-1.1863395632076624E-2</v>
      </c>
      <c r="AE445" s="5">
        <f t="shared" si="113"/>
        <v>250.64983933659892</v>
      </c>
      <c r="AF445" s="6">
        <f t="shared" si="114"/>
        <v>489.63181112300367</v>
      </c>
      <c r="AH445" s="1">
        <f t="shared" si="104"/>
        <v>41796</v>
      </c>
      <c r="AI445">
        <f t="shared" si="108"/>
        <v>0.51191494025217965</v>
      </c>
      <c r="AJ445">
        <f t="shared" ca="1" si="115"/>
        <v>0.57591207809345291</v>
      </c>
      <c r="AK445">
        <f t="shared" ca="1" si="116"/>
        <v>0.59717037827846553</v>
      </c>
      <c r="AL445">
        <f t="shared" ca="1" si="117"/>
        <v>0.62129725041870643</v>
      </c>
      <c r="AM445">
        <f t="shared" ca="1" si="118"/>
        <v>0.69200907775599307</v>
      </c>
      <c r="AN445">
        <f t="shared" ca="1" si="119"/>
        <v>0.71480765783315936</v>
      </c>
      <c r="AP445" s="40"/>
      <c r="AQ445" s="41"/>
    </row>
    <row r="446" spans="2:43" x14ac:dyDescent="0.25">
      <c r="B446" s="1">
        <v>41803</v>
      </c>
      <c r="C446">
        <v>2.7250000000000001</v>
      </c>
      <c r="D446">
        <v>2.44</v>
      </c>
      <c r="E446" t="s">
        <v>33</v>
      </c>
      <c r="G446">
        <v>8047.37</v>
      </c>
      <c r="I446" s="14">
        <f t="shared" si="105"/>
        <v>7.5799447295696876E-2</v>
      </c>
      <c r="J446" s="15">
        <f t="shared" si="106"/>
        <v>2.0920502092050208E-2</v>
      </c>
      <c r="K446" s="15"/>
      <c r="L446" s="15"/>
      <c r="M446" s="16">
        <f t="shared" si="107"/>
        <v>1.6869117132325862E-2</v>
      </c>
      <c r="O446" s="13">
        <f t="shared" si="109"/>
        <v>4.8359974693873542E-2</v>
      </c>
      <c r="Q446" s="5">
        <f t="shared" si="110"/>
        <v>300.05390786559434</v>
      </c>
      <c r="R446" s="6">
        <f t="shared" si="111"/>
        <v>497.89146749655049</v>
      </c>
      <c r="T446" s="11">
        <f t="shared" si="103"/>
        <v>0.60264922669652532</v>
      </c>
      <c r="V446" s="9">
        <v>41803</v>
      </c>
      <c r="W446">
        <v>11000</v>
      </c>
      <c r="X446">
        <v>17571.496599999999</v>
      </c>
      <c r="Y446" t="s">
        <v>33</v>
      </c>
      <c r="AC446" s="24">
        <f t="shared" si="112"/>
        <v>4.1373739789867747E-2</v>
      </c>
      <c r="AE446" s="5">
        <f t="shared" si="113"/>
        <v>261.02016056768349</v>
      </c>
      <c r="AF446" s="6">
        <f t="shared" si="114"/>
        <v>497.89146749655049</v>
      </c>
      <c r="AH446" s="1">
        <f t="shared" si="104"/>
        <v>41803</v>
      </c>
      <c r="AI446">
        <f t="shared" si="108"/>
        <v>0.52425112219761405</v>
      </c>
      <c r="AJ446">
        <f t="shared" ca="1" si="115"/>
        <v>0.57526621675777234</v>
      </c>
      <c r="AK446">
        <f t="shared" ca="1" si="116"/>
        <v>0.59679605182778428</v>
      </c>
      <c r="AL446">
        <f t="shared" ca="1" si="117"/>
        <v>0.61763979327126728</v>
      </c>
      <c r="AM446">
        <f t="shared" ca="1" si="118"/>
        <v>0.68155335646172777</v>
      </c>
      <c r="AN446">
        <f t="shared" ca="1" si="119"/>
        <v>0.7132046615110581</v>
      </c>
      <c r="AP446" s="40"/>
      <c r="AQ446" s="41"/>
    </row>
    <row r="447" spans="2:43" x14ac:dyDescent="0.25">
      <c r="B447" s="1">
        <v>41810</v>
      </c>
      <c r="C447">
        <v>2.415</v>
      </c>
      <c r="D447">
        <v>2.1829999999999998</v>
      </c>
      <c r="E447" t="s">
        <v>33</v>
      </c>
      <c r="G447">
        <v>7347.64</v>
      </c>
      <c r="I447" s="14">
        <f t="shared" si="105"/>
        <v>-0.11376146788990826</v>
      </c>
      <c r="J447" s="15">
        <f t="shared" si="106"/>
        <v>-0.10532786885245904</v>
      </c>
      <c r="K447" s="15"/>
      <c r="L447" s="15"/>
      <c r="M447" s="16">
        <f t="shared" si="107"/>
        <v>-8.6951389087366326E-2</v>
      </c>
      <c r="O447" s="13">
        <f t="shared" si="109"/>
        <v>-0.10954466837118365</v>
      </c>
      <c r="Q447" s="5">
        <f t="shared" si="110"/>
        <v>267.18460203498012</v>
      </c>
      <c r="R447" s="6">
        <f t="shared" si="111"/>
        <v>454.59911278297812</v>
      </c>
      <c r="T447" s="11">
        <f t="shared" si="103"/>
        <v>0.58773674325785996</v>
      </c>
      <c r="V447" s="9">
        <v>41810</v>
      </c>
      <c r="W447">
        <v>9750</v>
      </c>
      <c r="X447">
        <v>15719.4879</v>
      </c>
      <c r="Y447" t="s">
        <v>33</v>
      </c>
      <c r="AC447" s="24">
        <f t="shared" si="112"/>
        <v>-0.10857479675094166</v>
      </c>
      <c r="AE447" s="5">
        <f t="shared" si="113"/>
        <v>232.67994968614911</v>
      </c>
      <c r="AF447" s="6">
        <f t="shared" si="114"/>
        <v>454.59911278297812</v>
      </c>
      <c r="AH447" s="1">
        <f t="shared" si="104"/>
        <v>41810</v>
      </c>
      <c r="AI447">
        <f t="shared" si="108"/>
        <v>0.51183546809346414</v>
      </c>
      <c r="AJ447">
        <f t="shared" ca="1" si="115"/>
        <v>0.56870522121347056</v>
      </c>
      <c r="AK447">
        <f t="shared" ca="1" si="116"/>
        <v>0.59616001174428335</v>
      </c>
      <c r="AL447">
        <f t="shared" ca="1" si="117"/>
        <v>0.61586083295267935</v>
      </c>
      <c r="AM447">
        <f t="shared" ca="1" si="118"/>
        <v>0.67524703525996732</v>
      </c>
      <c r="AN447">
        <f t="shared" ca="1" si="119"/>
        <v>0.71227755771238277</v>
      </c>
      <c r="AP447" s="40"/>
      <c r="AQ447" s="41"/>
    </row>
    <row r="448" spans="2:43" x14ac:dyDescent="0.25">
      <c r="B448" s="1">
        <v>41817</v>
      </c>
      <c r="C448">
        <v>2.5390000000000001</v>
      </c>
      <c r="D448">
        <v>2.302</v>
      </c>
      <c r="E448" t="s">
        <v>33</v>
      </c>
      <c r="G448">
        <v>7905.1</v>
      </c>
      <c r="I448" s="14">
        <f t="shared" si="105"/>
        <v>5.1345755693581907E-2</v>
      </c>
      <c r="J448" s="15">
        <f t="shared" si="106"/>
        <v>5.4512139257901993E-2</v>
      </c>
      <c r="K448" s="15"/>
      <c r="L448" s="15"/>
      <c r="M448" s="16">
        <f t="shared" si="107"/>
        <v>7.5869258700753006E-2</v>
      </c>
      <c r="O448" s="13">
        <f t="shared" si="109"/>
        <v>5.292894747574195E-2</v>
      </c>
      <c r="Q448" s="5">
        <f t="shared" si="110"/>
        <v>281.32640180241657</v>
      </c>
      <c r="R448" s="6">
        <f t="shared" si="111"/>
        <v>489.08921047584266</v>
      </c>
      <c r="T448" s="11">
        <f t="shared" si="103"/>
        <v>0.57520467795376151</v>
      </c>
      <c r="V448" s="9">
        <v>41817</v>
      </c>
      <c r="W448">
        <v>10250</v>
      </c>
      <c r="X448">
        <v>16577.7359</v>
      </c>
      <c r="Y448" t="s">
        <v>33</v>
      </c>
      <c r="AC448" s="24">
        <f t="shared" si="112"/>
        <v>5.330001281573192E-2</v>
      </c>
      <c r="AE448" s="5">
        <f t="shared" si="113"/>
        <v>245.08179398638472</v>
      </c>
      <c r="AF448" s="6">
        <f t="shared" si="114"/>
        <v>489.08921047584266</v>
      </c>
      <c r="AH448" s="1">
        <f t="shared" si="104"/>
        <v>41817</v>
      </c>
      <c r="AI448">
        <f t="shared" si="108"/>
        <v>0.50109834512182505</v>
      </c>
      <c r="AJ448">
        <f t="shared" ca="1" si="115"/>
        <v>0.5675818325378722</v>
      </c>
      <c r="AK448">
        <f t="shared" ca="1" si="116"/>
        <v>0.59227155432289968</v>
      </c>
      <c r="AL448">
        <f t="shared" ca="1" si="117"/>
        <v>0.61558337036454047</v>
      </c>
      <c r="AM448">
        <f t="shared" ca="1" si="118"/>
        <v>0.67355274184072089</v>
      </c>
      <c r="AN448">
        <f t="shared" ca="1" si="119"/>
        <v>0.71206483214573246</v>
      </c>
      <c r="AP448" s="40"/>
      <c r="AQ448" s="41"/>
    </row>
    <row r="449" spans="2:43" x14ac:dyDescent="0.25">
      <c r="B449" s="1">
        <v>41824</v>
      </c>
      <c r="C449">
        <v>2.62</v>
      </c>
      <c r="D449">
        <v>2.371</v>
      </c>
      <c r="E449" t="s">
        <v>33</v>
      </c>
      <c r="G449">
        <v>8141.7</v>
      </c>
      <c r="I449" s="14">
        <f t="shared" si="105"/>
        <v>3.1902323749507744E-2</v>
      </c>
      <c r="J449" s="15">
        <f t="shared" si="106"/>
        <v>2.9973935708079935E-2</v>
      </c>
      <c r="K449" s="15"/>
      <c r="L449" s="15"/>
      <c r="M449" s="16">
        <f t="shared" si="107"/>
        <v>2.9930045160718954E-2</v>
      </c>
      <c r="O449" s="13">
        <f t="shared" si="109"/>
        <v>3.0938129728793839E-2</v>
      </c>
      <c r="Q449" s="5">
        <f t="shared" si="110"/>
        <v>290.03011451751451</v>
      </c>
      <c r="R449" s="6">
        <f t="shared" si="111"/>
        <v>503.727672633005</v>
      </c>
      <c r="T449" s="11">
        <f t="shared" si="103"/>
        <v>0.57576768217143071</v>
      </c>
      <c r="V449" s="9">
        <v>41824</v>
      </c>
      <c r="W449">
        <v>10575</v>
      </c>
      <c r="X449">
        <v>17074.6162</v>
      </c>
      <c r="Y449" t="s">
        <v>33</v>
      </c>
      <c r="AC449" s="24">
        <f t="shared" si="112"/>
        <v>3.071070967582408E-2</v>
      </c>
      <c r="AE449" s="5">
        <f t="shared" si="113"/>
        <v>252.60842980833073</v>
      </c>
      <c r="AF449" s="6">
        <f t="shared" si="114"/>
        <v>503.727672633005</v>
      </c>
      <c r="AH449" s="1">
        <f t="shared" si="104"/>
        <v>41824</v>
      </c>
      <c r="AI449">
        <f t="shared" si="108"/>
        <v>0.50147816674024726</v>
      </c>
      <c r="AJ449">
        <f t="shared" ca="1" si="115"/>
        <v>0.54402286778979869</v>
      </c>
      <c r="AK449">
        <f t="shared" ca="1" si="116"/>
        <v>0.58358392670118997</v>
      </c>
      <c r="AL449">
        <f t="shared" ca="1" si="117"/>
        <v>0.61531029416304617</v>
      </c>
      <c r="AM449">
        <f t="shared" ca="1" si="118"/>
        <v>0.65780080149897935</v>
      </c>
      <c r="AN449">
        <f t="shared" ca="1" si="119"/>
        <v>0.69997751098087746</v>
      </c>
      <c r="AP449" s="40"/>
      <c r="AQ449" s="41"/>
    </row>
    <row r="450" spans="2:43" x14ac:dyDescent="0.25">
      <c r="B450" s="1">
        <v>41831</v>
      </c>
      <c r="C450">
        <v>2.6749999999999998</v>
      </c>
      <c r="D450">
        <v>2.5339999999999998</v>
      </c>
      <c r="E450" t="s">
        <v>33</v>
      </c>
      <c r="G450">
        <v>8822.08</v>
      </c>
      <c r="I450" s="14">
        <f t="shared" si="105"/>
        <v>2.0992366412213581E-2</v>
      </c>
      <c r="J450" s="15">
        <f t="shared" si="106"/>
        <v>6.8747363981442433E-2</v>
      </c>
      <c r="K450" s="15"/>
      <c r="L450" s="15"/>
      <c r="M450" s="16">
        <f t="shared" si="107"/>
        <v>8.356731395163175E-2</v>
      </c>
      <c r="O450" s="13">
        <f t="shared" si="109"/>
        <v>4.4869865196828007E-2</v>
      </c>
      <c r="Q450" s="5">
        <f t="shared" si="110"/>
        <v>303.04372665893595</v>
      </c>
      <c r="R450" s="6">
        <f t="shared" si="111"/>
        <v>545.82284119805206</v>
      </c>
      <c r="T450" s="11">
        <f t="shared" si="103"/>
        <v>0.55520528601143027</v>
      </c>
      <c r="V450" s="9">
        <v>41831</v>
      </c>
      <c r="W450">
        <v>10800</v>
      </c>
      <c r="X450">
        <v>18249.060700000002</v>
      </c>
      <c r="Y450" t="s">
        <v>33</v>
      </c>
      <c r="AC450" s="24">
        <f t="shared" si="112"/>
        <v>5.0482766901986588E-2</v>
      </c>
      <c r="AE450" s="5">
        <f t="shared" si="113"/>
        <v>265.36080228782151</v>
      </c>
      <c r="AF450" s="6">
        <f t="shared" si="114"/>
        <v>545.82284119805206</v>
      </c>
      <c r="AH450" s="1">
        <f t="shared" si="104"/>
        <v>41831</v>
      </c>
      <c r="AI450">
        <f t="shared" si="108"/>
        <v>0.48616654023743067</v>
      </c>
      <c r="AJ450">
        <f t="shared" ca="1" si="115"/>
        <v>0.5325862865136054</v>
      </c>
      <c r="AK450">
        <f t="shared" ca="1" si="116"/>
        <v>0.58084260989487624</v>
      </c>
      <c r="AL450">
        <f t="shared" ca="1" si="117"/>
        <v>0.61489233977747226</v>
      </c>
      <c r="AM450">
        <f t="shared" ca="1" si="118"/>
        <v>0.65165890094042167</v>
      </c>
      <c r="AN450">
        <f t="shared" ca="1" si="119"/>
        <v>0.69929568467841086</v>
      </c>
      <c r="AP450" s="40"/>
      <c r="AQ450" s="41"/>
    </row>
    <row r="451" spans="2:43" x14ac:dyDescent="0.25">
      <c r="B451" s="1">
        <v>41838</v>
      </c>
      <c r="C451">
        <v>2.669</v>
      </c>
      <c r="D451">
        <v>2.5030000000000001</v>
      </c>
      <c r="E451" t="s">
        <v>33</v>
      </c>
      <c r="G451">
        <v>8661.75</v>
      </c>
      <c r="I451" s="14">
        <f t="shared" si="105"/>
        <v>-2.2429906542055233E-3</v>
      </c>
      <c r="J451" s="15">
        <f t="shared" si="106"/>
        <v>-1.223362273086015E-2</v>
      </c>
      <c r="K451" s="15"/>
      <c r="L451" s="15"/>
      <c r="M451" s="16">
        <f t="shared" si="107"/>
        <v>-1.8173718669520111E-2</v>
      </c>
      <c r="O451" s="13">
        <f t="shared" si="109"/>
        <v>-7.2383066925328365E-3</v>
      </c>
      <c r="Q451" s="5">
        <f t="shared" si="110"/>
        <v>300.8502032241305</v>
      </c>
      <c r="R451" s="6">
        <f t="shared" si="111"/>
        <v>535.90321043872052</v>
      </c>
      <c r="T451" s="11">
        <f t="shared" si="103"/>
        <v>0.56138906683883749</v>
      </c>
      <c r="V451" s="9">
        <v>41838</v>
      </c>
      <c r="W451">
        <v>10775</v>
      </c>
      <c r="X451">
        <v>18023.205999999998</v>
      </c>
      <c r="Y451" t="s">
        <v>33</v>
      </c>
      <c r="AC451" s="24">
        <f t="shared" si="112"/>
        <v>-8.5192573149804555E-3</v>
      </c>
      <c r="AE451" s="5">
        <f t="shared" si="113"/>
        <v>263.10012533182191</v>
      </c>
      <c r="AF451" s="6">
        <f t="shared" si="114"/>
        <v>535.90321043872052</v>
      </c>
      <c r="AH451" s="1">
        <f t="shared" si="104"/>
        <v>41838</v>
      </c>
      <c r="AI451">
        <f t="shared" si="108"/>
        <v>0.49094709680211346</v>
      </c>
      <c r="AJ451">
        <f t="shared" ca="1" si="115"/>
        <v>0.52498659554209226</v>
      </c>
      <c r="AK451">
        <f t="shared" ca="1" si="116"/>
        <v>0.57831463939898342</v>
      </c>
      <c r="AL451">
        <f t="shared" ca="1" si="117"/>
        <v>0.61293947199873011</v>
      </c>
      <c r="AM451">
        <f t="shared" ca="1" si="118"/>
        <v>0.64419447038059896</v>
      </c>
      <c r="AN451">
        <f t="shared" ca="1" si="119"/>
        <v>0.69815665424176598</v>
      </c>
      <c r="AP451" s="40"/>
      <c r="AQ451" s="41"/>
    </row>
    <row r="452" spans="2:43" x14ac:dyDescent="0.25">
      <c r="B452" s="1">
        <v>41845</v>
      </c>
      <c r="C452">
        <v>2.403</v>
      </c>
      <c r="D452">
        <v>2.2149999999999999</v>
      </c>
      <c r="E452" t="s">
        <v>33</v>
      </c>
      <c r="G452">
        <v>7922.92</v>
      </c>
      <c r="I452" s="14">
        <f t="shared" si="105"/>
        <v>-9.9662795054327513E-2</v>
      </c>
      <c r="J452" s="15">
        <f t="shared" si="106"/>
        <v>-0.11506192568917306</v>
      </c>
      <c r="K452" s="15"/>
      <c r="L452" s="15"/>
      <c r="M452" s="16">
        <f t="shared" si="107"/>
        <v>-8.5298005599330429E-2</v>
      </c>
      <c r="O452" s="13">
        <f t="shared" si="109"/>
        <v>-0.10736236037175029</v>
      </c>
      <c r="Q452" s="5">
        <f t="shared" si="110"/>
        <v>268.55021528766707</v>
      </c>
      <c r="R452" s="6">
        <f t="shared" si="111"/>
        <v>490.19173539401936</v>
      </c>
      <c r="T452" s="11">
        <f t="shared" si="103"/>
        <v>0.5478472930022058</v>
      </c>
      <c r="V452" s="9">
        <v>41845</v>
      </c>
      <c r="W452">
        <v>9700</v>
      </c>
      <c r="X452">
        <v>15945.342699999999</v>
      </c>
      <c r="Y452" t="s">
        <v>33</v>
      </c>
      <c r="AC452" s="24">
        <f t="shared" si="112"/>
        <v>-0.10930026009825185</v>
      </c>
      <c r="AE452" s="5">
        <f t="shared" si="113"/>
        <v>234.3432132011711</v>
      </c>
      <c r="AF452" s="6">
        <f t="shared" si="114"/>
        <v>490.19173539401936</v>
      </c>
      <c r="AH452" s="1">
        <f t="shared" si="104"/>
        <v>41845</v>
      </c>
      <c r="AI452">
        <f t="shared" si="108"/>
        <v>0.47806439048345939</v>
      </c>
      <c r="AJ452">
        <f t="shared" ca="1" si="115"/>
        <v>0.51314855844672314</v>
      </c>
      <c r="AK452">
        <f t="shared" ca="1" si="116"/>
        <v>0.5762586701236122</v>
      </c>
      <c r="AL452">
        <f t="shared" ca="1" si="117"/>
        <v>0.61055501569473658</v>
      </c>
      <c r="AM452">
        <f t="shared" ca="1" si="118"/>
        <v>0.63724375319200144</v>
      </c>
      <c r="AN452">
        <f t="shared" ca="1" si="119"/>
        <v>0.69352964019257202</v>
      </c>
      <c r="AP452" s="40"/>
      <c r="AQ452" s="41"/>
    </row>
    <row r="453" spans="2:43" x14ac:dyDescent="0.25">
      <c r="B453" s="1">
        <v>41852</v>
      </c>
      <c r="C453">
        <v>2.508</v>
      </c>
      <c r="D453">
        <v>2.3780000000000001</v>
      </c>
      <c r="E453" t="s">
        <v>33</v>
      </c>
      <c r="G453">
        <v>8326.92</v>
      </c>
      <c r="I453" s="14">
        <f t="shared" si="105"/>
        <v>4.3695380774032344E-2</v>
      </c>
      <c r="J453" s="15">
        <f t="shared" si="106"/>
        <v>7.3589164785553107E-2</v>
      </c>
      <c r="K453" s="15"/>
      <c r="L453" s="15"/>
      <c r="M453" s="16">
        <f t="shared" si="107"/>
        <v>5.0991301186936067E-2</v>
      </c>
      <c r="O453" s="13">
        <f t="shared" si="109"/>
        <v>5.8642272779792726E-2</v>
      </c>
      <c r="Q453" s="5">
        <f t="shared" si="110"/>
        <v>284.29861026763854</v>
      </c>
      <c r="R453" s="6">
        <f t="shared" si="111"/>
        <v>515.18724981284265</v>
      </c>
      <c r="T453" s="11">
        <f t="shared" si="103"/>
        <v>0.55183549354320904</v>
      </c>
      <c r="V453" s="9">
        <v>41852</v>
      </c>
      <c r="W453">
        <v>10125</v>
      </c>
      <c r="X453">
        <v>17119.787199999999</v>
      </c>
      <c r="Y453" t="s">
        <v>33</v>
      </c>
      <c r="AC453" s="24">
        <f t="shared" si="112"/>
        <v>6.2282249986097077E-2</v>
      </c>
      <c r="AE453" s="5">
        <f t="shared" si="113"/>
        <v>248.93863578831167</v>
      </c>
      <c r="AF453" s="6">
        <f t="shared" si="114"/>
        <v>515.18724981284265</v>
      </c>
      <c r="AH453" s="1">
        <f t="shared" si="104"/>
        <v>41852</v>
      </c>
      <c r="AI453">
        <f t="shared" si="108"/>
        <v>0.48320030411999937</v>
      </c>
      <c r="AJ453">
        <f t="shared" ca="1" si="115"/>
        <v>0.51184341530933575</v>
      </c>
      <c r="AK453">
        <f t="shared" ca="1" si="116"/>
        <v>0.57569416194130163</v>
      </c>
      <c r="AL453">
        <f t="shared" ca="1" si="117"/>
        <v>0.60598668173311854</v>
      </c>
      <c r="AM453">
        <f t="shared" ca="1" si="118"/>
        <v>0.63537884673502731</v>
      </c>
      <c r="AN453">
        <f t="shared" ca="1" si="119"/>
        <v>0.69010812743789807</v>
      </c>
      <c r="AP453" s="40"/>
      <c r="AQ453" s="41"/>
    </row>
    <row r="454" spans="2:43" x14ac:dyDescent="0.25">
      <c r="B454" s="1">
        <v>41859</v>
      </c>
      <c r="C454">
        <v>2.5510000000000002</v>
      </c>
      <c r="D454">
        <v>2.34</v>
      </c>
      <c r="E454" t="s">
        <v>33</v>
      </c>
      <c r="G454">
        <v>8227.8700000000008</v>
      </c>
      <c r="I454" s="14">
        <f t="shared" si="105"/>
        <v>1.7145135566188241E-2</v>
      </c>
      <c r="J454" s="15">
        <f t="shared" si="106"/>
        <v>-1.5979814970563555E-2</v>
      </c>
      <c r="K454" s="15"/>
      <c r="L454" s="15"/>
      <c r="M454" s="16">
        <f t="shared" si="107"/>
        <v>-1.1895154510911499E-2</v>
      </c>
      <c r="O454" s="13">
        <f t="shared" si="109"/>
        <v>5.8266029781234296E-4</v>
      </c>
      <c r="Q454" s="5">
        <f t="shared" si="110"/>
        <v>284.4642597805647</v>
      </c>
      <c r="R454" s="6">
        <f t="shared" si="111"/>
        <v>509.05901787426734</v>
      </c>
      <c r="T454" s="11">
        <f t="shared" ref="T454:T492" si="120">+Q454/R454</f>
        <v>0.5588040871340082</v>
      </c>
      <c r="V454" s="9">
        <v>41859</v>
      </c>
      <c r="W454">
        <v>10300</v>
      </c>
      <c r="X454">
        <v>16848.761500000001</v>
      </c>
      <c r="Y454" t="s">
        <v>33</v>
      </c>
      <c r="AC454" s="24">
        <f t="shared" si="112"/>
        <v>-3.6695656108397261E-3</v>
      </c>
      <c r="AE454" s="5">
        <f t="shared" si="113"/>
        <v>248.02513913121351</v>
      </c>
      <c r="AF454" s="6">
        <f t="shared" si="114"/>
        <v>509.05901787426734</v>
      </c>
      <c r="AH454" s="1">
        <f t="shared" ref="AH454:AH501" si="121">+B454</f>
        <v>41859</v>
      </c>
      <c r="AI454">
        <f t="shared" si="108"/>
        <v>0.48722275889919175</v>
      </c>
      <c r="AJ454">
        <f t="shared" ca="1" si="115"/>
        <v>0.50251389687556891</v>
      </c>
      <c r="AK454">
        <f t="shared" ca="1" si="116"/>
        <v>0.57339616853062969</v>
      </c>
      <c r="AL454">
        <f t="shared" ca="1" si="117"/>
        <v>0.60194307344126186</v>
      </c>
      <c r="AM454">
        <f t="shared" ca="1" si="118"/>
        <v>0.63419615174213784</v>
      </c>
      <c r="AN454">
        <f t="shared" ca="1" si="119"/>
        <v>0.67786092330943626</v>
      </c>
      <c r="AP454" s="40"/>
      <c r="AQ454" s="41"/>
    </row>
    <row r="455" spans="2:43" x14ac:dyDescent="0.25">
      <c r="B455" s="1">
        <v>41866</v>
      </c>
      <c r="C455">
        <v>2.62</v>
      </c>
      <c r="D455">
        <v>2.5339999999999998</v>
      </c>
      <c r="E455" t="s">
        <v>33</v>
      </c>
      <c r="G455">
        <v>8670.14</v>
      </c>
      <c r="I455" s="14">
        <f t="shared" ref="I455:I501" si="122">+C455/C454-1</f>
        <v>2.7048216385731072E-2</v>
      </c>
      <c r="J455" s="15">
        <f t="shared" ref="J455:J501" si="123">+D455/D454-1</f>
        <v>8.2905982905982833E-2</v>
      </c>
      <c r="K455" s="15"/>
      <c r="L455" s="15"/>
      <c r="M455" s="16">
        <f t="shared" ref="M455:M489" si="124">+G455/G454-1</f>
        <v>5.3752672319810513E-2</v>
      </c>
      <c r="O455" s="13">
        <f t="shared" si="109"/>
        <v>5.4977099645856953E-2</v>
      </c>
      <c r="Q455" s="5">
        <f t="shared" si="110"/>
        <v>300.10327973620576</v>
      </c>
      <c r="R455" s="6">
        <f t="shared" si="111"/>
        <v>536.42230045350743</v>
      </c>
      <c r="T455" s="11">
        <f t="shared" si="120"/>
        <v>0.55945339983533404</v>
      </c>
      <c r="V455" s="9">
        <v>41866</v>
      </c>
      <c r="W455">
        <v>10575</v>
      </c>
      <c r="X455">
        <v>18249.060700000002</v>
      </c>
      <c r="Y455" t="s">
        <v>33</v>
      </c>
      <c r="AC455" s="24">
        <f t="shared" si="112"/>
        <v>6.1714040313736292E-2</v>
      </c>
      <c r="AE455" s="5">
        <f t="shared" si="113"/>
        <v>263.33177256637731</v>
      </c>
      <c r="AF455" s="6">
        <f t="shared" si="114"/>
        <v>536.42230045350743</v>
      </c>
      <c r="AH455" s="1">
        <f t="shared" si="121"/>
        <v>41866</v>
      </c>
      <c r="AI455">
        <f t="shared" ref="AI455:AI489" si="125">+(AE455/$AE$6)/(AF455/$AF$6)</f>
        <v>0.49090385008928367</v>
      </c>
      <c r="AJ455">
        <f t="shared" ca="1" si="115"/>
        <v>0.5011363272836673</v>
      </c>
      <c r="AK455">
        <f t="shared" ca="1" si="116"/>
        <v>0.56787195243500888</v>
      </c>
      <c r="AL455">
        <f t="shared" ca="1" si="117"/>
        <v>0.60147940812936718</v>
      </c>
      <c r="AM455">
        <f t="shared" ca="1" si="118"/>
        <v>0.63213998830183427</v>
      </c>
      <c r="AN455">
        <f t="shared" ca="1" si="119"/>
        <v>0.67414983345424484</v>
      </c>
      <c r="AP455" s="40"/>
      <c r="AQ455" s="41"/>
    </row>
    <row r="456" spans="2:43" x14ac:dyDescent="0.25">
      <c r="B456" s="1">
        <v>41873</v>
      </c>
      <c r="C456">
        <v>3.0649999999999999</v>
      </c>
      <c r="D456">
        <v>2.9609999999999999</v>
      </c>
      <c r="E456" t="s">
        <v>33</v>
      </c>
      <c r="G456">
        <v>9171.1200000000008</v>
      </c>
      <c r="I456" s="14">
        <f t="shared" si="122"/>
        <v>0.16984732824427473</v>
      </c>
      <c r="J456" s="15">
        <f t="shared" si="123"/>
        <v>0.16850828729281764</v>
      </c>
      <c r="K456" s="15"/>
      <c r="L456" s="15"/>
      <c r="M456" s="16">
        <f t="shared" si="124"/>
        <v>5.778222727660709E-2</v>
      </c>
      <c r="O456" s="13">
        <f t="shared" ref="O456:O519" si="126">+AVERAGE(I456:J456)</f>
        <v>0.16917780776854618</v>
      </c>
      <c r="Q456" s="5">
        <f t="shared" ref="Q456:Q489" si="127">+Q455*(1+O456)</f>
        <v>350.87409470612783</v>
      </c>
      <c r="R456" s="6">
        <f t="shared" ref="R456:R489" si="128">+R455*(1+M456)</f>
        <v>567.41797573455244</v>
      </c>
      <c r="T456" s="11">
        <f t="shared" si="120"/>
        <v>0.61836971987343692</v>
      </c>
      <c r="V456" s="9">
        <v>41873</v>
      </c>
      <c r="W456">
        <v>12375</v>
      </c>
      <c r="X456">
        <v>21320.684799999999</v>
      </c>
      <c r="Y456" t="s">
        <v>33</v>
      </c>
      <c r="AC456" s="24">
        <f t="shared" ref="AC456:AC511" si="129">+SUMPRODUCT(I456:L456,W455:Z455)/SUM(W455:AA455)</f>
        <v>0.16899955596620267</v>
      </c>
      <c r="AE456" s="5">
        <f t="shared" ref="AE456:AE489" si="130">+AE455*(1+AC456)</f>
        <v>307.83472520188815</v>
      </c>
      <c r="AF456" s="6">
        <f t="shared" ref="AF456:AF489" si="131">+AF455*(1+M456)</f>
        <v>567.41797573455244</v>
      </c>
      <c r="AH456" s="1">
        <f t="shared" si="121"/>
        <v>41873</v>
      </c>
      <c r="AI456">
        <f t="shared" si="125"/>
        <v>0.54251845793813613</v>
      </c>
      <c r="AJ456">
        <f t="shared" ca="1" si="115"/>
        <v>0.4919622216340846</v>
      </c>
      <c r="AK456">
        <f t="shared" ca="1" si="116"/>
        <v>0.561005440119281</v>
      </c>
      <c r="AL456">
        <f t="shared" ca="1" si="117"/>
        <v>0.60083625004035068</v>
      </c>
      <c r="AM456">
        <f t="shared" ca="1" si="118"/>
        <v>0.62664396480848117</v>
      </c>
      <c r="AN456">
        <f t="shared" ca="1" si="119"/>
        <v>0.67208019482475745</v>
      </c>
      <c r="AP456" s="40"/>
      <c r="AQ456" s="41"/>
    </row>
    <row r="457" spans="2:43" x14ac:dyDescent="0.25">
      <c r="B457" s="1">
        <v>41880</v>
      </c>
      <c r="C457">
        <v>3.524</v>
      </c>
      <c r="D457">
        <v>3.0609999999999999</v>
      </c>
      <c r="E457" t="s">
        <v>33</v>
      </c>
      <c r="G457">
        <v>9817.2999999999993</v>
      </c>
      <c r="I457" s="14">
        <f t="shared" si="122"/>
        <v>0.14975530179445351</v>
      </c>
      <c r="J457" s="15">
        <f t="shared" si="123"/>
        <v>3.377237419790613E-2</v>
      </c>
      <c r="K457" s="15"/>
      <c r="L457" s="15"/>
      <c r="M457" s="16">
        <f t="shared" si="124"/>
        <v>7.0458133793909417E-2</v>
      </c>
      <c r="O457" s="13">
        <f t="shared" si="126"/>
        <v>9.176383799617982E-2</v>
      </c>
      <c r="Q457" s="5">
        <f t="shared" si="127"/>
        <v>383.07164828979722</v>
      </c>
      <c r="R457" s="6">
        <f t="shared" si="128"/>
        <v>607.39718738592683</v>
      </c>
      <c r="T457" s="11">
        <f t="shared" si="120"/>
        <v>0.63067734959135058</v>
      </c>
      <c r="V457" s="9">
        <v>41880</v>
      </c>
      <c r="W457">
        <v>14225</v>
      </c>
      <c r="X457">
        <v>22043.419900000001</v>
      </c>
      <c r="Y457" t="s">
        <v>33</v>
      </c>
      <c r="AC457" s="24">
        <f t="shared" si="129"/>
        <v>7.6367998460371747E-2</v>
      </c>
      <c r="AE457" s="5">
        <f t="shared" si="130"/>
        <v>331.34344702215492</v>
      </c>
      <c r="AF457" s="6">
        <f t="shared" si="131"/>
        <v>607.39718738592683</v>
      </c>
      <c r="AH457" s="1">
        <f t="shared" si="121"/>
        <v>41880</v>
      </c>
      <c r="AI457">
        <f t="shared" si="125"/>
        <v>0.54551363408211928</v>
      </c>
      <c r="AJ457">
        <f t="shared" ca="1" si="115"/>
        <v>0.4919622216340846</v>
      </c>
      <c r="AK457">
        <f t="shared" ca="1" si="116"/>
        <v>0.54224138454222559</v>
      </c>
      <c r="AL457">
        <f t="shared" ca="1" si="117"/>
        <v>0.59882856850366784</v>
      </c>
      <c r="AM457">
        <f t="shared" ca="1" si="118"/>
        <v>0.62367675300537662</v>
      </c>
      <c r="AN457">
        <f t="shared" ca="1" si="119"/>
        <v>0.65249766439394896</v>
      </c>
      <c r="AP457" s="40"/>
      <c r="AQ457" s="41"/>
    </row>
    <row r="458" spans="2:43" x14ac:dyDescent="0.25">
      <c r="B458" s="1">
        <v>41887</v>
      </c>
      <c r="C458">
        <v>3.8639999999999999</v>
      </c>
      <c r="D458">
        <v>3.1930000000000001</v>
      </c>
      <c r="E458" t="s">
        <v>33</v>
      </c>
      <c r="G458">
        <v>10414.67</v>
      </c>
      <c r="I458" s="14">
        <f t="shared" si="122"/>
        <v>9.6481271282633285E-2</v>
      </c>
      <c r="J458" s="15">
        <f t="shared" si="123"/>
        <v>4.3123162365240164E-2</v>
      </c>
      <c r="K458" s="15"/>
      <c r="L458" s="15"/>
      <c r="M458" s="16">
        <f t="shared" si="124"/>
        <v>6.0848705855989005E-2</v>
      </c>
      <c r="O458" s="13">
        <f t="shared" si="126"/>
        <v>6.9802216823936725E-2</v>
      </c>
      <c r="Q458" s="5">
        <f t="shared" si="127"/>
        <v>409.81089854282448</v>
      </c>
      <c r="R458" s="6">
        <f t="shared" si="128"/>
        <v>644.35652017892812</v>
      </c>
      <c r="T458" s="11">
        <f t="shared" si="120"/>
        <v>0.63600023544268036</v>
      </c>
      <c r="V458" s="9">
        <v>41887</v>
      </c>
      <c r="W458">
        <v>15600</v>
      </c>
      <c r="X458">
        <v>22992.009699999999</v>
      </c>
      <c r="Y458" t="s">
        <v>33</v>
      </c>
      <c r="AC458" s="24">
        <f t="shared" si="129"/>
        <v>6.4050986115012004E-2</v>
      </c>
      <c r="AE458" s="5">
        <f t="shared" si="130"/>
        <v>352.56632154667119</v>
      </c>
      <c r="AF458" s="6">
        <f t="shared" si="131"/>
        <v>644.35652017892812</v>
      </c>
      <c r="AH458" s="1">
        <f t="shared" si="121"/>
        <v>41887</v>
      </c>
      <c r="AI458">
        <f t="shared" si="125"/>
        <v>0.5471603227492271</v>
      </c>
      <c r="AJ458">
        <f t="shared" ca="1" si="115"/>
        <v>0.4919622216340846</v>
      </c>
      <c r="AK458">
        <f t="shared" ca="1" si="116"/>
        <v>0.54224138454222559</v>
      </c>
      <c r="AL458">
        <f t="shared" ca="1" si="117"/>
        <v>0.5970708190868701</v>
      </c>
      <c r="AM458">
        <f t="shared" ca="1" si="118"/>
        <v>0.62032817905340365</v>
      </c>
      <c r="AN458">
        <f t="shared" ca="1" si="119"/>
        <v>0.65038405571460278</v>
      </c>
      <c r="AP458" s="40"/>
      <c r="AQ458" s="41"/>
    </row>
    <row r="459" spans="2:43" x14ac:dyDescent="0.25">
      <c r="B459" s="1">
        <v>41894</v>
      </c>
      <c r="C459">
        <v>4.508</v>
      </c>
      <c r="D459">
        <v>3.3</v>
      </c>
      <c r="E459" t="s">
        <v>33</v>
      </c>
      <c r="G459">
        <v>11054.09</v>
      </c>
      <c r="I459" s="14">
        <f t="shared" si="122"/>
        <v>0.16666666666666674</v>
      </c>
      <c r="J459" s="15">
        <f t="shared" si="123"/>
        <v>3.3510804885687362E-2</v>
      </c>
      <c r="K459" s="15"/>
      <c r="L459" s="15"/>
      <c r="M459" s="16">
        <f t="shared" si="124"/>
        <v>6.139608840222488E-2</v>
      </c>
      <c r="O459" s="13">
        <f t="shared" si="126"/>
        <v>0.10008873577617705</v>
      </c>
      <c r="Q459" s="5">
        <f t="shared" si="127"/>
        <v>450.82835328527494</v>
      </c>
      <c r="R459" s="6">
        <f t="shared" si="128"/>
        <v>683.91749005438362</v>
      </c>
      <c r="T459" s="11">
        <f t="shared" si="120"/>
        <v>0.65918529624008604</v>
      </c>
      <c r="V459" s="9">
        <v>41894</v>
      </c>
      <c r="W459">
        <v>18200</v>
      </c>
      <c r="X459">
        <v>23759.915700000001</v>
      </c>
      <c r="Y459" t="s">
        <v>33</v>
      </c>
      <c r="AC459" s="24">
        <f t="shared" si="129"/>
        <v>8.7336232997125632E-2</v>
      </c>
      <c r="AE459" s="5">
        <f t="shared" si="130"/>
        <v>383.35813595221077</v>
      </c>
      <c r="AF459" s="6">
        <f t="shared" si="131"/>
        <v>683.91749005438362</v>
      </c>
      <c r="AH459" s="1">
        <f t="shared" si="121"/>
        <v>41894</v>
      </c>
      <c r="AI459">
        <f t="shared" si="125"/>
        <v>0.56053272730563886</v>
      </c>
      <c r="AJ459">
        <f t="shared" ca="1" si="115"/>
        <v>0.4919622216340846</v>
      </c>
      <c r="AK459">
        <f t="shared" ca="1" si="116"/>
        <v>0.54224138454222559</v>
      </c>
      <c r="AL459">
        <f t="shared" ca="1" si="117"/>
        <v>0.59672040295188955</v>
      </c>
      <c r="AM459">
        <f t="shared" ca="1" si="118"/>
        <v>0.61678013606285043</v>
      </c>
      <c r="AN459">
        <f t="shared" ca="1" si="119"/>
        <v>0.64120451297745129</v>
      </c>
      <c r="AP459" s="40"/>
      <c r="AQ459" s="41"/>
    </row>
    <row r="460" spans="2:43" x14ac:dyDescent="0.25">
      <c r="B460" s="1">
        <v>41901</v>
      </c>
      <c r="C460">
        <v>4.7439999999999998</v>
      </c>
      <c r="D460">
        <v>3.4940000000000002</v>
      </c>
      <c r="E460" t="s">
        <v>33</v>
      </c>
      <c r="G460">
        <v>11580.91</v>
      </c>
      <c r="I460" s="14">
        <f t="shared" si="122"/>
        <v>5.2351375332741812E-2</v>
      </c>
      <c r="J460" s="15">
        <f t="shared" si="123"/>
        <v>5.8787878787878833E-2</v>
      </c>
      <c r="K460" s="15"/>
      <c r="L460" s="15"/>
      <c r="M460" s="16">
        <f t="shared" si="124"/>
        <v>4.7658378030213333E-2</v>
      </c>
      <c r="O460" s="13">
        <f t="shared" si="126"/>
        <v>5.5569627060310323E-2</v>
      </c>
      <c r="Q460" s="5">
        <f t="shared" si="127"/>
        <v>475.88071674555152</v>
      </c>
      <c r="R460" s="6">
        <f t="shared" si="128"/>
        <v>716.51188833687013</v>
      </c>
      <c r="T460" s="11">
        <f t="shared" si="120"/>
        <v>0.66416304389609071</v>
      </c>
      <c r="V460" s="9">
        <v>41901</v>
      </c>
      <c r="W460">
        <v>19150</v>
      </c>
      <c r="X460">
        <v>25160.214899999999</v>
      </c>
      <c r="Y460" t="s">
        <v>33</v>
      </c>
      <c r="AC460" s="24">
        <f t="shared" si="129"/>
        <v>5.5996062814723919E-2</v>
      </c>
      <c r="AE460" s="5">
        <f t="shared" si="130"/>
        <v>404.82468221352627</v>
      </c>
      <c r="AF460" s="6">
        <f t="shared" si="131"/>
        <v>716.51188833687013</v>
      </c>
      <c r="AH460" s="1">
        <f t="shared" si="121"/>
        <v>41901</v>
      </c>
      <c r="AI460">
        <f t="shared" si="125"/>
        <v>0.56499367114924515</v>
      </c>
      <c r="AJ460">
        <f t="shared" ca="1" si="115"/>
        <v>0.4919622216340846</v>
      </c>
      <c r="AK460">
        <f t="shared" ca="1" si="116"/>
        <v>0.54224138454222559</v>
      </c>
      <c r="AL460">
        <f t="shared" ca="1" si="117"/>
        <v>0.59575091828846671</v>
      </c>
      <c r="AM460">
        <f t="shared" ca="1" si="118"/>
        <v>0.61583101000180218</v>
      </c>
      <c r="AN460">
        <f t="shared" ca="1" si="119"/>
        <v>0.63567484573592148</v>
      </c>
      <c r="AP460" s="40"/>
      <c r="AQ460" s="41"/>
    </row>
    <row r="461" spans="2:43" x14ac:dyDescent="0.25">
      <c r="B461" s="1">
        <v>41908</v>
      </c>
      <c r="C461">
        <v>5.8769999999999998</v>
      </c>
      <c r="D461">
        <v>4.4729999999999999</v>
      </c>
      <c r="E461" t="s">
        <v>33</v>
      </c>
      <c r="G461">
        <v>12535.53</v>
      </c>
      <c r="I461" s="14">
        <f t="shared" si="122"/>
        <v>0.23882799325463755</v>
      </c>
      <c r="J461" s="15">
        <f t="shared" si="123"/>
        <v>0.28019461934745271</v>
      </c>
      <c r="K461" s="15"/>
      <c r="L461" s="15"/>
      <c r="M461" s="16">
        <f t="shared" si="124"/>
        <v>8.2430482578657482E-2</v>
      </c>
      <c r="O461" s="13">
        <f t="shared" si="126"/>
        <v>0.25951130630104513</v>
      </c>
      <c r="Q461" s="5">
        <f t="shared" si="127"/>
        <v>599.3771431916673</v>
      </c>
      <c r="R461" s="6">
        <f t="shared" si="128"/>
        <v>775.57430906582351</v>
      </c>
      <c r="T461" s="11">
        <f t="shared" si="120"/>
        <v>0.77281717068944034</v>
      </c>
      <c r="V461" s="9">
        <v>41908</v>
      </c>
      <c r="W461">
        <v>23725</v>
      </c>
      <c r="X461">
        <v>32206.8819</v>
      </c>
      <c r="Y461" t="s">
        <v>33</v>
      </c>
      <c r="AC461" s="24">
        <f t="shared" si="129"/>
        <v>0.26231678031044525</v>
      </c>
      <c r="AE461" s="5">
        <f t="shared" si="130"/>
        <v>511.01698944197773</v>
      </c>
      <c r="AF461" s="6">
        <f t="shared" si="131"/>
        <v>775.57430906582351</v>
      </c>
      <c r="AH461" s="1">
        <f t="shared" si="121"/>
        <v>41908</v>
      </c>
      <c r="AI461">
        <f t="shared" si="125"/>
        <v>0.6588884952332883</v>
      </c>
      <c r="AJ461">
        <f t="shared" ca="1" si="115"/>
        <v>0.4919622216340846</v>
      </c>
      <c r="AK461">
        <f t="shared" ca="1" si="116"/>
        <v>0.54224138454222559</v>
      </c>
      <c r="AL461">
        <f t="shared" ca="1" si="117"/>
        <v>0.58961037726896603</v>
      </c>
      <c r="AM461">
        <f t="shared" ca="1" si="118"/>
        <v>0.61547446202134815</v>
      </c>
      <c r="AN461">
        <f t="shared" ca="1" si="119"/>
        <v>0.63567484573592148</v>
      </c>
      <c r="AP461" s="40"/>
      <c r="AQ461" s="41"/>
    </row>
    <row r="462" spans="2:43" x14ac:dyDescent="0.25">
      <c r="B462" s="1">
        <v>41915</v>
      </c>
      <c r="C462">
        <v>5.2510000000000003</v>
      </c>
      <c r="D462">
        <v>4.141</v>
      </c>
      <c r="E462" t="s">
        <v>33</v>
      </c>
      <c r="G462">
        <v>11419.41</v>
      </c>
      <c r="I462" s="14">
        <f t="shared" si="122"/>
        <v>-0.10651693040666999</v>
      </c>
      <c r="J462" s="15">
        <f t="shared" si="123"/>
        <v>-7.4223116476637596E-2</v>
      </c>
      <c r="K462" s="15"/>
      <c r="L462" s="15"/>
      <c r="M462" s="16">
        <f t="shared" si="124"/>
        <v>-8.9036522588195388E-2</v>
      </c>
      <c r="O462" s="13">
        <f t="shared" si="126"/>
        <v>-9.0370023441653791E-2</v>
      </c>
      <c r="Q462" s="5">
        <f t="shared" si="127"/>
        <v>545.21141671104488</v>
      </c>
      <c r="R462" s="6">
        <f t="shared" si="128"/>
        <v>706.51986957786028</v>
      </c>
      <c r="T462" s="11">
        <f t="shared" si="120"/>
        <v>0.77168589333064919</v>
      </c>
      <c r="V462" s="9">
        <v>41915</v>
      </c>
      <c r="W462">
        <v>21200</v>
      </c>
      <c r="X462">
        <v>29812.822</v>
      </c>
      <c r="Y462" t="s">
        <v>33</v>
      </c>
      <c r="AC462" s="24">
        <f t="shared" si="129"/>
        <v>-8.7921399271052539E-2</v>
      </c>
      <c r="AE462" s="5">
        <f t="shared" si="130"/>
        <v>466.08766067895834</v>
      </c>
      <c r="AF462" s="6">
        <f t="shared" si="131"/>
        <v>706.51986957786028</v>
      </c>
      <c r="AH462" s="1">
        <f t="shared" si="121"/>
        <v>41915</v>
      </c>
      <c r="AI462">
        <f t="shared" si="125"/>
        <v>0.65969504998839146</v>
      </c>
      <c r="AJ462">
        <f t="shared" ca="1" si="115"/>
        <v>0.4919622216340846</v>
      </c>
      <c r="AK462">
        <f t="shared" ca="1" si="116"/>
        <v>0.54224138454222559</v>
      </c>
      <c r="AL462">
        <f t="shared" ca="1" si="117"/>
        <v>0.58961037726896603</v>
      </c>
      <c r="AM462">
        <f t="shared" ca="1" si="118"/>
        <v>0.61583101000180218</v>
      </c>
      <c r="AN462">
        <f t="shared" ca="1" si="119"/>
        <v>0.6497747080553028</v>
      </c>
      <c r="AP462" s="40"/>
      <c r="AQ462" s="41"/>
    </row>
    <row r="463" spans="2:43" x14ac:dyDescent="0.25">
      <c r="B463" s="1">
        <v>41922</v>
      </c>
      <c r="C463">
        <v>5.0469999999999997</v>
      </c>
      <c r="D463">
        <v>3.8959999999999999</v>
      </c>
      <c r="E463" t="s">
        <v>33</v>
      </c>
      <c r="G463">
        <v>10040.24</v>
      </c>
      <c r="I463" s="14">
        <f t="shared" si="122"/>
        <v>-3.8849742906113205E-2</v>
      </c>
      <c r="J463" s="15">
        <f t="shared" si="123"/>
        <v>-5.9164453030668973E-2</v>
      </c>
      <c r="K463" s="15"/>
      <c r="L463" s="15"/>
      <c r="M463" s="16">
        <f t="shared" si="124"/>
        <v>-0.12077419061054817</v>
      </c>
      <c r="O463" s="13">
        <f t="shared" si="126"/>
        <v>-4.9007097968391089E-2</v>
      </c>
      <c r="Q463" s="5">
        <f t="shared" si="127"/>
        <v>518.49218739880143</v>
      </c>
      <c r="R463" s="6">
        <f t="shared" si="128"/>
        <v>621.19050417932419</v>
      </c>
      <c r="T463" s="11">
        <f t="shared" si="120"/>
        <v>0.83467500534928329</v>
      </c>
      <c r="V463" s="9">
        <v>41922</v>
      </c>
      <c r="W463">
        <v>20375</v>
      </c>
      <c r="X463">
        <v>28051.155200000001</v>
      </c>
      <c r="Y463" t="s">
        <v>33</v>
      </c>
      <c r="AC463" s="24">
        <f t="shared" si="129"/>
        <v>-5.0722029385872724E-2</v>
      </c>
      <c r="AE463" s="5">
        <f t="shared" si="130"/>
        <v>442.44674865760754</v>
      </c>
      <c r="AF463" s="6">
        <f t="shared" si="131"/>
        <v>621.19050417932419</v>
      </c>
      <c r="AH463" s="1">
        <f t="shared" si="121"/>
        <v>41922</v>
      </c>
      <c r="AI463">
        <f t="shared" si="125"/>
        <v>0.71225613669374899</v>
      </c>
      <c r="AJ463">
        <f t="shared" ca="1" si="115"/>
        <v>0.4919622216340846</v>
      </c>
      <c r="AK463">
        <f t="shared" ca="1" si="116"/>
        <v>0.54224138454222559</v>
      </c>
      <c r="AL463">
        <f t="shared" ca="1" si="117"/>
        <v>0.58961037726896603</v>
      </c>
      <c r="AM463">
        <f t="shared" ca="1" si="118"/>
        <v>0.61583101000180218</v>
      </c>
      <c r="AN463">
        <f t="shared" ca="1" si="119"/>
        <v>0.65249766439394896</v>
      </c>
      <c r="AP463" s="40"/>
      <c r="AQ463" s="41"/>
    </row>
    <row r="464" spans="2:43" x14ac:dyDescent="0.25">
      <c r="B464" s="1">
        <v>41929</v>
      </c>
      <c r="C464">
        <v>5.431</v>
      </c>
      <c r="D464">
        <v>4.2160000000000002</v>
      </c>
      <c r="E464" t="s">
        <v>33</v>
      </c>
      <c r="G464">
        <v>10542.6</v>
      </c>
      <c r="I464" s="14">
        <f t="shared" si="122"/>
        <v>7.60848028531802E-2</v>
      </c>
      <c r="J464" s="15">
        <f t="shared" si="123"/>
        <v>8.2135523613963146E-2</v>
      </c>
      <c r="K464" s="15"/>
      <c r="L464" s="15"/>
      <c r="M464" s="16">
        <f t="shared" si="124"/>
        <v>5.0034660526043329E-2</v>
      </c>
      <c r="O464" s="13">
        <f t="shared" si="126"/>
        <v>7.9110163233571673E-2</v>
      </c>
      <c r="Q464" s="5">
        <f t="shared" si="127"/>
        <v>559.51018897925223</v>
      </c>
      <c r="R464" s="6">
        <f t="shared" si="128"/>
        <v>652.27156017793834</v>
      </c>
      <c r="T464" s="11">
        <f t="shared" si="120"/>
        <v>0.8577871903944716</v>
      </c>
      <c r="V464" s="9">
        <v>41929</v>
      </c>
      <c r="W464">
        <v>21925</v>
      </c>
      <c r="X464">
        <v>30354.873299999999</v>
      </c>
      <c r="Y464" t="s">
        <v>33</v>
      </c>
      <c r="AC464" s="24">
        <f t="shared" si="129"/>
        <v>7.9589720937872269E-2</v>
      </c>
      <c r="AE464" s="5">
        <f t="shared" si="130"/>
        <v>477.6609619131354</v>
      </c>
      <c r="AF464" s="6">
        <f t="shared" si="131"/>
        <v>652.27156017793834</v>
      </c>
      <c r="AH464" s="1">
        <f t="shared" si="121"/>
        <v>41929</v>
      </c>
      <c r="AI464">
        <f t="shared" si="125"/>
        <v>0.73230383029858059</v>
      </c>
      <c r="AJ464">
        <f t="shared" ca="1" si="115"/>
        <v>0.4919622216340846</v>
      </c>
      <c r="AK464">
        <f t="shared" ca="1" si="116"/>
        <v>0.54224138454222559</v>
      </c>
      <c r="AL464">
        <f t="shared" ca="1" si="117"/>
        <v>0.58961037726896603</v>
      </c>
      <c r="AM464">
        <f t="shared" ca="1" si="118"/>
        <v>0.61678013606285043</v>
      </c>
      <c r="AN464">
        <f t="shared" ca="1" si="119"/>
        <v>0.65826231620248554</v>
      </c>
      <c r="AP464" s="40"/>
      <c r="AQ464" s="41"/>
    </row>
    <row r="465" spans="2:43" x14ac:dyDescent="0.25">
      <c r="B465" s="1">
        <v>41936</v>
      </c>
      <c r="C465">
        <v>5.6040000000000001</v>
      </c>
      <c r="D465">
        <v>4.2530000000000001</v>
      </c>
      <c r="E465" t="s">
        <v>33</v>
      </c>
      <c r="G465">
        <v>10555.87</v>
      </c>
      <c r="I465" s="14">
        <f t="shared" si="122"/>
        <v>3.185417050266981E-2</v>
      </c>
      <c r="J465" s="15">
        <f t="shared" si="123"/>
        <v>8.7760910815939397E-3</v>
      </c>
      <c r="K465" s="15"/>
      <c r="L465" s="15"/>
      <c r="M465" s="16">
        <f t="shared" si="124"/>
        <v>1.2587027867889677E-3</v>
      </c>
      <c r="O465" s="13">
        <f t="shared" si="126"/>
        <v>2.0315130792131875E-2</v>
      </c>
      <c r="Q465" s="5">
        <f t="shared" si="127"/>
        <v>570.87671164789617</v>
      </c>
      <c r="R465" s="6">
        <f t="shared" si="128"/>
        <v>653.09257620847745</v>
      </c>
      <c r="T465" s="11">
        <f t="shared" si="120"/>
        <v>0.87411300088896327</v>
      </c>
      <c r="V465" s="9">
        <v>41936</v>
      </c>
      <c r="W465">
        <v>22625</v>
      </c>
      <c r="X465">
        <v>30625.8989</v>
      </c>
      <c r="Y465" t="s">
        <v>33</v>
      </c>
      <c r="AC465" s="24">
        <f t="shared" si="129"/>
        <v>1.8454517201786706E-2</v>
      </c>
      <c r="AE465" s="5">
        <f t="shared" si="130"/>
        <v>486.47596435138331</v>
      </c>
      <c r="AF465" s="6">
        <f t="shared" si="131"/>
        <v>653.09257620847745</v>
      </c>
      <c r="AH465" s="1">
        <f t="shared" si="121"/>
        <v>41936</v>
      </c>
      <c r="AI465">
        <f t="shared" si="125"/>
        <v>0.74488056069418929</v>
      </c>
      <c r="AJ465">
        <f t="shared" ca="1" si="115"/>
        <v>0.4919622216340846</v>
      </c>
      <c r="AK465">
        <f t="shared" ca="1" si="116"/>
        <v>0.54224138454222559</v>
      </c>
      <c r="AL465">
        <f t="shared" ca="1" si="117"/>
        <v>0.59575091828846671</v>
      </c>
      <c r="AM465">
        <f t="shared" ca="1" si="118"/>
        <v>0.62032817905340365</v>
      </c>
      <c r="AN465">
        <f t="shared" ca="1" si="119"/>
        <v>0.65961439451288117</v>
      </c>
      <c r="AP465" s="40"/>
      <c r="AQ465" s="41"/>
    </row>
    <row r="466" spans="2:43" x14ac:dyDescent="0.25">
      <c r="B466" s="1">
        <v>41943</v>
      </c>
      <c r="C466">
        <v>5.673</v>
      </c>
      <c r="D466">
        <v>4.2969999999999997</v>
      </c>
      <c r="E466" t="s">
        <v>33</v>
      </c>
      <c r="G466">
        <v>11019.43</v>
      </c>
      <c r="I466" s="14">
        <f t="shared" si="122"/>
        <v>1.2312633832976427E-2</v>
      </c>
      <c r="J466" s="15">
        <f t="shared" si="123"/>
        <v>1.0345638372913246E-2</v>
      </c>
      <c r="K466" s="15"/>
      <c r="L466" s="15"/>
      <c r="M466" s="16">
        <f t="shared" si="124"/>
        <v>4.3914902324488692E-2</v>
      </c>
      <c r="O466" s="13">
        <f t="shared" si="126"/>
        <v>1.1329136102944837E-2</v>
      </c>
      <c r="Q466" s="5">
        <f t="shared" si="127"/>
        <v>577.34425161215677</v>
      </c>
      <c r="R466" s="6">
        <f t="shared" si="128"/>
        <v>681.77307290152146</v>
      </c>
      <c r="T466" s="11">
        <f t="shared" si="120"/>
        <v>0.84682759492842441</v>
      </c>
      <c r="V466" s="9">
        <v>41943</v>
      </c>
      <c r="W466">
        <v>22900</v>
      </c>
      <c r="X466">
        <v>30942.095499999999</v>
      </c>
      <c r="Y466" t="s">
        <v>33</v>
      </c>
      <c r="AC466" s="24">
        <f t="shared" si="129"/>
        <v>1.1181366467710336E-2</v>
      </c>
      <c r="AE466" s="5">
        <f t="shared" si="130"/>
        <v>491.9154303865289</v>
      </c>
      <c r="AF466" s="6">
        <f t="shared" si="131"/>
        <v>681.77307290152146</v>
      </c>
      <c r="AH466" s="1">
        <f t="shared" si="121"/>
        <v>41943</v>
      </c>
      <c r="AI466">
        <f t="shared" si="125"/>
        <v>0.72152370039053082</v>
      </c>
      <c r="AJ466">
        <f t="shared" ca="1" si="115"/>
        <v>0.4919622216340846</v>
      </c>
      <c r="AK466">
        <f t="shared" ca="1" si="116"/>
        <v>0.54224138454222559</v>
      </c>
      <c r="AL466">
        <f t="shared" ca="1" si="117"/>
        <v>0.59575091828846671</v>
      </c>
      <c r="AM466">
        <f t="shared" ca="1" si="118"/>
        <v>0.62367675300537662</v>
      </c>
      <c r="AN466">
        <f t="shared" ca="1" si="119"/>
        <v>0.67278702933107049</v>
      </c>
      <c r="AP466" s="40"/>
      <c r="AQ466" s="41"/>
    </row>
    <row r="467" spans="2:43" x14ac:dyDescent="0.25">
      <c r="B467" s="1">
        <v>41950</v>
      </c>
      <c r="C467">
        <v>5.3570000000000002</v>
      </c>
      <c r="D467">
        <v>4.09</v>
      </c>
      <c r="E467" t="s">
        <v>33</v>
      </c>
      <c r="G467">
        <v>10588.61</v>
      </c>
      <c r="I467" s="14">
        <f t="shared" si="122"/>
        <v>-5.5702450202714582E-2</v>
      </c>
      <c r="J467" s="15">
        <f t="shared" si="123"/>
        <v>-4.817314405399109E-2</v>
      </c>
      <c r="K467" s="15"/>
      <c r="L467" s="15"/>
      <c r="M467" s="16">
        <f t="shared" si="124"/>
        <v>-3.9096396093082797E-2</v>
      </c>
      <c r="O467" s="13">
        <f t="shared" si="126"/>
        <v>-5.1937797128352836E-2</v>
      </c>
      <c r="Q467" s="5">
        <f t="shared" si="127"/>
        <v>547.35826299870394</v>
      </c>
      <c r="R467" s="6">
        <f t="shared" si="128"/>
        <v>655.11820279776532</v>
      </c>
      <c r="T467" s="11">
        <f t="shared" si="120"/>
        <v>0.83551069205700756</v>
      </c>
      <c r="V467" s="9">
        <v>41950</v>
      </c>
      <c r="W467">
        <v>21625</v>
      </c>
      <c r="X467">
        <v>29451.454399999999</v>
      </c>
      <c r="Y467" t="s">
        <v>33</v>
      </c>
      <c r="AC467" s="24">
        <f t="shared" si="129"/>
        <v>-5.1375491756185707E-2</v>
      </c>
      <c r="AE467" s="5">
        <f t="shared" si="130"/>
        <v>466.64303324796521</v>
      </c>
      <c r="AF467" s="6">
        <f t="shared" si="131"/>
        <v>655.11820279776532</v>
      </c>
      <c r="AH467" s="1">
        <f t="shared" si="121"/>
        <v>41950</v>
      </c>
      <c r="AI467">
        <f t="shared" si="125"/>
        <v>0.71230356789829219</v>
      </c>
      <c r="AJ467">
        <f t="shared" ca="1" si="115"/>
        <v>0.4919622216340846</v>
      </c>
      <c r="AK467">
        <f t="shared" ca="1" si="116"/>
        <v>0.54224138454222559</v>
      </c>
      <c r="AL467">
        <f t="shared" ca="1" si="117"/>
        <v>0.59575091828846671</v>
      </c>
      <c r="AM467">
        <f t="shared" ca="1" si="118"/>
        <v>0.62756687467154115</v>
      </c>
      <c r="AN467">
        <f t="shared" ca="1" si="119"/>
        <v>0.6897059908149028</v>
      </c>
      <c r="AP467" s="40"/>
      <c r="AQ467" s="41"/>
    </row>
    <row r="468" spans="2:43" x14ac:dyDescent="0.25">
      <c r="B468" s="1">
        <v>41957</v>
      </c>
      <c r="C468">
        <v>4.8920000000000003</v>
      </c>
      <c r="D468">
        <v>3.7330000000000001</v>
      </c>
      <c r="E468" t="s">
        <v>33</v>
      </c>
      <c r="G468">
        <v>9749.7000000000007</v>
      </c>
      <c r="I468" s="14">
        <f t="shared" si="122"/>
        <v>-8.6802314728392727E-2</v>
      </c>
      <c r="J468" s="15">
        <f t="shared" si="123"/>
        <v>-8.7286063569682049E-2</v>
      </c>
      <c r="K468" s="15"/>
      <c r="L468" s="15"/>
      <c r="M468" s="16">
        <f t="shared" si="124"/>
        <v>-7.9227585112682353E-2</v>
      </c>
      <c r="O468" s="13">
        <f t="shared" si="126"/>
        <v>-8.7044189149037388E-2</v>
      </c>
      <c r="Q468" s="5">
        <f t="shared" si="127"/>
        <v>499.71390682195619</v>
      </c>
      <c r="R468" s="6">
        <f t="shared" si="128"/>
        <v>603.21476962673785</v>
      </c>
      <c r="T468" s="11">
        <f t="shared" si="120"/>
        <v>0.8284178902502225</v>
      </c>
      <c r="V468" s="9">
        <v>41957</v>
      </c>
      <c r="W468">
        <v>19750</v>
      </c>
      <c r="X468">
        <v>26876.7107</v>
      </c>
      <c r="Y468" t="s">
        <v>33</v>
      </c>
      <c r="AC468" s="24">
        <f t="shared" si="129"/>
        <v>-8.7081251610516733E-2</v>
      </c>
      <c r="AE468" s="5">
        <f t="shared" si="130"/>
        <v>426.00717385740444</v>
      </c>
      <c r="AF468" s="6">
        <f t="shared" si="131"/>
        <v>603.21476962673785</v>
      </c>
      <c r="AH468" s="1">
        <f t="shared" si="121"/>
        <v>41957</v>
      </c>
      <c r="AI468">
        <f t="shared" si="125"/>
        <v>0.70622802243554594</v>
      </c>
      <c r="AJ468">
        <f t="shared" ca="1" si="115"/>
        <v>0.4919622216340846</v>
      </c>
      <c r="AK468">
        <f t="shared" ca="1" si="116"/>
        <v>0.54224138454222559</v>
      </c>
      <c r="AL468">
        <f t="shared" ca="1" si="117"/>
        <v>0.59575091828846671</v>
      </c>
      <c r="AM468">
        <f t="shared" ca="1" si="118"/>
        <v>0.63537884673502731</v>
      </c>
      <c r="AN468">
        <f t="shared" ca="1" si="119"/>
        <v>0.69792272155921542</v>
      </c>
      <c r="AP468" s="40"/>
      <c r="AQ468" s="41"/>
    </row>
    <row r="469" spans="2:43" x14ac:dyDescent="0.25">
      <c r="B469" s="1">
        <v>41964</v>
      </c>
      <c r="C469">
        <v>4.5149999999999997</v>
      </c>
      <c r="D469">
        <v>3.6070000000000002</v>
      </c>
      <c r="E469" t="s">
        <v>33</v>
      </c>
      <c r="G469">
        <v>9976.67</v>
      </c>
      <c r="I469" s="14">
        <f t="shared" si="122"/>
        <v>-7.7064595257563484E-2</v>
      </c>
      <c r="J469" s="15">
        <f t="shared" si="123"/>
        <v>-3.3753013661934061E-2</v>
      </c>
      <c r="K469" s="15"/>
      <c r="L469" s="15"/>
      <c r="M469" s="16">
        <f t="shared" si="124"/>
        <v>2.3279690657148411E-2</v>
      </c>
      <c r="O469" s="13">
        <f t="shared" si="126"/>
        <v>-5.5408804459748773E-2</v>
      </c>
      <c r="Q469" s="5">
        <f t="shared" si="127"/>
        <v>472.0253566730413</v>
      </c>
      <c r="R469" s="6">
        <f t="shared" si="128"/>
        <v>617.25742286347133</v>
      </c>
      <c r="T469" s="11">
        <f t="shared" si="120"/>
        <v>0.764713941362268</v>
      </c>
      <c r="V469" s="9">
        <v>41964</v>
      </c>
      <c r="W469">
        <v>18225</v>
      </c>
      <c r="X469">
        <v>25973.2919</v>
      </c>
      <c r="Y469" t="s">
        <v>33</v>
      </c>
      <c r="AC469" s="24">
        <f t="shared" si="129"/>
        <v>-5.2098801380424817E-2</v>
      </c>
      <c r="AE469" s="5">
        <f t="shared" si="130"/>
        <v>403.81271071997145</v>
      </c>
      <c r="AF469" s="6">
        <f t="shared" si="131"/>
        <v>617.25742286347133</v>
      </c>
      <c r="AH469" s="1">
        <f t="shared" si="121"/>
        <v>41964</v>
      </c>
      <c r="AI469">
        <f t="shared" si="125"/>
        <v>0.65420470578818646</v>
      </c>
      <c r="AJ469">
        <f t="shared" ca="1" si="115"/>
        <v>0.4919622216340846</v>
      </c>
      <c r="AK469">
        <f t="shared" ca="1" si="116"/>
        <v>0.54224138454222559</v>
      </c>
      <c r="AL469">
        <f t="shared" ca="1" si="117"/>
        <v>0.59575091828846671</v>
      </c>
      <c r="AM469">
        <f t="shared" ca="1" si="118"/>
        <v>0.63962436293584901</v>
      </c>
      <c r="AN469">
        <f t="shared" ca="1" si="119"/>
        <v>0.70546969763135281</v>
      </c>
      <c r="AP469" s="40"/>
      <c r="AQ469" s="41"/>
    </row>
    <row r="470" spans="2:43" x14ac:dyDescent="0.25">
      <c r="B470" s="1">
        <v>41971</v>
      </c>
      <c r="C470">
        <v>4.9850000000000003</v>
      </c>
      <c r="D470">
        <v>4.0209999999999999</v>
      </c>
      <c r="E470" t="s">
        <v>33</v>
      </c>
      <c r="G470">
        <v>9808.6</v>
      </c>
      <c r="I470" s="14">
        <f t="shared" si="122"/>
        <v>0.10409745293466233</v>
      </c>
      <c r="J470" s="15">
        <f t="shared" si="123"/>
        <v>0.114776822844469</v>
      </c>
      <c r="K470" s="15"/>
      <c r="L470" s="15"/>
      <c r="M470" s="16">
        <f t="shared" si="124"/>
        <v>-1.6846302423554116E-2</v>
      </c>
      <c r="O470" s="13">
        <f t="shared" si="126"/>
        <v>0.10943713788956566</v>
      </c>
      <c r="Q470" s="5">
        <f t="shared" si="127"/>
        <v>523.68246071864041</v>
      </c>
      <c r="R470" s="6">
        <f t="shared" si="128"/>
        <v>606.85891764472967</v>
      </c>
      <c r="T470" s="11">
        <f t="shared" si="120"/>
        <v>0.86293938424946603</v>
      </c>
      <c r="V470" s="9">
        <v>41971</v>
      </c>
      <c r="W470">
        <v>20125</v>
      </c>
      <c r="X470">
        <v>28954.574100000002</v>
      </c>
      <c r="Y470" t="s">
        <v>33</v>
      </c>
      <c r="AC470" s="24">
        <f t="shared" si="129"/>
        <v>0.11037322469079856</v>
      </c>
      <c r="AE470" s="5">
        <f t="shared" si="130"/>
        <v>448.38282177326727</v>
      </c>
      <c r="AF470" s="6">
        <f t="shared" si="131"/>
        <v>606.85891764472967</v>
      </c>
      <c r="AH470" s="1">
        <f t="shared" si="121"/>
        <v>41971</v>
      </c>
      <c r="AI470">
        <f t="shared" si="125"/>
        <v>0.73885842118540268</v>
      </c>
      <c r="AJ470">
        <f t="shared" ca="1" si="115"/>
        <v>0.4919622216340846</v>
      </c>
      <c r="AK470">
        <f t="shared" ca="1" si="116"/>
        <v>0.54224138454222559</v>
      </c>
      <c r="AL470">
        <f t="shared" ca="1" si="117"/>
        <v>0.59575091828846671</v>
      </c>
      <c r="AM470">
        <f t="shared" ca="1" si="118"/>
        <v>0.65165890094042167</v>
      </c>
      <c r="AN470">
        <f t="shared" ca="1" si="119"/>
        <v>0.70546969763135281</v>
      </c>
      <c r="AP470" s="40"/>
      <c r="AQ470" s="41"/>
    </row>
    <row r="471" spans="2:43" x14ac:dyDescent="0.25">
      <c r="B471" s="1">
        <v>41978</v>
      </c>
      <c r="C471">
        <v>5.19</v>
      </c>
      <c r="D471">
        <v>4.1219999999999999</v>
      </c>
      <c r="E471" t="s">
        <v>33</v>
      </c>
      <c r="G471">
        <v>9580.5499999999993</v>
      </c>
      <c r="I471" s="14">
        <f t="shared" si="122"/>
        <v>4.112337011033107E-2</v>
      </c>
      <c r="J471" s="15">
        <f t="shared" si="123"/>
        <v>2.5118129818453072E-2</v>
      </c>
      <c r="K471" s="15"/>
      <c r="L471" s="15"/>
      <c r="M471" s="16">
        <f t="shared" si="124"/>
        <v>-2.3250005097567583E-2</v>
      </c>
      <c r="O471" s="13">
        <f t="shared" si="126"/>
        <v>3.3120749964392071E-2</v>
      </c>
      <c r="Q471" s="5">
        <f t="shared" si="127"/>
        <v>541.02721656084009</v>
      </c>
      <c r="R471" s="6">
        <f t="shared" si="128"/>
        <v>592.74944471598531</v>
      </c>
      <c r="T471" s="11">
        <f t="shared" si="120"/>
        <v>0.9127418361734142</v>
      </c>
      <c r="V471" s="9">
        <v>41978</v>
      </c>
      <c r="W471">
        <v>20950</v>
      </c>
      <c r="X471">
        <v>29677.309099999999</v>
      </c>
      <c r="Y471" t="s">
        <v>33</v>
      </c>
      <c r="AC471" s="24">
        <f t="shared" si="129"/>
        <v>3.168105272030533E-2</v>
      </c>
      <c r="AE471" s="5">
        <f t="shared" si="130"/>
        <v>462.5880615887454</v>
      </c>
      <c r="AF471" s="6">
        <f t="shared" si="131"/>
        <v>592.74944471598531</v>
      </c>
      <c r="AH471" s="1">
        <f t="shared" si="121"/>
        <v>41978</v>
      </c>
      <c r="AI471">
        <f t="shared" si="125"/>
        <v>0.78041078859279833</v>
      </c>
      <c r="AJ471">
        <f t="shared" ca="1" si="115"/>
        <v>0.4919622216340846</v>
      </c>
      <c r="AK471">
        <f t="shared" ca="1" si="116"/>
        <v>0.54224138454222559</v>
      </c>
      <c r="AL471">
        <f t="shared" ca="1" si="117"/>
        <v>0.59575091828846671</v>
      </c>
      <c r="AM471">
        <f t="shared" ca="1" si="118"/>
        <v>0.65302120514099227</v>
      </c>
      <c r="AN471">
        <f t="shared" ca="1" si="119"/>
        <v>0.71165332526792868</v>
      </c>
      <c r="AP471" s="40"/>
      <c r="AQ471" s="41"/>
    </row>
    <row r="472" spans="2:43" x14ac:dyDescent="0.25">
      <c r="B472" s="1">
        <v>41985</v>
      </c>
      <c r="C472">
        <v>4.7069999999999999</v>
      </c>
      <c r="D472">
        <v>3.5760000000000001</v>
      </c>
      <c r="E472" t="s">
        <v>33</v>
      </c>
      <c r="G472">
        <v>8266.8799999999992</v>
      </c>
      <c r="I472" s="14">
        <f t="shared" si="122"/>
        <v>-9.3063583815028994E-2</v>
      </c>
      <c r="J472" s="15">
        <f t="shared" si="123"/>
        <v>-0.1324599708879185</v>
      </c>
      <c r="K472" s="15"/>
      <c r="L472" s="15"/>
      <c r="M472" s="16">
        <f t="shared" si="124"/>
        <v>-0.13711843265783286</v>
      </c>
      <c r="O472" s="13">
        <f t="shared" si="126"/>
        <v>-0.11276177735147375</v>
      </c>
      <c r="Q472" s="5">
        <f t="shared" si="127"/>
        <v>480.02002602591909</v>
      </c>
      <c r="R472" s="6">
        <f t="shared" si="128"/>
        <v>511.47256989772865</v>
      </c>
      <c r="T472" s="11">
        <f t="shared" si="120"/>
        <v>0.93850590291069047</v>
      </c>
      <c r="V472" s="9">
        <v>41985</v>
      </c>
      <c r="W472">
        <v>19000</v>
      </c>
      <c r="X472">
        <v>25747.4372</v>
      </c>
      <c r="Y472" t="s">
        <v>33</v>
      </c>
      <c r="AC472" s="24">
        <f t="shared" si="129"/>
        <v>-0.1161574194813885</v>
      </c>
      <c r="AE472" s="5">
        <f t="shared" si="130"/>
        <v>408.85502607169911</v>
      </c>
      <c r="AF472" s="6">
        <f t="shared" si="131"/>
        <v>511.47256989772865</v>
      </c>
      <c r="AH472" s="1">
        <f t="shared" si="121"/>
        <v>41985</v>
      </c>
      <c r="AI472">
        <f t="shared" si="125"/>
        <v>0.79936843172929406</v>
      </c>
      <c r="AJ472">
        <f t="shared" ca="1" si="115"/>
        <v>0.4919622216340846</v>
      </c>
      <c r="AK472">
        <f t="shared" ca="1" si="116"/>
        <v>0.54224138454222559</v>
      </c>
      <c r="AL472">
        <f t="shared" ca="1" si="117"/>
        <v>0.59575091828846671</v>
      </c>
      <c r="AM472">
        <f t="shared" ca="1" si="118"/>
        <v>0.65537565314946189</v>
      </c>
      <c r="AN472">
        <f t="shared" ca="1" si="119"/>
        <v>0.7122988247778379</v>
      </c>
      <c r="AP472" s="40"/>
      <c r="AQ472" s="41"/>
    </row>
    <row r="473" spans="2:43" x14ac:dyDescent="0.25">
      <c r="B473" s="1">
        <v>41992</v>
      </c>
      <c r="C473">
        <v>4.7370000000000001</v>
      </c>
      <c r="D473">
        <v>3.5129999999999999</v>
      </c>
      <c r="E473" t="s">
        <v>33</v>
      </c>
      <c r="G473">
        <v>8022.15</v>
      </c>
      <c r="I473" s="14">
        <f t="shared" si="122"/>
        <v>6.3734862970044048E-3</v>
      </c>
      <c r="J473" s="15">
        <f t="shared" si="123"/>
        <v>-1.7617449664429574E-2</v>
      </c>
      <c r="K473" s="15"/>
      <c r="L473" s="15"/>
      <c r="M473" s="16">
        <f t="shared" si="124"/>
        <v>-2.9603671518154351E-2</v>
      </c>
      <c r="O473" s="13">
        <f t="shared" si="126"/>
        <v>-5.6219816837125847E-3</v>
      </c>
      <c r="Q473" s="5">
        <f t="shared" si="127"/>
        <v>477.32136223178611</v>
      </c>
      <c r="R473" s="6">
        <f t="shared" si="128"/>
        <v>496.33110394793005</v>
      </c>
      <c r="T473" s="11">
        <f t="shared" si="120"/>
        <v>0.96169947527983612</v>
      </c>
      <c r="V473" s="9">
        <v>41992</v>
      </c>
      <c r="W473">
        <v>19125</v>
      </c>
      <c r="X473">
        <v>25295.727699999999</v>
      </c>
      <c r="Y473" t="s">
        <v>33</v>
      </c>
      <c r="AC473" s="24">
        <f t="shared" si="129"/>
        <v>-7.4307705652465368E-3</v>
      </c>
      <c r="AE473" s="5">
        <f t="shared" si="130"/>
        <v>405.81691817851242</v>
      </c>
      <c r="AF473" s="6">
        <f t="shared" si="131"/>
        <v>496.33110394793005</v>
      </c>
      <c r="AH473" s="1">
        <f t="shared" si="121"/>
        <v>41992</v>
      </c>
      <c r="AI473">
        <f t="shared" si="125"/>
        <v>0.81763346070909659</v>
      </c>
      <c r="AJ473">
        <f t="shared" ca="1" si="115"/>
        <v>0.4919622216340846</v>
      </c>
      <c r="AK473">
        <f t="shared" ca="1" si="116"/>
        <v>0.54224138454222559</v>
      </c>
      <c r="AL473">
        <f t="shared" ca="1" si="117"/>
        <v>0.59575091828846671</v>
      </c>
      <c r="AM473">
        <f t="shared" ca="1" si="118"/>
        <v>0.65909013392206406</v>
      </c>
      <c r="AN473">
        <f t="shared" ca="1" si="119"/>
        <v>0.7206016871413069</v>
      </c>
      <c r="AP473" s="40"/>
      <c r="AQ473" s="41"/>
    </row>
    <row r="474" spans="2:43" x14ac:dyDescent="0.25">
      <c r="B474" s="1">
        <v>41999</v>
      </c>
      <c r="C474">
        <v>5.2729999999999997</v>
      </c>
      <c r="D474">
        <v>3.7639999999999998</v>
      </c>
      <c r="E474" t="s">
        <v>33</v>
      </c>
      <c r="G474">
        <v>8373.74</v>
      </c>
      <c r="I474" s="14">
        <f t="shared" si="122"/>
        <v>0.11315178382942781</v>
      </c>
      <c r="J474" s="15">
        <f t="shared" si="123"/>
        <v>7.144890407059501E-2</v>
      </c>
      <c r="K474" s="15"/>
      <c r="L474" s="15"/>
      <c r="M474" s="16">
        <f t="shared" si="124"/>
        <v>4.3827402878280797E-2</v>
      </c>
      <c r="O474" s="13">
        <f t="shared" si="126"/>
        <v>9.230034395001141E-2</v>
      </c>
      <c r="Q474" s="5">
        <f t="shared" si="127"/>
        <v>521.37828814046793</v>
      </c>
      <c r="R474" s="6">
        <f t="shared" si="128"/>
        <v>518.08400720167788</v>
      </c>
      <c r="T474" s="11">
        <f t="shared" si="120"/>
        <v>1.0063585845017364</v>
      </c>
      <c r="V474" s="9">
        <v>41999</v>
      </c>
      <c r="W474">
        <v>21250</v>
      </c>
      <c r="X474">
        <v>27102.565399999999</v>
      </c>
      <c r="Y474" t="s">
        <v>33</v>
      </c>
      <c r="AC474" s="24">
        <f t="shared" si="129"/>
        <v>8.9403755705942639E-2</v>
      </c>
      <c r="AE474" s="5">
        <f t="shared" si="130"/>
        <v>442.09847479268262</v>
      </c>
      <c r="AF474" s="6">
        <f t="shared" si="131"/>
        <v>518.08400720167788</v>
      </c>
      <c r="AH474" s="1">
        <f t="shared" si="121"/>
        <v>41999</v>
      </c>
      <c r="AI474">
        <f t="shared" si="125"/>
        <v>0.85333356877890287</v>
      </c>
      <c r="AJ474">
        <f t="shared" ca="1" si="115"/>
        <v>0.4919622216340846</v>
      </c>
      <c r="AK474">
        <f t="shared" ca="1" si="116"/>
        <v>0.54224138454222559</v>
      </c>
      <c r="AL474">
        <f t="shared" ca="1" si="117"/>
        <v>0.59575091828846671</v>
      </c>
      <c r="AM474">
        <f t="shared" ca="1" si="118"/>
        <v>0.66333171091691345</v>
      </c>
      <c r="AN474">
        <f t="shared" ca="1" si="119"/>
        <v>0.73122581730777558</v>
      </c>
      <c r="AP474" s="40"/>
      <c r="AQ474" s="41"/>
    </row>
    <row r="475" spans="2:43" x14ac:dyDescent="0.25">
      <c r="B475" s="1">
        <v>42006</v>
      </c>
      <c r="C475">
        <v>5.4219999999999997</v>
      </c>
      <c r="D475">
        <v>4.0149999999999997</v>
      </c>
      <c r="E475" t="s">
        <v>33</v>
      </c>
      <c r="G475">
        <v>8666.4500000000007</v>
      </c>
      <c r="I475" s="14">
        <f t="shared" si="122"/>
        <v>2.8257159112459629E-2</v>
      </c>
      <c r="J475" s="15">
        <f t="shared" si="123"/>
        <v>6.6684378320935211E-2</v>
      </c>
      <c r="K475" s="15"/>
      <c r="L475" s="15"/>
      <c r="M475" s="16">
        <f t="shared" si="124"/>
        <v>3.4955706769018491E-2</v>
      </c>
      <c r="O475" s="13">
        <f t="shared" si="126"/>
        <v>4.747076871669742E-2</v>
      </c>
      <c r="Q475" s="5">
        <f t="shared" si="127"/>
        <v>546.12851627069176</v>
      </c>
      <c r="R475" s="6">
        <f t="shared" si="128"/>
        <v>536.19399983913775</v>
      </c>
      <c r="T475" s="11">
        <f t="shared" si="120"/>
        <v>1.018527839615017</v>
      </c>
      <c r="V475" s="9">
        <v>42006</v>
      </c>
      <c r="W475">
        <v>21850</v>
      </c>
      <c r="X475">
        <v>28909.4031</v>
      </c>
      <c r="Y475" t="s">
        <v>33</v>
      </c>
      <c r="AC475" s="24">
        <f t="shared" si="129"/>
        <v>4.9796372453513205E-2</v>
      </c>
      <c r="AE475" s="5">
        <f t="shared" si="130"/>
        <v>464.11337510458912</v>
      </c>
      <c r="AF475" s="6">
        <f t="shared" si="131"/>
        <v>536.19399983913775</v>
      </c>
      <c r="AH475" s="1">
        <f t="shared" si="121"/>
        <v>42006</v>
      </c>
      <c r="AI475">
        <f t="shared" si="125"/>
        <v>0.86556987814825725</v>
      </c>
      <c r="AJ475">
        <f t="shared" ca="1" si="115"/>
        <v>0.4919622216340846</v>
      </c>
      <c r="AK475">
        <f t="shared" ca="1" si="116"/>
        <v>0.54224138454222559</v>
      </c>
      <c r="AL475">
        <f t="shared" ca="1" si="117"/>
        <v>0.59575091828846671</v>
      </c>
      <c r="AM475">
        <f t="shared" ca="1" si="118"/>
        <v>0.67853733178926368</v>
      </c>
      <c r="AN475">
        <f t="shared" ca="1" si="119"/>
        <v>0.73820296209672043</v>
      </c>
      <c r="AP475" s="40"/>
      <c r="AQ475" s="41"/>
    </row>
    <row r="476" spans="2:43" x14ac:dyDescent="0.25">
      <c r="B476" s="1">
        <v>42013</v>
      </c>
      <c r="C476">
        <v>5.2789999999999999</v>
      </c>
      <c r="D476">
        <v>3.839</v>
      </c>
      <c r="E476" t="s">
        <v>33</v>
      </c>
      <c r="G476">
        <v>8459.65</v>
      </c>
      <c r="I476" s="14">
        <f t="shared" si="122"/>
        <v>-2.6374031722611546E-2</v>
      </c>
      <c r="J476" s="15">
        <f t="shared" si="123"/>
        <v>-4.3835616438356095E-2</v>
      </c>
      <c r="K476" s="15"/>
      <c r="L476" s="15"/>
      <c r="M476" s="16">
        <f t="shared" si="124"/>
        <v>-2.3862135014913965E-2</v>
      </c>
      <c r="O476" s="13">
        <f t="shared" si="126"/>
        <v>-3.5104824080483821E-2</v>
      </c>
      <c r="Q476" s="5">
        <f t="shared" si="127"/>
        <v>526.95677078167341</v>
      </c>
      <c r="R476" s="6">
        <f t="shared" si="128"/>
        <v>523.39926622078951</v>
      </c>
      <c r="T476" s="11">
        <f t="shared" si="120"/>
        <v>1.0067969230957676</v>
      </c>
      <c r="V476" s="9">
        <v>42013</v>
      </c>
      <c r="W476">
        <v>21275</v>
      </c>
      <c r="X476">
        <v>27644.616699999999</v>
      </c>
      <c r="Y476" t="s">
        <v>33</v>
      </c>
      <c r="AC476" s="24">
        <f t="shared" si="129"/>
        <v>-3.6319065755374989E-2</v>
      </c>
      <c r="AE476" s="5">
        <f t="shared" si="130"/>
        <v>447.25721091621654</v>
      </c>
      <c r="AF476" s="6">
        <f t="shared" si="131"/>
        <v>523.39926622078951</v>
      </c>
      <c r="AH476" s="1">
        <f t="shared" si="121"/>
        <v>42013</v>
      </c>
      <c r="AI476">
        <f t="shared" si="125"/>
        <v>0.85452395481109933</v>
      </c>
      <c r="AJ476">
        <f t="shared" ca="1" si="115"/>
        <v>0.4919622216340846</v>
      </c>
      <c r="AK476">
        <f t="shared" ca="1" si="116"/>
        <v>0.54224138454222559</v>
      </c>
      <c r="AL476">
        <f t="shared" ca="1" si="117"/>
        <v>0.59575091828846671</v>
      </c>
      <c r="AM476">
        <f t="shared" ca="1" si="118"/>
        <v>0.69322937813561625</v>
      </c>
      <c r="AN476">
        <f t="shared" ca="1" si="119"/>
        <v>0.74427834674331061</v>
      </c>
      <c r="AP476" s="40"/>
      <c r="AQ476" s="41"/>
    </row>
    <row r="477" spans="2:43" x14ac:dyDescent="0.25">
      <c r="B477" s="1">
        <v>42020</v>
      </c>
      <c r="C477">
        <v>4.9569999999999999</v>
      </c>
      <c r="D477">
        <v>3.758</v>
      </c>
      <c r="E477" t="s">
        <v>33</v>
      </c>
      <c r="G477">
        <v>8658.9599999999991</v>
      </c>
      <c r="I477" s="14">
        <f t="shared" si="122"/>
        <v>-6.0996400833491227E-2</v>
      </c>
      <c r="J477" s="15">
        <f t="shared" si="123"/>
        <v>-2.1099244594946609E-2</v>
      </c>
      <c r="K477" s="15"/>
      <c r="L477" s="15"/>
      <c r="M477" s="16">
        <f t="shared" si="124"/>
        <v>2.356007636249724E-2</v>
      </c>
      <c r="O477" s="13">
        <f t="shared" si="126"/>
        <v>-4.1047822714218918E-2</v>
      </c>
      <c r="Q477" s="5">
        <f t="shared" si="127"/>
        <v>505.32634267656999</v>
      </c>
      <c r="R477" s="6">
        <f t="shared" si="128"/>
        <v>535.73059290102628</v>
      </c>
      <c r="T477" s="11">
        <f t="shared" si="120"/>
        <v>0.94324712714311365</v>
      </c>
      <c r="V477" s="9">
        <v>42020</v>
      </c>
      <c r="W477">
        <v>19975</v>
      </c>
      <c r="X477">
        <v>27057.394499999999</v>
      </c>
      <c r="Y477" t="s">
        <v>33</v>
      </c>
      <c r="AC477" s="24">
        <f t="shared" si="129"/>
        <v>-3.8450402601363225E-2</v>
      </c>
      <c r="AE477" s="5">
        <f t="shared" si="130"/>
        <v>430.05999109012515</v>
      </c>
      <c r="AF477" s="6">
        <f t="shared" si="131"/>
        <v>535.73059290102628</v>
      </c>
      <c r="AH477" s="1">
        <f t="shared" si="121"/>
        <v>42020</v>
      </c>
      <c r="AI477">
        <f t="shared" si="125"/>
        <v>0.8027542141308639</v>
      </c>
      <c r="AJ477">
        <f t="shared" ca="1" si="115"/>
        <v>0.4919622216340846</v>
      </c>
      <c r="AK477">
        <f t="shared" ca="1" si="116"/>
        <v>0.54224138454222559</v>
      </c>
      <c r="AL477">
        <f t="shared" ca="1" si="117"/>
        <v>0.59672040295188955</v>
      </c>
      <c r="AM477">
        <f t="shared" ca="1" si="118"/>
        <v>0.70054058640409789</v>
      </c>
      <c r="AN477">
        <f t="shared" ca="1" si="119"/>
        <v>0.77685776580293742</v>
      </c>
      <c r="AP477" s="40"/>
      <c r="AQ477" s="41"/>
    </row>
    <row r="478" spans="2:43" x14ac:dyDescent="0.25">
      <c r="B478" s="1">
        <v>42027</v>
      </c>
      <c r="C478">
        <v>5.0060000000000002</v>
      </c>
      <c r="D478">
        <v>3.871</v>
      </c>
      <c r="E478" t="s">
        <v>33</v>
      </c>
      <c r="G478">
        <v>8737.59</v>
      </c>
      <c r="I478" s="14">
        <f t="shared" si="122"/>
        <v>9.885011095420726E-3</v>
      </c>
      <c r="J478" s="15">
        <f t="shared" si="123"/>
        <v>3.0069185737094273E-2</v>
      </c>
      <c r="K478" s="15"/>
      <c r="L478" s="15"/>
      <c r="M478" s="16">
        <f t="shared" si="124"/>
        <v>9.0807672052997113E-3</v>
      </c>
      <c r="O478" s="13">
        <f t="shared" si="126"/>
        <v>1.9977098416257499E-2</v>
      </c>
      <c r="Q478" s="5">
        <f t="shared" si="127"/>
        <v>515.42129675654735</v>
      </c>
      <c r="R478" s="6">
        <f t="shared" si="128"/>
        <v>540.59543769991774</v>
      </c>
      <c r="T478" s="11">
        <f t="shared" si="120"/>
        <v>0.95343256863121284</v>
      </c>
      <c r="V478" s="9">
        <v>42027</v>
      </c>
      <c r="W478">
        <v>20175</v>
      </c>
      <c r="X478">
        <v>27870.4715</v>
      </c>
      <c r="Y478" t="s">
        <v>33</v>
      </c>
      <c r="AC478" s="24">
        <f t="shared" si="129"/>
        <v>2.1496819971888993E-2</v>
      </c>
      <c r="AE478" s="5">
        <f t="shared" si="130"/>
        <v>439.30491329570174</v>
      </c>
      <c r="AF478" s="6">
        <f t="shared" si="131"/>
        <v>540.59543769991774</v>
      </c>
      <c r="AH478" s="1">
        <f t="shared" si="121"/>
        <v>42027</v>
      </c>
      <c r="AI478">
        <f t="shared" si="125"/>
        <v>0.81263155894326666</v>
      </c>
      <c r="AJ478">
        <f t="shared" ca="1" si="115"/>
        <v>0.4919622216340846</v>
      </c>
      <c r="AK478">
        <f t="shared" ca="1" si="116"/>
        <v>0.54224138454222559</v>
      </c>
      <c r="AL478">
        <f t="shared" ca="1" si="117"/>
        <v>0.60411049989706567</v>
      </c>
      <c r="AM478">
        <f t="shared" ca="1" si="118"/>
        <v>0.7077350510000967</v>
      </c>
      <c r="AN478">
        <f t="shared" ca="1" si="119"/>
        <v>0.79747266741564449</v>
      </c>
      <c r="AP478" s="40"/>
      <c r="AQ478" s="41"/>
    </row>
    <row r="479" spans="2:43" x14ac:dyDescent="0.25">
      <c r="B479" s="1">
        <v>42034</v>
      </c>
      <c r="C479">
        <v>4.9690000000000003</v>
      </c>
      <c r="D479">
        <v>3.9590000000000001</v>
      </c>
      <c r="E479" t="s">
        <v>33</v>
      </c>
      <c r="G479">
        <v>8490.4599999999991</v>
      </c>
      <c r="I479" s="14">
        <f t="shared" si="122"/>
        <v>-7.3911306432281609E-3</v>
      </c>
      <c r="J479" s="15">
        <f t="shared" si="123"/>
        <v>2.2733143890467655E-2</v>
      </c>
      <c r="K479" s="15"/>
      <c r="L479" s="15"/>
      <c r="M479" s="16">
        <f t="shared" si="124"/>
        <v>-2.8283542716012189E-2</v>
      </c>
      <c r="O479" s="13">
        <f t="shared" si="126"/>
        <v>7.6710066236197472E-3</v>
      </c>
      <c r="Q479" s="5">
        <f t="shared" si="127"/>
        <v>519.3750969379214</v>
      </c>
      <c r="R479" s="6">
        <f t="shared" si="128"/>
        <v>525.30548354565076</v>
      </c>
      <c r="T479" s="11">
        <f t="shared" si="120"/>
        <v>0.98871059451407006</v>
      </c>
      <c r="V479" s="9">
        <v>42034</v>
      </c>
      <c r="W479">
        <v>20025</v>
      </c>
      <c r="X479">
        <v>28502.864600000001</v>
      </c>
      <c r="Y479" t="s">
        <v>33</v>
      </c>
      <c r="AC479" s="24">
        <f t="shared" si="129"/>
        <v>1.0083518030987578E-2</v>
      </c>
      <c r="AE479" s="5">
        <f t="shared" si="130"/>
        <v>443.73465231002035</v>
      </c>
      <c r="AF479" s="6">
        <f t="shared" si="131"/>
        <v>525.30548354565076</v>
      </c>
      <c r="AH479" s="1">
        <f t="shared" si="121"/>
        <v>42034</v>
      </c>
      <c r="AI479">
        <f t="shared" si="125"/>
        <v>0.8447173429733642</v>
      </c>
      <c r="AJ479">
        <f t="shared" ca="1" si="115"/>
        <v>0.4919622216340846</v>
      </c>
      <c r="AK479">
        <f t="shared" ca="1" si="116"/>
        <v>0.54224138454222559</v>
      </c>
      <c r="AL479">
        <f t="shared" ca="1" si="117"/>
        <v>0.60411049989706567</v>
      </c>
      <c r="AM479">
        <f t="shared" ca="1" si="118"/>
        <v>0.71226799449488476</v>
      </c>
      <c r="AN479">
        <f t="shared" ca="1" si="119"/>
        <v>0.80241563589070686</v>
      </c>
      <c r="AP479" s="40"/>
      <c r="AQ479" s="41"/>
    </row>
    <row r="480" spans="2:43" x14ac:dyDescent="0.25">
      <c r="B480" s="1">
        <v>42041</v>
      </c>
      <c r="C480">
        <v>5.5709999999999997</v>
      </c>
      <c r="D480">
        <v>4.2720000000000002</v>
      </c>
      <c r="E480" t="s">
        <v>33</v>
      </c>
      <c r="G480">
        <v>9008.58</v>
      </c>
      <c r="I480" s="14">
        <f t="shared" si="122"/>
        <v>0.12115113704970804</v>
      </c>
      <c r="J480" s="15">
        <f t="shared" si="123"/>
        <v>7.9060368779994894E-2</v>
      </c>
      <c r="K480" s="15"/>
      <c r="L480" s="15"/>
      <c r="M480" s="16">
        <f t="shared" si="124"/>
        <v>6.1023784341484477E-2</v>
      </c>
      <c r="O480" s="13">
        <f t="shared" si="126"/>
        <v>0.10010575291485146</v>
      </c>
      <c r="Q480" s="5">
        <f t="shared" si="127"/>
        <v>571.36753206211597</v>
      </c>
      <c r="R480" s="6">
        <f t="shared" si="128"/>
        <v>557.36161208693977</v>
      </c>
      <c r="T480" s="11">
        <f t="shared" si="120"/>
        <v>1.0251289641615855</v>
      </c>
      <c r="V480" s="9">
        <v>42041</v>
      </c>
      <c r="W480">
        <v>22450</v>
      </c>
      <c r="X480">
        <v>30761.411800000002</v>
      </c>
      <c r="Y480" t="s">
        <v>33</v>
      </c>
      <c r="AC480" s="24">
        <f t="shared" si="129"/>
        <v>9.642910407359373E-2</v>
      </c>
      <c r="AE480" s="5">
        <f t="shared" si="130"/>
        <v>486.52358727868329</v>
      </c>
      <c r="AF480" s="6">
        <f t="shared" si="131"/>
        <v>557.36161208693977</v>
      </c>
      <c r="AH480" s="1">
        <f t="shared" si="121"/>
        <v>42041</v>
      </c>
      <c r="AI480">
        <f t="shared" si="125"/>
        <v>0.87290472958297893</v>
      </c>
      <c r="AJ480">
        <f t="shared" ca="1" si="115"/>
        <v>0.4919622216340846</v>
      </c>
      <c r="AK480">
        <f t="shared" ca="1" si="116"/>
        <v>0.54224138454222559</v>
      </c>
      <c r="AL480">
        <f t="shared" ca="1" si="117"/>
        <v>0.60411049989706567</v>
      </c>
      <c r="AM480">
        <f t="shared" ca="1" si="118"/>
        <v>0.71460860102135182</v>
      </c>
      <c r="AN480">
        <f t="shared" ca="1" si="119"/>
        <v>0.81164382446202632</v>
      </c>
      <c r="AP480" s="40"/>
      <c r="AQ480" s="41"/>
    </row>
    <row r="481" spans="2:43" x14ac:dyDescent="0.25">
      <c r="B481" s="1">
        <v>42048</v>
      </c>
      <c r="C481">
        <v>5.7690000000000001</v>
      </c>
      <c r="D481">
        <v>4.3789999999999996</v>
      </c>
      <c r="E481" t="s">
        <v>33</v>
      </c>
      <c r="G481">
        <v>9562.23</v>
      </c>
      <c r="I481" s="14">
        <f t="shared" si="122"/>
        <v>3.5541195476575194E-2</v>
      </c>
      <c r="J481" s="15">
        <f t="shared" si="123"/>
        <v>2.5046816479400658E-2</v>
      </c>
      <c r="K481" s="15"/>
      <c r="L481" s="15"/>
      <c r="M481" s="16">
        <f t="shared" si="124"/>
        <v>6.1458076633609249E-2</v>
      </c>
      <c r="O481" s="13">
        <f t="shared" si="126"/>
        <v>3.0294005977987926E-2</v>
      </c>
      <c r="Q481" s="5">
        <f t="shared" si="127"/>
        <v>588.67654349403392</v>
      </c>
      <c r="R481" s="6">
        <f t="shared" si="128"/>
        <v>591.61598475521089</v>
      </c>
      <c r="T481" s="11">
        <f t="shared" si="120"/>
        <v>0.9950315046636321</v>
      </c>
      <c r="V481" s="9">
        <v>42048</v>
      </c>
      <c r="W481">
        <v>23250</v>
      </c>
      <c r="X481">
        <v>31529.317800000001</v>
      </c>
      <c r="Y481" t="s">
        <v>33</v>
      </c>
      <c r="AC481" s="24">
        <f t="shared" si="129"/>
        <v>2.9474415757767641E-2</v>
      </c>
      <c r="AE481" s="5">
        <f t="shared" si="130"/>
        <v>500.8635857660957</v>
      </c>
      <c r="AF481" s="6">
        <f t="shared" si="131"/>
        <v>591.61598475521089</v>
      </c>
      <c r="AH481" s="1">
        <f t="shared" si="121"/>
        <v>42048</v>
      </c>
      <c r="AI481">
        <f t="shared" si="125"/>
        <v>0.84660252371871736</v>
      </c>
      <c r="AJ481">
        <f t="shared" ca="1" si="115"/>
        <v>0.4919622216340846</v>
      </c>
      <c r="AK481">
        <f t="shared" ca="1" si="116"/>
        <v>0.54224138454222559</v>
      </c>
      <c r="AL481">
        <f t="shared" ca="1" si="117"/>
        <v>0.60411049989706567</v>
      </c>
      <c r="AM481">
        <f t="shared" ca="1" si="118"/>
        <v>0.72421873286754324</v>
      </c>
      <c r="AN481">
        <f t="shared" ca="1" si="119"/>
        <v>0.81713327053251361</v>
      </c>
      <c r="AP481" s="40"/>
      <c r="AQ481" s="41"/>
    </row>
    <row r="482" spans="2:43" x14ac:dyDescent="0.25">
      <c r="B482" s="1">
        <v>42055</v>
      </c>
      <c r="C482">
        <v>5.726</v>
      </c>
      <c r="D482">
        <v>4.141</v>
      </c>
      <c r="E482" t="s">
        <v>33</v>
      </c>
      <c r="G482">
        <v>9436.74</v>
      </c>
      <c r="I482" s="14">
        <f t="shared" si="122"/>
        <v>-7.4536314785924596E-3</v>
      </c>
      <c r="J482" s="15">
        <f t="shared" si="123"/>
        <v>-5.4350308289563776E-2</v>
      </c>
      <c r="K482" s="15"/>
      <c r="L482" s="15"/>
      <c r="M482" s="16">
        <f t="shared" si="124"/>
        <v>-1.3123507801004575E-2</v>
      </c>
      <c r="O482" s="13">
        <f t="shared" si="126"/>
        <v>-3.0901969884078118E-2</v>
      </c>
      <c r="Q482" s="5">
        <f t="shared" si="127"/>
        <v>570.48527867551809</v>
      </c>
      <c r="R482" s="6">
        <f t="shared" si="128"/>
        <v>583.85190776407683</v>
      </c>
      <c r="T482" s="11">
        <f t="shared" si="120"/>
        <v>0.97710613100546739</v>
      </c>
      <c r="V482" s="9">
        <v>42055</v>
      </c>
      <c r="W482">
        <v>23075</v>
      </c>
      <c r="X482">
        <v>29812.822</v>
      </c>
      <c r="Y482" t="s">
        <v>33</v>
      </c>
      <c r="AC482" s="24">
        <f t="shared" si="129"/>
        <v>-3.4445939640141067E-2</v>
      </c>
      <c r="AE482" s="5">
        <f t="shared" si="130"/>
        <v>483.61086892285215</v>
      </c>
      <c r="AF482" s="6">
        <f t="shared" si="131"/>
        <v>583.85190776407683</v>
      </c>
      <c r="AH482" s="1">
        <f t="shared" si="121"/>
        <v>42055</v>
      </c>
      <c r="AI482">
        <f t="shared" si="125"/>
        <v>0.82831084816506229</v>
      </c>
      <c r="AJ482">
        <f t="shared" ca="1" si="115"/>
        <v>0.4919622216340846</v>
      </c>
      <c r="AK482">
        <f t="shared" ca="1" si="116"/>
        <v>0.54224138454222559</v>
      </c>
      <c r="AL482">
        <f t="shared" ca="1" si="117"/>
        <v>0.60411049989706567</v>
      </c>
      <c r="AM482">
        <f t="shared" ca="1" si="118"/>
        <v>0.73394247802028612</v>
      </c>
      <c r="AN482">
        <f t="shared" ca="1" si="119"/>
        <v>0.84200895474693738</v>
      </c>
      <c r="AP482" s="40"/>
      <c r="AQ482" s="41"/>
    </row>
    <row r="483" spans="2:43" x14ac:dyDescent="0.25">
      <c r="B483" s="1">
        <v>42062</v>
      </c>
      <c r="C483">
        <v>5.9859999999999998</v>
      </c>
      <c r="D483">
        <v>4.2850000000000001</v>
      </c>
      <c r="E483" t="s">
        <v>33</v>
      </c>
      <c r="G483">
        <v>9601.61</v>
      </c>
      <c r="I483" s="14">
        <f t="shared" si="122"/>
        <v>4.540691582256362E-2</v>
      </c>
      <c r="J483" s="15">
        <f t="shared" si="123"/>
        <v>3.4774209128229927E-2</v>
      </c>
      <c r="K483" s="15"/>
      <c r="L483" s="15"/>
      <c r="M483" s="16">
        <f t="shared" si="124"/>
        <v>1.7471075816436699E-2</v>
      </c>
      <c r="O483" s="13">
        <f t="shared" si="126"/>
        <v>4.0090562475396774E-2</v>
      </c>
      <c r="Q483" s="5">
        <f t="shared" si="127"/>
        <v>593.35635438155305</v>
      </c>
      <c r="R483" s="6">
        <f t="shared" si="128"/>
        <v>594.05242871019425</v>
      </c>
      <c r="T483" s="11">
        <f t="shared" si="120"/>
        <v>0.99882826111804224</v>
      </c>
      <c r="V483" s="9">
        <v>42062</v>
      </c>
      <c r="W483">
        <v>24125</v>
      </c>
      <c r="X483">
        <v>30851.7536</v>
      </c>
      <c r="Y483" t="s">
        <v>33</v>
      </c>
      <c r="AC483" s="24">
        <f t="shared" si="129"/>
        <v>3.9413267756353239E-2</v>
      </c>
      <c r="AE483" s="5">
        <f t="shared" si="130"/>
        <v>502.67155358959116</v>
      </c>
      <c r="AF483" s="6">
        <f t="shared" si="131"/>
        <v>594.05242871019425</v>
      </c>
      <c r="AH483" s="1">
        <f t="shared" si="121"/>
        <v>42062</v>
      </c>
      <c r="AI483">
        <f t="shared" si="125"/>
        <v>0.84617372018996873</v>
      </c>
      <c r="AJ483">
        <f t="shared" ca="1" si="115"/>
        <v>0.4919622216340846</v>
      </c>
      <c r="AK483">
        <f t="shared" ca="1" si="116"/>
        <v>0.54224138454222559</v>
      </c>
      <c r="AL483">
        <f t="shared" ca="1" si="117"/>
        <v>0.60411049989706567</v>
      </c>
      <c r="AM483">
        <f t="shared" ca="1" si="118"/>
        <v>0.7403639560625993</v>
      </c>
      <c r="AN483">
        <f t="shared" ca="1" si="119"/>
        <v>0.843076693492534</v>
      </c>
      <c r="AP483" s="40"/>
      <c r="AQ483" s="41"/>
    </row>
    <row r="484" spans="2:43" x14ac:dyDescent="0.25">
      <c r="B484" s="1">
        <v>42069</v>
      </c>
      <c r="C484">
        <v>6.327</v>
      </c>
      <c r="D484">
        <v>4.3289999999999997</v>
      </c>
      <c r="E484" t="s">
        <v>33</v>
      </c>
      <c r="G484">
        <v>9928.73</v>
      </c>
      <c r="I484" s="14">
        <f t="shared" si="122"/>
        <v>5.6966254594052801E-2</v>
      </c>
      <c r="J484" s="15">
        <f t="shared" si="123"/>
        <v>1.0268378063010397E-2</v>
      </c>
      <c r="K484" s="15"/>
      <c r="L484" s="15"/>
      <c r="M484" s="16">
        <f t="shared" si="124"/>
        <v>3.4069286296777301E-2</v>
      </c>
      <c r="O484" s="13">
        <f t="shared" si="126"/>
        <v>3.3617316328531599E-2</v>
      </c>
      <c r="Q484" s="5">
        <f t="shared" si="127"/>
        <v>613.30340264234201</v>
      </c>
      <c r="R484" s="6">
        <f t="shared" si="128"/>
        <v>614.29137097921773</v>
      </c>
      <c r="T484" s="11">
        <f t="shared" si="120"/>
        <v>0.99839169426179497</v>
      </c>
      <c r="V484" s="9">
        <v>42069</v>
      </c>
      <c r="W484">
        <v>25500</v>
      </c>
      <c r="X484">
        <v>31167.950199999999</v>
      </c>
      <c r="Y484" t="s">
        <v>33</v>
      </c>
      <c r="AC484" s="24">
        <f t="shared" si="129"/>
        <v>3.0760426020374657E-2</v>
      </c>
      <c r="AE484" s="5">
        <f t="shared" si="130"/>
        <v>518.13394472633058</v>
      </c>
      <c r="AF484" s="6">
        <f t="shared" si="131"/>
        <v>614.29137097921773</v>
      </c>
      <c r="AH484" s="1">
        <f t="shared" si="121"/>
        <v>42069</v>
      </c>
      <c r="AI484">
        <f t="shared" si="125"/>
        <v>0.84346609639069758</v>
      </c>
      <c r="AJ484">
        <f t="shared" ca="1" si="115"/>
        <v>0.4919622216340846</v>
      </c>
      <c r="AK484">
        <f t="shared" ca="1" si="116"/>
        <v>0.54224138454222559</v>
      </c>
      <c r="AL484">
        <f t="shared" ca="1" si="117"/>
        <v>0.60411049989706567</v>
      </c>
      <c r="AM484">
        <f t="shared" ca="1" si="118"/>
        <v>0.75376311766884152</v>
      </c>
      <c r="AN484">
        <f t="shared" ca="1" si="119"/>
        <v>0.8460280824683083</v>
      </c>
      <c r="AP484" s="40"/>
      <c r="AQ484" s="41"/>
    </row>
    <row r="485" spans="2:43" x14ac:dyDescent="0.25">
      <c r="B485" s="1">
        <v>42076</v>
      </c>
      <c r="C485">
        <v>6.9480000000000004</v>
      </c>
      <c r="D485">
        <v>4.9690000000000003</v>
      </c>
      <c r="E485" t="s">
        <v>33</v>
      </c>
      <c r="G485">
        <v>10245.33</v>
      </c>
      <c r="I485" s="14">
        <f t="shared" si="122"/>
        <v>9.8150782361308808E-2</v>
      </c>
      <c r="J485" s="15">
        <f t="shared" si="123"/>
        <v>0.14784014784014787</v>
      </c>
      <c r="K485" s="15"/>
      <c r="L485" s="15"/>
      <c r="M485" s="16">
        <f t="shared" si="124"/>
        <v>3.1887260505623516E-2</v>
      </c>
      <c r="O485" s="13">
        <f t="shared" si="126"/>
        <v>0.12299546510072834</v>
      </c>
      <c r="Q485" s="5">
        <f t="shared" si="127"/>
        <v>688.73693989819617</v>
      </c>
      <c r="R485" s="6">
        <f t="shared" si="128"/>
        <v>633.87943995198862</v>
      </c>
      <c r="T485" s="11">
        <f t="shared" si="120"/>
        <v>1.0865424818800915</v>
      </c>
      <c r="V485" s="9">
        <v>42076</v>
      </c>
      <c r="W485">
        <v>28000</v>
      </c>
      <c r="X485">
        <v>35775.386400000003</v>
      </c>
      <c r="Y485" t="s">
        <v>33</v>
      </c>
      <c r="AC485" s="24">
        <f t="shared" si="129"/>
        <v>0.12548043983520937</v>
      </c>
      <c r="AE485" s="5">
        <f t="shared" si="130"/>
        <v>583.14962000414266</v>
      </c>
      <c r="AF485" s="6">
        <f t="shared" si="131"/>
        <v>633.87943995198862</v>
      </c>
      <c r="AH485" s="1">
        <f t="shared" si="121"/>
        <v>42076</v>
      </c>
      <c r="AI485">
        <f t="shared" si="125"/>
        <v>0.91996929265967609</v>
      </c>
      <c r="AJ485">
        <f t="shared" ca="1" si="115"/>
        <v>0.4919622216340846</v>
      </c>
      <c r="AK485">
        <f t="shared" ca="1" si="116"/>
        <v>0.54224138454222559</v>
      </c>
      <c r="AL485">
        <f t="shared" ca="1" si="117"/>
        <v>0.60411049989706567</v>
      </c>
      <c r="AM485">
        <f t="shared" ca="1" si="118"/>
        <v>0.78515019937692232</v>
      </c>
      <c r="AN485">
        <f t="shared" ca="1" si="119"/>
        <v>0.8460280824683083</v>
      </c>
      <c r="AP485" s="40"/>
      <c r="AQ485" s="41"/>
    </row>
    <row r="486" spans="2:43" x14ac:dyDescent="0.25">
      <c r="B486" s="1">
        <v>42083</v>
      </c>
      <c r="C486">
        <v>7.444</v>
      </c>
      <c r="D486">
        <v>5.0940000000000003</v>
      </c>
      <c r="E486" t="s">
        <v>33</v>
      </c>
      <c r="G486">
        <v>11385.38</v>
      </c>
      <c r="I486" s="14">
        <f t="shared" si="122"/>
        <v>7.1387449625791577E-2</v>
      </c>
      <c r="J486" s="15">
        <f t="shared" si="123"/>
        <v>2.515596699537137E-2</v>
      </c>
      <c r="K486" s="15"/>
      <c r="L486" s="15"/>
      <c r="M486" s="16">
        <f t="shared" si="124"/>
        <v>0.11127508825972421</v>
      </c>
      <c r="O486" s="13">
        <f t="shared" si="126"/>
        <v>4.8271708310581474E-2</v>
      </c>
      <c r="Q486" s="5">
        <f t="shared" si="127"/>
        <v>721.98344856368442</v>
      </c>
      <c r="R486" s="6">
        <f t="shared" si="128"/>
        <v>704.4144305786707</v>
      </c>
      <c r="T486" s="11">
        <f t="shared" si="120"/>
        <v>1.0249413090112036</v>
      </c>
      <c r="V486" s="9">
        <v>42083</v>
      </c>
      <c r="W486">
        <v>30000</v>
      </c>
      <c r="X486">
        <v>36678.805200000003</v>
      </c>
      <c r="Y486" t="s">
        <v>33</v>
      </c>
      <c r="AC486" s="24">
        <f t="shared" si="129"/>
        <v>4.5453476531930846E-2</v>
      </c>
      <c r="AE486" s="5">
        <f t="shared" si="130"/>
        <v>609.65579757160526</v>
      </c>
      <c r="AF486" s="6">
        <f t="shared" si="131"/>
        <v>704.4144305786707</v>
      </c>
      <c r="AH486" s="1">
        <f t="shared" si="121"/>
        <v>42083</v>
      </c>
      <c r="AI486">
        <f t="shared" si="125"/>
        <v>0.86547885890239074</v>
      </c>
      <c r="AJ486">
        <f t="shared" ca="1" si="115"/>
        <v>0.4919622216340846</v>
      </c>
      <c r="AK486">
        <f t="shared" ca="1" si="116"/>
        <v>0.54224138454222559</v>
      </c>
      <c r="AL486">
        <f t="shared" ca="1" si="117"/>
        <v>0.60411049989706567</v>
      </c>
      <c r="AM486">
        <f t="shared" ca="1" si="118"/>
        <v>0.80021487732968655</v>
      </c>
      <c r="AN486">
        <f t="shared" ca="1" si="119"/>
        <v>0.84655964336584244</v>
      </c>
      <c r="AP486" s="40"/>
      <c r="AQ486" s="41"/>
    </row>
    <row r="487" spans="2:43" x14ac:dyDescent="0.25">
      <c r="B487" s="1">
        <v>42090</v>
      </c>
      <c r="C487">
        <v>7.0410000000000004</v>
      </c>
      <c r="D487">
        <v>4.7240000000000002</v>
      </c>
      <c r="E487" t="s">
        <v>33</v>
      </c>
      <c r="G487">
        <v>10663.47</v>
      </c>
      <c r="I487" s="14">
        <f t="shared" si="122"/>
        <v>-5.4137560451370192E-2</v>
      </c>
      <c r="J487" s="15">
        <f t="shared" si="123"/>
        <v>-7.2634471927758182E-2</v>
      </c>
      <c r="K487" s="15"/>
      <c r="L487" s="15"/>
      <c r="M487" s="16">
        <f t="shared" si="124"/>
        <v>-6.3406754978753477E-2</v>
      </c>
      <c r="O487" s="13">
        <f t="shared" si="126"/>
        <v>-6.3386016189564187E-2</v>
      </c>
      <c r="Q487" s="5">
        <f t="shared" si="127"/>
        <v>676.21979400442933</v>
      </c>
      <c r="R487" s="6">
        <f t="shared" si="128"/>
        <v>659.74979737547073</v>
      </c>
      <c r="T487" s="11">
        <f t="shared" si="120"/>
        <v>1.0249640040731764</v>
      </c>
      <c r="V487" s="9">
        <v>42090</v>
      </c>
      <c r="W487">
        <v>28375</v>
      </c>
      <c r="X487">
        <v>34013.719599999997</v>
      </c>
      <c r="Y487" t="s">
        <v>33</v>
      </c>
      <c r="AC487" s="24">
        <f t="shared" si="129"/>
        <v>-6.4312377033777693E-2</v>
      </c>
      <c r="AE487" s="5">
        <f t="shared" si="130"/>
        <v>570.44738405735177</v>
      </c>
      <c r="AF487" s="6">
        <f t="shared" si="131"/>
        <v>659.74979737547073</v>
      </c>
      <c r="AH487" s="1">
        <f t="shared" si="121"/>
        <v>42090</v>
      </c>
      <c r="AI487">
        <f t="shared" si="125"/>
        <v>0.86464199962869248</v>
      </c>
      <c r="AJ487">
        <f t="shared" ca="1" si="115"/>
        <v>0.4919622216340846</v>
      </c>
      <c r="AK487">
        <f t="shared" ca="1" si="116"/>
        <v>0.54224138454222559</v>
      </c>
      <c r="AL487">
        <f t="shared" ca="1" si="117"/>
        <v>0.62553820324593268</v>
      </c>
      <c r="AM487">
        <f t="shared" ca="1" si="118"/>
        <v>0.80522355033396464</v>
      </c>
      <c r="AN487">
        <f t="shared" ca="1" si="119"/>
        <v>0.85266046427288433</v>
      </c>
      <c r="AP487" s="40"/>
      <c r="AQ487" s="41"/>
    </row>
    <row r="488" spans="2:43" x14ac:dyDescent="0.25">
      <c r="B488" s="1">
        <v>42097</v>
      </c>
      <c r="C488">
        <v>7.32</v>
      </c>
      <c r="D488">
        <v>5.0129999999999999</v>
      </c>
      <c r="E488" t="s">
        <v>33</v>
      </c>
      <c r="G488">
        <v>11071.68</v>
      </c>
      <c r="I488" s="14">
        <f t="shared" si="122"/>
        <v>3.9625053259480181E-2</v>
      </c>
      <c r="J488" s="15">
        <f t="shared" si="123"/>
        <v>6.1176968670618059E-2</v>
      </c>
      <c r="K488" s="15"/>
      <c r="L488" s="15"/>
      <c r="M488" s="16">
        <f t="shared" si="124"/>
        <v>3.8281159885103166E-2</v>
      </c>
      <c r="O488" s="13">
        <f t="shared" si="126"/>
        <v>5.040101096504912E-2</v>
      </c>
      <c r="Q488" s="5">
        <f t="shared" si="127"/>
        <v>710.30195525682996</v>
      </c>
      <c r="R488" s="6">
        <f t="shared" si="128"/>
        <v>685.00578485296558</v>
      </c>
      <c r="T488" s="11">
        <f t="shared" si="120"/>
        <v>1.0369284040561704</v>
      </c>
      <c r="V488" s="9">
        <v>42097</v>
      </c>
      <c r="W488">
        <v>29500</v>
      </c>
      <c r="X488">
        <v>36091.582999999999</v>
      </c>
      <c r="Y488" t="s">
        <v>33</v>
      </c>
      <c r="AC488" s="24">
        <f t="shared" si="129"/>
        <v>5.1374946707163027E-2</v>
      </c>
      <c r="AE488" s="5">
        <f t="shared" si="130"/>
        <v>599.75408801253866</v>
      </c>
      <c r="AF488" s="6">
        <f t="shared" si="131"/>
        <v>685.00578485296558</v>
      </c>
      <c r="AH488" s="1">
        <f t="shared" si="121"/>
        <v>42097</v>
      </c>
      <c r="AI488">
        <f t="shared" si="125"/>
        <v>0.87554601913511443</v>
      </c>
      <c r="AJ488">
        <f t="shared" ca="1" si="115"/>
        <v>0.4919622216340846</v>
      </c>
      <c r="AK488">
        <f t="shared" ca="1" si="116"/>
        <v>0.54224138454222559</v>
      </c>
      <c r="AL488">
        <f t="shared" ca="1" si="117"/>
        <v>0.65654660051073743</v>
      </c>
      <c r="AM488">
        <f t="shared" ca="1" si="118"/>
        <v>0.81388203438472417</v>
      </c>
      <c r="AN488">
        <f t="shared" ca="1" si="119"/>
        <v>0.85440491620787973</v>
      </c>
      <c r="AP488" s="40"/>
      <c r="AQ488" s="41"/>
    </row>
    <row r="489" spans="2:43" x14ac:dyDescent="0.25">
      <c r="B489" s="1">
        <v>42104</v>
      </c>
      <c r="C489">
        <v>6.8239999999999998</v>
      </c>
      <c r="D489">
        <v>4.8369999999999997</v>
      </c>
      <c r="E489" t="s">
        <v>33</v>
      </c>
      <c r="G489">
        <v>11686.61</v>
      </c>
      <c r="I489" s="14">
        <f t="shared" si="122"/>
        <v>-6.7759562841530063E-2</v>
      </c>
      <c r="J489" s="15">
        <f t="shared" si="123"/>
        <v>-3.5108717334929262E-2</v>
      </c>
      <c r="K489" s="15"/>
      <c r="L489" s="15"/>
      <c r="M489" s="16">
        <f t="shared" si="124"/>
        <v>5.5540803202404732E-2</v>
      </c>
      <c r="O489" s="13">
        <f t="shared" si="126"/>
        <v>-5.1434140088229663E-2</v>
      </c>
      <c r="Q489" s="5">
        <f t="shared" si="127"/>
        <v>673.76818498520674</v>
      </c>
      <c r="R489" s="6">
        <f t="shared" si="128"/>
        <v>723.05155634199298</v>
      </c>
      <c r="T489" s="11">
        <f t="shared" si="120"/>
        <v>0.93183975482174897</v>
      </c>
      <c r="V489" s="9">
        <v>42104</v>
      </c>
      <c r="W489">
        <v>27500</v>
      </c>
      <c r="X489">
        <v>34826.796600000001</v>
      </c>
      <c r="Y489" t="s">
        <v>33</v>
      </c>
      <c r="AC489" s="24">
        <f t="shared" si="129"/>
        <v>-4.9793527464374127E-2</v>
      </c>
      <c r="AE489" s="5">
        <f t="shared" si="130"/>
        <v>569.89021635921563</v>
      </c>
      <c r="AF489" s="6">
        <f t="shared" si="131"/>
        <v>723.05155634199298</v>
      </c>
      <c r="AH489" s="1">
        <f t="shared" si="121"/>
        <v>42104</v>
      </c>
      <c r="AI489">
        <f t="shared" si="125"/>
        <v>0.78817369433842388</v>
      </c>
      <c r="AJ489">
        <f t="shared" ca="1" si="115"/>
        <v>0.4919622216340846</v>
      </c>
      <c r="AK489">
        <f t="shared" ca="1" si="116"/>
        <v>0.54224138454222559</v>
      </c>
      <c r="AL489">
        <f t="shared" ca="1" si="117"/>
        <v>0.65929177261083982</v>
      </c>
      <c r="AM489">
        <f t="shared" ca="1" si="118"/>
        <v>0.82030280757308804</v>
      </c>
      <c r="AN489">
        <f t="shared" ca="1" si="119"/>
        <v>0.86363019514693318</v>
      </c>
      <c r="AP489" s="40"/>
      <c r="AQ489" s="41"/>
    </row>
    <row r="490" spans="2:43" x14ac:dyDescent="0.25">
      <c r="B490" s="1">
        <v>42111</v>
      </c>
      <c r="C490">
        <v>6.452</v>
      </c>
      <c r="D490">
        <v>4.6180000000000003</v>
      </c>
      <c r="E490" t="s">
        <v>33</v>
      </c>
      <c r="G490">
        <v>11920.08</v>
      </c>
      <c r="I490" s="14">
        <f t="shared" si="122"/>
        <v>-5.4513481828839416E-2</v>
      </c>
      <c r="J490" s="15">
        <f t="shared" si="123"/>
        <v>-4.5275997519123257E-2</v>
      </c>
      <c r="K490" s="15"/>
      <c r="L490" s="15"/>
      <c r="M490" s="16">
        <f t="shared" ref="M490:M492" si="132">+G490/G489-1</f>
        <v>1.9977564066910647E-2</v>
      </c>
      <c r="O490" s="13">
        <f t="shared" si="126"/>
        <v>-4.9894739673981336E-2</v>
      </c>
      <c r="Q490" s="5">
        <f t="shared" ref="Q490:Q492" si="133">+Q489*(1+O490)</f>
        <v>640.15069679475903</v>
      </c>
      <c r="R490" s="6">
        <f t="shared" ref="R490:R492" si="134">+R489*(1+M490)</f>
        <v>737.49636513249459</v>
      </c>
      <c r="T490" s="11">
        <f t="shared" si="120"/>
        <v>0.86800522288642468</v>
      </c>
      <c r="V490" s="9">
        <v>42111</v>
      </c>
      <c r="W490">
        <v>26000</v>
      </c>
      <c r="X490">
        <v>32523.0785</v>
      </c>
      <c r="Y490" t="s">
        <v>33</v>
      </c>
      <c r="AC490" s="24">
        <f t="shared" si="129"/>
        <v>-4.9351785661220629E-2</v>
      </c>
      <c r="AE490" s="5">
        <f t="shared" ref="AE490:AE492" si="135">+AE489*(1+AC490)</f>
        <v>541.765116551029</v>
      </c>
      <c r="AF490" s="6">
        <f t="shared" ref="AF490:AF492" si="136">+AF489*(1+M490)</f>
        <v>737.49636513249459</v>
      </c>
      <c r="AH490" s="1">
        <f t="shared" si="121"/>
        <v>42111</v>
      </c>
      <c r="AI490">
        <f t="shared" ref="AI490:AI492" si="137">+(AE490/$AE$6)/(AF490/$AF$6)</f>
        <v>0.73460038878116829</v>
      </c>
      <c r="AJ490">
        <f t="shared" ref="AJ490:AJ492" ca="1" si="138">+_xlfn.PERCENTILE.INC(OFFSET(AI490,-52,0,52,1),0.1)</f>
        <v>0.4919622216340846</v>
      </c>
      <c r="AK490">
        <f t="shared" ref="AK490:AK492" ca="1" si="139">+_xlfn.PERCENTILE.INC(OFFSET(AI490,-52,0,52,1),0.25)</f>
        <v>0.54224138454222559</v>
      </c>
      <c r="AL490">
        <f t="shared" ref="AL490:AL492" ca="1" si="140">+_xlfn.PERCENTILE.INC(OFFSET(AI490,-52,0,52,1),0.5)</f>
        <v>0.68296153621196876</v>
      </c>
      <c r="AM490">
        <f t="shared" ref="AM490:AM492" ca="1" si="141">+_xlfn.PERCENTILE.INC(OFFSET(AI490,-52,0,52,1),0.75)</f>
        <v>0.82030280757308804</v>
      </c>
      <c r="AN490">
        <f t="shared" ref="AN490:AN492" ca="1" si="142">+_xlfn.PERCENTILE.INC(OFFSET(AI490,-52,0,52,1),0.9)</f>
        <v>0.86363019514693318</v>
      </c>
      <c r="AP490" s="40"/>
      <c r="AQ490" s="41"/>
    </row>
    <row r="491" spans="2:43" x14ac:dyDescent="0.25">
      <c r="B491" s="1">
        <v>42118</v>
      </c>
      <c r="C491">
        <v>6.359</v>
      </c>
      <c r="D491">
        <v>4.6369999999999996</v>
      </c>
      <c r="E491" t="s">
        <v>33</v>
      </c>
      <c r="G491">
        <v>12409.39</v>
      </c>
      <c r="I491" s="14">
        <f t="shared" si="122"/>
        <v>-1.4414135151890828E-2</v>
      </c>
      <c r="J491" s="15">
        <f t="shared" si="123"/>
        <v>4.1143352100474484E-3</v>
      </c>
      <c r="K491" s="15"/>
      <c r="L491" s="15"/>
      <c r="M491" s="16">
        <f t="shared" si="132"/>
        <v>4.1049221146166825E-2</v>
      </c>
      <c r="O491" s="13">
        <f t="shared" si="126"/>
        <v>-5.1498999709216897E-3</v>
      </c>
      <c r="Q491" s="5">
        <f t="shared" si="133"/>
        <v>636.85398473995019</v>
      </c>
      <c r="R491" s="6">
        <f t="shared" si="134"/>
        <v>767.77001651931255</v>
      </c>
      <c r="T491" s="11">
        <f t="shared" si="120"/>
        <v>0.82948535503786602</v>
      </c>
      <c r="V491" s="9">
        <v>42118</v>
      </c>
      <c r="W491">
        <v>25625</v>
      </c>
      <c r="X491">
        <v>32658.5913</v>
      </c>
      <c r="Y491" t="s">
        <v>33</v>
      </c>
      <c r="AC491" s="24">
        <f t="shared" si="129"/>
        <v>-4.1172930938257867E-3</v>
      </c>
      <c r="AE491" s="5">
        <f t="shared" si="135"/>
        <v>539.53451077817772</v>
      </c>
      <c r="AF491" s="6">
        <f t="shared" si="136"/>
        <v>767.77001651931255</v>
      </c>
      <c r="AH491" s="1">
        <f t="shared" si="121"/>
        <v>42118</v>
      </c>
      <c r="AI491">
        <f t="shared" si="137"/>
        <v>0.70272933192176334</v>
      </c>
      <c r="AJ491">
        <f t="shared" ca="1" si="138"/>
        <v>0.4919622216340846</v>
      </c>
      <c r="AK491">
        <f t="shared" ca="1" si="139"/>
        <v>0.54224138454222559</v>
      </c>
      <c r="AL491">
        <f t="shared" ca="1" si="140"/>
        <v>0.70924207956464747</v>
      </c>
      <c r="AM491">
        <f t="shared" ca="1" si="141"/>
        <v>0.82030280757308804</v>
      </c>
      <c r="AN491">
        <f t="shared" ca="1" si="142"/>
        <v>0.86363019514693318</v>
      </c>
      <c r="AP491" s="40"/>
      <c r="AQ491" s="41"/>
    </row>
    <row r="492" spans="2:43" x14ac:dyDescent="0.25">
      <c r="B492" s="1">
        <v>42125</v>
      </c>
      <c r="C492">
        <v>6.7619999999999996</v>
      </c>
      <c r="D492">
        <v>4.7140000000000004</v>
      </c>
      <c r="E492" t="s">
        <v>33</v>
      </c>
      <c r="G492">
        <v>12050.19</v>
      </c>
      <c r="I492" s="14">
        <f t="shared" si="122"/>
        <v>6.3374744456675458E-2</v>
      </c>
      <c r="J492" s="15">
        <f t="shared" si="123"/>
        <v>1.6605563942204249E-2</v>
      </c>
      <c r="K492" s="15"/>
      <c r="L492" s="15"/>
      <c r="M492" s="16">
        <f t="shared" si="132"/>
        <v>-2.8945822477978278E-2</v>
      </c>
      <c r="O492" s="13">
        <f t="shared" si="126"/>
        <v>3.9990154199439853E-2</v>
      </c>
      <c r="Q492" s="5">
        <f t="shared" si="133"/>
        <v>662.32187379222853</v>
      </c>
      <c r="R492" s="6">
        <f t="shared" si="134"/>
        <v>745.54628191723009</v>
      </c>
      <c r="T492" s="11">
        <f t="shared" si="120"/>
        <v>0.88837123845486354</v>
      </c>
      <c r="V492" s="9">
        <v>42125</v>
      </c>
      <c r="W492">
        <v>27250</v>
      </c>
      <c r="X492">
        <v>33200.642699999997</v>
      </c>
      <c r="Y492" t="s">
        <v>33</v>
      </c>
      <c r="AC492" s="24">
        <f t="shared" si="129"/>
        <v>3.716813093493733E-2</v>
      </c>
      <c r="AE492" s="5">
        <f t="shared" si="135"/>
        <v>559.58800011869846</v>
      </c>
      <c r="AF492" s="6">
        <f t="shared" si="136"/>
        <v>745.54628191723009</v>
      </c>
      <c r="AH492" s="1">
        <f t="shared" si="121"/>
        <v>42125</v>
      </c>
      <c r="AI492">
        <f t="shared" si="137"/>
        <v>0.75057446290212138</v>
      </c>
      <c r="AJ492">
        <f t="shared" ca="1" si="138"/>
        <v>0.4919622216340846</v>
      </c>
      <c r="AK492">
        <f t="shared" ca="1" si="139"/>
        <v>0.54224138454222559</v>
      </c>
      <c r="AL492">
        <f t="shared" ca="1" si="140"/>
        <v>0.70924207956464747</v>
      </c>
      <c r="AM492">
        <f t="shared" ca="1" si="141"/>
        <v>0.82030280757308804</v>
      </c>
      <c r="AN492">
        <f t="shared" ca="1" si="142"/>
        <v>0.86363019514693318</v>
      </c>
      <c r="AP492" s="40"/>
      <c r="AQ492" s="41"/>
    </row>
    <row r="493" spans="2:43" x14ac:dyDescent="0.25">
      <c r="B493" s="1">
        <v>42132</v>
      </c>
      <c r="C493">
        <v>6.5759999999999996</v>
      </c>
      <c r="D493">
        <v>4.6820000000000004</v>
      </c>
      <c r="E493" t="s">
        <v>33</v>
      </c>
      <c r="G493">
        <v>12205.09</v>
      </c>
      <c r="I493" s="14">
        <f t="shared" si="122"/>
        <v>-2.7506654835847355E-2</v>
      </c>
      <c r="J493" s="15">
        <f t="shared" si="123"/>
        <v>-6.7882901994060774E-3</v>
      </c>
      <c r="K493" s="15"/>
      <c r="L493" s="15"/>
      <c r="M493" s="16">
        <f t="shared" ref="M493:M494" si="143">+G493/G492-1</f>
        <v>1.2854569098080582E-2</v>
      </c>
      <c r="O493" s="13">
        <f t="shared" si="126"/>
        <v>-1.7147472517626716E-2</v>
      </c>
      <c r="Q493" s="5">
        <f t="shared" ref="Q493:Q494" si="144">+Q492*(1+O493)</f>
        <v>650.96472766355328</v>
      </c>
      <c r="R493" s="6">
        <f t="shared" ref="R493:R494" si="145">+R492*(1+M493)</f>
        <v>755.12995811395217</v>
      </c>
      <c r="T493" s="11">
        <f t="shared" ref="T493:T494" si="146">+Q493/R493</f>
        <v>0.86205655154966065</v>
      </c>
      <c r="V493" s="9">
        <v>42132</v>
      </c>
      <c r="W493">
        <v>26500</v>
      </c>
      <c r="X493">
        <v>32974.787900000003</v>
      </c>
      <c r="Y493" t="s">
        <v>33</v>
      </c>
      <c r="AC493" s="24">
        <f t="shared" si="129"/>
        <v>-1.6127734928635149E-2</v>
      </c>
      <c r="AE493" s="5">
        <f t="shared" ref="AE493:AE494" si="147">+AE492*(1+AC493)</f>
        <v>550.56311318353903</v>
      </c>
      <c r="AF493" s="6">
        <f t="shared" ref="AF493:AF494" si="148">+AF492*(1+M493)</f>
        <v>755.12995811395217</v>
      </c>
      <c r="AH493" s="1">
        <f t="shared" si="121"/>
        <v>42132</v>
      </c>
      <c r="AI493">
        <f t="shared" ref="AI493:AI494" si="149">+(AE493/$AE$6)/(AF493/$AF$6)</f>
        <v>0.72909716700771765</v>
      </c>
      <c r="AJ493">
        <f t="shared" ref="AJ493:AJ494" ca="1" si="150">+_xlfn.PERCENTILE.INC(OFFSET(AI493,-52,0,52,1),0.1)</f>
        <v>0.4919622216340846</v>
      </c>
      <c r="AK493">
        <f t="shared" ref="AK493:AK494" ca="1" si="151">+_xlfn.PERCENTILE.INC(OFFSET(AI493,-52,0,52,1),0.25)</f>
        <v>0.54224138454222559</v>
      </c>
      <c r="AL493">
        <f t="shared" ref="AL493:AL494" ca="1" si="152">+_xlfn.PERCENTILE.INC(OFFSET(AI493,-52,0,52,1),0.5)</f>
        <v>0.71227985229602053</v>
      </c>
      <c r="AM493">
        <f t="shared" ref="AM493:AM494" ca="1" si="153">+_xlfn.PERCENTILE.INC(OFFSET(AI493,-52,0,52,1),0.75)</f>
        <v>0.82030280757308804</v>
      </c>
      <c r="AN493">
        <f t="shared" ref="AN493:AN494" ca="1" si="154">+_xlfn.PERCENTILE.INC(OFFSET(AI493,-52,0,52,1),0.9)</f>
        <v>0.86363019514693318</v>
      </c>
      <c r="AP493" s="40"/>
      <c r="AQ493" s="41"/>
    </row>
    <row r="494" spans="2:43" x14ac:dyDescent="0.25">
      <c r="B494" s="1">
        <v>42139</v>
      </c>
      <c r="C494">
        <v>6.7</v>
      </c>
      <c r="D494">
        <v>4.6180000000000003</v>
      </c>
      <c r="E494" t="s">
        <v>33</v>
      </c>
      <c r="G494">
        <v>12375.82</v>
      </c>
      <c r="I494" s="14">
        <f t="shared" si="122"/>
        <v>1.8856447688564648E-2</v>
      </c>
      <c r="J494" s="15">
        <f t="shared" si="123"/>
        <v>-1.366937206322083E-2</v>
      </c>
      <c r="K494" s="15"/>
      <c r="L494" s="15"/>
      <c r="M494" s="16">
        <f t="shared" si="143"/>
        <v>1.3988426140241428E-2</v>
      </c>
      <c r="O494" s="13">
        <f t="shared" si="126"/>
        <v>2.5935378126719089E-3</v>
      </c>
      <c r="Q494" s="5">
        <f t="shared" si="144"/>
        <v>652.65302929946427</v>
      </c>
      <c r="R494" s="6">
        <f t="shared" si="145"/>
        <v>765.6930377593128</v>
      </c>
      <c r="T494" s="11">
        <f t="shared" si="146"/>
        <v>0.85236902663939151</v>
      </c>
      <c r="V494" s="9">
        <v>42139</v>
      </c>
      <c r="W494">
        <v>27000</v>
      </c>
      <c r="X494">
        <v>32523.0785</v>
      </c>
      <c r="Y494" t="s">
        <v>33</v>
      </c>
      <c r="AC494" s="24">
        <f t="shared" si="129"/>
        <v>8.2305832377875315E-4</v>
      </c>
      <c r="AE494" s="5">
        <f t="shared" si="147"/>
        <v>551.01625873661021</v>
      </c>
      <c r="AF494" s="6">
        <f t="shared" si="148"/>
        <v>765.6930377593128</v>
      </c>
      <c r="AH494" s="1">
        <f t="shared" si="121"/>
        <v>42139</v>
      </c>
      <c r="AI494">
        <f t="shared" si="149"/>
        <v>0.7196307548375751</v>
      </c>
      <c r="AJ494">
        <f t="shared" ca="1" si="150"/>
        <v>0.4919622216340846</v>
      </c>
      <c r="AK494">
        <f t="shared" ca="1" si="151"/>
        <v>0.54224138454222559</v>
      </c>
      <c r="AL494">
        <f t="shared" ca="1" si="152"/>
        <v>0.71691363414441156</v>
      </c>
      <c r="AM494">
        <f t="shared" ca="1" si="153"/>
        <v>0.82030280757308804</v>
      </c>
      <c r="AN494">
        <f t="shared" ca="1" si="154"/>
        <v>0.86363019514693318</v>
      </c>
      <c r="AP494" s="40"/>
      <c r="AQ494" s="41"/>
    </row>
    <row r="495" spans="2:43" x14ac:dyDescent="0.25">
      <c r="B495" s="1">
        <v>42146</v>
      </c>
      <c r="C495">
        <v>6.5659999999999998</v>
      </c>
      <c r="D495">
        <v>4.3620000000000001</v>
      </c>
      <c r="E495" t="s">
        <v>33</v>
      </c>
      <c r="G495">
        <v>11459.53</v>
      </c>
      <c r="I495" s="14">
        <f t="shared" si="122"/>
        <v>-2.0000000000000018E-2</v>
      </c>
      <c r="J495" s="15">
        <f t="shared" si="123"/>
        <v>-5.5435253356431402E-2</v>
      </c>
      <c r="K495" s="15"/>
      <c r="L495" s="15"/>
      <c r="M495" s="16">
        <f t="shared" ref="M495:M496" si="155">+G495/G494-1</f>
        <v>-7.4038730362917304E-2</v>
      </c>
      <c r="O495" s="13">
        <f t="shared" si="126"/>
        <v>-3.771762667821571E-2</v>
      </c>
      <c r="Q495" s="5">
        <f t="shared" ref="Q495:Q496" si="156">+Q494*(1+O495)</f>
        <v>628.03650598994045</v>
      </c>
      <c r="R495" s="6">
        <f t="shared" ref="R495:R496" si="157">+R494*(1+M495)</f>
        <v>709.00209739588797</v>
      </c>
      <c r="T495" s="11">
        <f t="shared" ref="T495:T496" si="158">+Q495/R495</f>
        <v>0.88580345290468376</v>
      </c>
      <c r="V495" s="9">
        <v>42146</v>
      </c>
      <c r="W495">
        <v>26460</v>
      </c>
      <c r="X495">
        <v>30716.2408</v>
      </c>
      <c r="Y495" t="s">
        <v>33</v>
      </c>
      <c r="AC495" s="24">
        <f t="shared" si="129"/>
        <v>-3.9361625030509932E-2</v>
      </c>
      <c r="AE495" s="5">
        <f t="shared" ref="AE495:AE496" si="159">+AE494*(1+AC495)</f>
        <v>529.32736337450535</v>
      </c>
      <c r="AF495" s="6">
        <f t="shared" ref="AF495:AF496" si="160">+AF494*(1+M495)</f>
        <v>709.00209739588797</v>
      </c>
      <c r="AH495" s="1">
        <f t="shared" si="121"/>
        <v>42146</v>
      </c>
      <c r="AI495">
        <f t="shared" ref="AI495:AI496" si="161">+(AE495/$AE$6)/(AF495/$AF$6)</f>
        <v>0.74658081452605773</v>
      </c>
      <c r="AJ495">
        <f t="shared" ref="AJ495:AJ496" ca="1" si="162">+_xlfn.PERCENTILE.INC(OFFSET(AI495,-52,0,52,1),0.1)</f>
        <v>0.4919622216340846</v>
      </c>
      <c r="AK495">
        <f t="shared" ref="AK495:AK496" ca="1" si="163">+_xlfn.PERCENTILE.INC(OFFSET(AI495,-52,0,52,1),0.25)</f>
        <v>0.54224138454222559</v>
      </c>
      <c r="AL495">
        <f t="shared" ref="AL495:AL496" ca="1" si="164">+_xlfn.PERCENTILE.INC(OFFSET(AI495,-52,0,52,1),0.5)</f>
        <v>0.72057722761405296</v>
      </c>
      <c r="AM495">
        <f t="shared" ref="AM495:AM496" ca="1" si="165">+_xlfn.PERCENTILE.INC(OFFSET(AI495,-52,0,52,1),0.75)</f>
        <v>0.82030280757308804</v>
      </c>
      <c r="AN495">
        <f t="shared" ref="AN495:AN496" ca="1" si="166">+_xlfn.PERCENTILE.INC(OFFSET(AI495,-52,0,52,1),0.9)</f>
        <v>0.86363019514693318</v>
      </c>
      <c r="AP495" s="40"/>
      <c r="AQ495" s="41"/>
    </row>
    <row r="496" spans="2:43" x14ac:dyDescent="0.25">
      <c r="B496" s="1">
        <v>42153</v>
      </c>
      <c r="C496">
        <v>6.1559999999999997</v>
      </c>
      <c r="D496">
        <v>4.3940000000000001</v>
      </c>
      <c r="E496" t="s">
        <v>33</v>
      </c>
      <c r="G496">
        <v>10800.86</v>
      </c>
      <c r="I496" s="14">
        <f t="shared" si="122"/>
        <v>-6.2442887602802366E-2</v>
      </c>
      <c r="J496" s="15">
        <f t="shared" si="123"/>
        <v>7.3360843649701302E-3</v>
      </c>
      <c r="K496" s="15"/>
      <c r="L496" s="15"/>
      <c r="M496" s="16">
        <f t="shared" si="155"/>
        <v>-5.7477924487304488E-2</v>
      </c>
      <c r="O496" s="13">
        <f t="shared" si="126"/>
        <v>-2.7553401618916118E-2</v>
      </c>
      <c r="Q496" s="5">
        <f t="shared" si="156"/>
        <v>610.73196390905889</v>
      </c>
      <c r="R496" s="6">
        <f t="shared" si="157"/>
        <v>668.25012838042664</v>
      </c>
      <c r="T496" s="11">
        <f t="shared" si="158"/>
        <v>0.91392719278517909</v>
      </c>
      <c r="V496" s="9">
        <v>42153</v>
      </c>
      <c r="W496">
        <v>24808</v>
      </c>
      <c r="X496">
        <v>30942.095499999999</v>
      </c>
      <c r="Y496" t="s">
        <v>33</v>
      </c>
      <c r="AC496" s="24">
        <f t="shared" si="129"/>
        <v>-2.495620299833726E-2</v>
      </c>
      <c r="AE496" s="5">
        <f t="shared" si="159"/>
        <v>516.11736224155663</v>
      </c>
      <c r="AF496" s="6">
        <f t="shared" si="160"/>
        <v>668.25012838042664</v>
      </c>
      <c r="AH496" s="1">
        <f t="shared" si="121"/>
        <v>42153</v>
      </c>
      <c r="AI496">
        <f t="shared" si="161"/>
        <v>0.7723415833715146</v>
      </c>
      <c r="AJ496">
        <f t="shared" ca="1" si="162"/>
        <v>0.4919622216340846</v>
      </c>
      <c r="AK496">
        <f t="shared" ca="1" si="163"/>
        <v>0.54476484004612347</v>
      </c>
      <c r="AL496">
        <f t="shared" ca="1" si="164"/>
        <v>0.72531043369912429</v>
      </c>
      <c r="AM496">
        <f t="shared" ca="1" si="165"/>
        <v>0.82030280757308804</v>
      </c>
      <c r="AN496">
        <f t="shared" ca="1" si="166"/>
        <v>0.86363019514693318</v>
      </c>
      <c r="AP496" s="40"/>
      <c r="AQ496" s="41"/>
    </row>
    <row r="497" spans="2:43" x14ac:dyDescent="0.25">
      <c r="B497" s="1">
        <v>42160</v>
      </c>
      <c r="C497">
        <v>6.4550000000000001</v>
      </c>
      <c r="D497">
        <v>4.5609999999999999</v>
      </c>
      <c r="E497" t="s">
        <v>33</v>
      </c>
      <c r="G497">
        <v>11215.76</v>
      </c>
      <c r="I497" s="14">
        <f t="shared" si="122"/>
        <v>4.8570500324886412E-2</v>
      </c>
      <c r="J497" s="15">
        <f t="shared" si="123"/>
        <v>3.8006372325898985E-2</v>
      </c>
      <c r="K497" s="15"/>
      <c r="L497" s="15"/>
      <c r="M497" s="16">
        <f t="shared" ref="M497" si="167">+G497/G496-1</f>
        <v>3.8413607805304339E-2</v>
      </c>
      <c r="O497" s="13">
        <f t="shared" si="126"/>
        <v>4.3288436325392698E-2</v>
      </c>
      <c r="Q497" s="5">
        <f t="shared" ref="Q497" si="168">+Q496*(1+O497)</f>
        <v>637.16959564061824</v>
      </c>
      <c r="R497" s="6">
        <f t="shared" ref="R497" si="169">+R496*(1+M497)</f>
        <v>693.92002672787658</v>
      </c>
      <c r="T497" s="11">
        <f t="shared" ref="T497" si="170">+Q497/R497</f>
        <v>0.91821762032887222</v>
      </c>
      <c r="V497" s="9">
        <v>42160</v>
      </c>
      <c r="W497">
        <v>26012</v>
      </c>
      <c r="X497">
        <v>32116.54</v>
      </c>
      <c r="Y497" t="s">
        <v>33</v>
      </c>
      <c r="AC497" s="24">
        <f t="shared" si="129"/>
        <v>4.2707259114494356E-2</v>
      </c>
      <c r="AE497" s="5">
        <f t="shared" ref="AE497" si="171">+AE496*(1+AC497)</f>
        <v>538.1593201642961</v>
      </c>
      <c r="AF497" s="6">
        <f t="shared" ref="AF497" si="172">+AF496*(1+M497)</f>
        <v>693.92002672787658</v>
      </c>
      <c r="AH497" s="1">
        <f t="shared" si="121"/>
        <v>42160</v>
      </c>
      <c r="AI497">
        <f t="shared" ref="AI497" si="173">+(AE497/$AE$6)/(AF497/$AF$6)</f>
        <v>0.77553507527653087</v>
      </c>
      <c r="AJ497">
        <f t="shared" ref="AJ497" ca="1" si="174">+_xlfn.PERCENTILE.INC(OFFSET(AI497,-52,0,52,1),0.1)</f>
        <v>0.4919622216340846</v>
      </c>
      <c r="AK497">
        <f t="shared" ref="AK497" ca="1" si="175">+_xlfn.PERCENTILE.INC(OFFSET(AI497,-52,0,52,1),0.25)</f>
        <v>0.54674865058245015</v>
      </c>
      <c r="AL497">
        <f t="shared" ref="AL497" ca="1" si="176">+_xlfn.PERCENTILE.INC(OFFSET(AI497,-52,0,52,1),0.5)</f>
        <v>0.73070049865314912</v>
      </c>
      <c r="AM497">
        <f t="shared" ref="AM497" ca="1" si="177">+_xlfn.PERCENTILE.INC(OFFSET(AI497,-52,0,52,1),0.75)</f>
        <v>0.82030280757308804</v>
      </c>
      <c r="AN497">
        <f t="shared" ref="AN497" ca="1" si="178">+_xlfn.PERCENTILE.INC(OFFSET(AI497,-52,0,52,1),0.9)</f>
        <v>0.86363019514693318</v>
      </c>
      <c r="AP497" s="40"/>
      <c r="AQ497" s="41"/>
    </row>
    <row r="498" spans="2:43" x14ac:dyDescent="0.25">
      <c r="B498" s="1">
        <v>42167</v>
      </c>
      <c r="C498">
        <v>6.2530000000000001</v>
      </c>
      <c r="D498">
        <v>4.4770000000000003</v>
      </c>
      <c r="E498" t="s">
        <v>33</v>
      </c>
      <c r="G498">
        <v>11364.05</v>
      </c>
      <c r="I498" s="14">
        <f t="shared" si="122"/>
        <v>-3.12935708752905E-2</v>
      </c>
      <c r="J498" s="15">
        <f t="shared" si="123"/>
        <v>-1.8417013812760286E-2</v>
      </c>
      <c r="K498" s="15"/>
      <c r="L498" s="15"/>
      <c r="M498" s="16">
        <f t="shared" ref="M498" si="179">+G498/G497-1</f>
        <v>1.3221573928115404E-2</v>
      </c>
      <c r="O498" s="13">
        <f t="shared" si="126"/>
        <v>-2.4855292344025393E-2</v>
      </c>
      <c r="Q498" s="5">
        <f t="shared" ref="Q498" si="180">+Q497*(1+O498)</f>
        <v>621.33255906824627</v>
      </c>
      <c r="R498" s="6">
        <f t="shared" ref="R498" si="181">+R497*(1+M498)</f>
        <v>703.09474166145901</v>
      </c>
      <c r="T498" s="11">
        <f t="shared" ref="T498" si="182">+Q498/R498</f>
        <v>0.883711002588352</v>
      </c>
      <c r="V498" s="9">
        <v>42167</v>
      </c>
      <c r="W498">
        <v>25200</v>
      </c>
      <c r="X498">
        <v>31529.317800000001</v>
      </c>
      <c r="Y498" t="s">
        <v>33</v>
      </c>
      <c r="AC498" s="24">
        <f t="shared" si="129"/>
        <v>-2.417915754302662E-2</v>
      </c>
      <c r="AE498" s="5">
        <f t="shared" ref="AE498" si="183">+AE497*(1+AC498)</f>
        <v>525.14708117879547</v>
      </c>
      <c r="AF498" s="6">
        <f t="shared" ref="AF498" si="184">+AF497*(1+M498)</f>
        <v>703.09474166145901</v>
      </c>
      <c r="AH498" s="1">
        <f t="shared" si="121"/>
        <v>42167</v>
      </c>
      <c r="AI498">
        <f t="shared" ref="AI498" si="185">+(AE498/$AE$6)/(AF498/$AF$6)</f>
        <v>0.74690799128697571</v>
      </c>
      <c r="AJ498">
        <f t="shared" ref="AJ498" ca="1" si="186">+_xlfn.PERCENTILE.INC(OFFSET(AI498,-52,0,52,1),0.1)</f>
        <v>0.4919622216340846</v>
      </c>
      <c r="AK498">
        <f t="shared" ref="AK498" ca="1" si="187">+_xlfn.PERCENTILE.INC(OFFSET(AI498,-52,0,52,1),0.25)</f>
        <v>0.55718962616653589</v>
      </c>
      <c r="AL498">
        <f t="shared" ref="AL498" ca="1" si="188">+_xlfn.PERCENTILE.INC(OFFSET(AI498,-52,0,52,1),0.5)</f>
        <v>0.7334521095398745</v>
      </c>
      <c r="AM498">
        <f t="shared" ref="AM498" ca="1" si="189">+_xlfn.PERCENTILE.INC(OFFSET(AI498,-52,0,52,1),0.75)</f>
        <v>0.82030280757308804</v>
      </c>
      <c r="AN498">
        <f t="shared" ref="AN498" ca="1" si="190">+_xlfn.PERCENTILE.INC(OFFSET(AI498,-52,0,52,1),0.9)</f>
        <v>0.86363019514693318</v>
      </c>
      <c r="AP498" s="40"/>
      <c r="AQ498" s="41"/>
    </row>
    <row r="499" spans="2:43" x14ac:dyDescent="0.25">
      <c r="B499" s="1">
        <v>42174</v>
      </c>
      <c r="C499">
        <v>5.593</v>
      </c>
      <c r="D499">
        <v>4.0789999999999997</v>
      </c>
      <c r="E499" t="s">
        <v>33</v>
      </c>
      <c r="G499">
        <v>11221.67</v>
      </c>
      <c r="I499" s="14">
        <f t="shared" si="122"/>
        <v>-0.10554933631856711</v>
      </c>
      <c r="J499" s="15">
        <f t="shared" si="123"/>
        <v>-8.8898816171543604E-2</v>
      </c>
      <c r="K499" s="15"/>
      <c r="L499" s="15"/>
      <c r="M499" s="16">
        <f t="shared" ref="M499" si="191">+G499/G498-1</f>
        <v>-1.2528983944984362E-2</v>
      </c>
      <c r="O499" s="13">
        <f t="shared" si="126"/>
        <v>-9.7224076245055358E-2</v>
      </c>
      <c r="Q499" s="5">
        <f t="shared" ref="Q499" si="192">+Q498*(1+O499)</f>
        <v>560.92407497185968</v>
      </c>
      <c r="R499" s="6">
        <f t="shared" ref="R499" si="193">+R498*(1+M499)</f>
        <v>694.28567893137961</v>
      </c>
      <c r="T499" s="11">
        <f t="shared" ref="T499" si="194">+Q499/R499</f>
        <v>0.8079153754621794</v>
      </c>
      <c r="V499" s="9">
        <v>42174</v>
      </c>
      <c r="W499">
        <v>22540</v>
      </c>
      <c r="X499">
        <v>28728.719400000002</v>
      </c>
      <c r="Y499" t="s">
        <v>33</v>
      </c>
      <c r="AC499" s="24">
        <f t="shared" si="129"/>
        <v>-9.6295222896973884E-2</v>
      </c>
      <c r="AE499" s="5">
        <f t="shared" ref="AE499" si="195">+AE498*(1+AC499)</f>
        <v>474.57792594298814</v>
      </c>
      <c r="AF499" s="6">
        <f t="shared" ref="AF499" si="196">+AF498*(1+M499)</f>
        <v>694.28567893137961</v>
      </c>
      <c r="AH499" s="1">
        <f t="shared" si="121"/>
        <v>42174</v>
      </c>
      <c r="AI499">
        <f t="shared" ref="AI499" si="197">+(AE499/$AE$6)/(AF499/$AF$6)</f>
        <v>0.68354848781187882</v>
      </c>
      <c r="AJ499">
        <f t="shared" ref="AJ499" ca="1" si="198">+_xlfn.PERCENTILE.INC(OFFSET(AI499,-52,0,52,1),0.1)</f>
        <v>0.4919622216340846</v>
      </c>
      <c r="AK499">
        <f t="shared" ref="AK499" ca="1" si="199">+_xlfn.PERCENTILE.INC(OFFSET(AI499,-52,0,52,1),0.25)</f>
        <v>0.56387843518834357</v>
      </c>
      <c r="AL499">
        <f t="shared" ref="AL499" ca="1" si="200">+_xlfn.PERCENTILE.INC(OFFSET(AI499,-52,0,52,1),0.5)</f>
        <v>0.73672940498328554</v>
      </c>
      <c r="AM499">
        <f t="shared" ref="AM499" ca="1" si="201">+_xlfn.PERCENTILE.INC(OFFSET(AI499,-52,0,52,1),0.75)</f>
        <v>0.82030280757308804</v>
      </c>
      <c r="AN499">
        <f t="shared" ref="AN499" ca="1" si="202">+_xlfn.PERCENTILE.INC(OFFSET(AI499,-52,0,52,1),0.9)</f>
        <v>0.86363019514693318</v>
      </c>
      <c r="AP499" s="40"/>
      <c r="AQ499" s="41"/>
    </row>
    <row r="500" spans="2:43" x14ac:dyDescent="0.25">
      <c r="B500" s="1">
        <v>42181</v>
      </c>
      <c r="C500">
        <v>5.8920000000000003</v>
      </c>
      <c r="D500">
        <v>4.0350000000000001</v>
      </c>
      <c r="E500" t="s">
        <v>33</v>
      </c>
      <c r="G500">
        <v>11684.42</v>
      </c>
      <c r="I500" s="14">
        <f t="shared" si="122"/>
        <v>5.3459681745038568E-2</v>
      </c>
      <c r="J500" s="15">
        <f t="shared" si="123"/>
        <v>-1.0786957587643919E-2</v>
      </c>
      <c r="K500" s="15"/>
      <c r="L500" s="15"/>
      <c r="M500" s="16">
        <f t="shared" ref="M500:M501" si="203">+G500/G499-1</f>
        <v>4.1237177710625961E-2</v>
      </c>
      <c r="O500" s="13">
        <f t="shared" si="126"/>
        <v>2.1336362078697324E-2</v>
      </c>
      <c r="Q500" s="5">
        <f t="shared" ref="Q500:Q501" si="204">+Q499*(1+O500)</f>
        <v>572.89215413411762</v>
      </c>
      <c r="R500" s="6">
        <f t="shared" ref="R500:R501" si="205">+R499*(1+M500)</f>
        <v>722.91606085541548</v>
      </c>
      <c r="T500" s="11">
        <f t="shared" ref="T500:T501" si="206">+Q500/R500</f>
        <v>0.79247396088589195</v>
      </c>
      <c r="V500" s="9">
        <v>42181</v>
      </c>
      <c r="W500">
        <v>23744</v>
      </c>
      <c r="X500">
        <v>28412.522799999999</v>
      </c>
      <c r="Y500" t="s">
        <v>33</v>
      </c>
      <c r="AC500" s="24">
        <f t="shared" si="129"/>
        <v>1.7458710872697285E-2</v>
      </c>
      <c r="AE500" s="5">
        <f t="shared" ref="AE500:AE501" si="207">+AE499*(1+AC500)</f>
        <v>482.86344473859117</v>
      </c>
      <c r="AF500" s="6">
        <f t="shared" ref="AF500:AF501" si="208">+AF499*(1+M500)</f>
        <v>722.91606085541548</v>
      </c>
      <c r="AH500" s="1">
        <f t="shared" si="121"/>
        <v>42181</v>
      </c>
      <c r="AI500">
        <f t="shared" ref="AI500:AI501" si="209">+(AE500/$AE$6)/(AF500/$AF$6)</f>
        <v>0.66793846600561935</v>
      </c>
      <c r="AJ500">
        <f t="shared" ref="AJ500:AJ501" ca="1" si="210">+_xlfn.PERCENTILE.INC(OFFSET(AI500,-52,0,52,1),0.1)</f>
        <v>0.4919622216340846</v>
      </c>
      <c r="AK500">
        <f t="shared" ref="AK500:AK501" ca="1" si="211">+_xlfn.PERCENTILE.INC(OFFSET(AI500,-52,0,52,1),0.25)</f>
        <v>0.63190194712845116</v>
      </c>
      <c r="AL500">
        <f t="shared" ref="AL500:AL501" ca="1" si="212">+_xlfn.PERCENTILE.INC(OFFSET(AI500,-52,0,52,1),0.5)</f>
        <v>0.73672940498328554</v>
      </c>
      <c r="AM500">
        <f t="shared" ref="AM500:AM501" ca="1" si="213">+_xlfn.PERCENTILE.INC(OFFSET(AI500,-52,0,52,1),0.75)</f>
        <v>0.82030280757308804</v>
      </c>
      <c r="AN500">
        <f t="shared" ref="AN500:AN501" ca="1" si="214">+_xlfn.PERCENTILE.INC(OFFSET(AI500,-52,0,52,1),0.9)</f>
        <v>0.86363019514693318</v>
      </c>
    </row>
    <row r="501" spans="2:43" x14ac:dyDescent="0.25">
      <c r="B501" s="1">
        <v>42188</v>
      </c>
      <c r="C501">
        <v>6.1349999999999998</v>
      </c>
      <c r="D501">
        <v>4.2009999999999996</v>
      </c>
      <c r="E501" t="s">
        <v>33</v>
      </c>
      <c r="G501">
        <v>11766.12</v>
      </c>
      <c r="I501" s="14">
        <f t="shared" si="122"/>
        <v>4.1242362525458098E-2</v>
      </c>
      <c r="J501" s="15">
        <f t="shared" si="123"/>
        <v>4.1140024783147267E-2</v>
      </c>
      <c r="K501" s="15"/>
      <c r="L501" s="15"/>
      <c r="M501" s="16">
        <f t="shared" si="203"/>
        <v>6.9922169863803063E-3</v>
      </c>
      <c r="O501" s="13">
        <f t="shared" si="126"/>
        <v>4.1191193654302682E-2</v>
      </c>
      <c r="Q501" s="5">
        <f t="shared" si="204"/>
        <v>596.49026579808674</v>
      </c>
      <c r="R501" s="6">
        <f t="shared" si="205"/>
        <v>727.97084681585591</v>
      </c>
      <c r="T501" s="11">
        <f t="shared" si="206"/>
        <v>0.81938757356442893</v>
      </c>
      <c r="V501" s="9">
        <v>42188</v>
      </c>
      <c r="W501">
        <v>24724</v>
      </c>
      <c r="X501">
        <v>29586.9673</v>
      </c>
      <c r="Y501" t="s">
        <v>33</v>
      </c>
      <c r="AC501" s="24">
        <f t="shared" si="129"/>
        <v>4.1186613536058313E-2</v>
      </c>
      <c r="AE501" s="5">
        <f t="shared" si="207"/>
        <v>502.7509548277294</v>
      </c>
      <c r="AF501" s="6">
        <f t="shared" si="208"/>
        <v>727.97084681585591</v>
      </c>
      <c r="AH501" s="1">
        <f t="shared" si="121"/>
        <v>42188</v>
      </c>
      <c r="AI501">
        <f t="shared" si="209"/>
        <v>0.69061962718254688</v>
      </c>
      <c r="AJ501">
        <f t="shared" ca="1" si="210"/>
        <v>0.49200020379592685</v>
      </c>
      <c r="AK501">
        <f t="shared" ca="1" si="211"/>
        <v>0.65771754787201286</v>
      </c>
      <c r="AL501">
        <f t="shared" ca="1" si="212"/>
        <v>0.73672940498328554</v>
      </c>
      <c r="AM501">
        <f t="shared" ca="1" si="213"/>
        <v>0.82030280757308804</v>
      </c>
      <c r="AN501">
        <f t="shared" ca="1" si="214"/>
        <v>0.86363019514693318</v>
      </c>
    </row>
    <row r="502" spans="2:43" x14ac:dyDescent="0.25">
      <c r="B502" s="1">
        <v>42195</v>
      </c>
      <c r="C502">
        <v>6.218</v>
      </c>
      <c r="D502">
        <v>4.2080000000000002</v>
      </c>
      <c r="E502" t="s">
        <v>33</v>
      </c>
      <c r="G502">
        <v>11690.01</v>
      </c>
      <c r="I502" s="14">
        <f t="shared" ref="I502:I510" si="215">+C502/C501-1</f>
        <v>1.3528932355338252E-2</v>
      </c>
      <c r="J502" s="15">
        <f t="shared" ref="J502:J510" si="216">+D502/D501-1</f>
        <v>1.6662699357297139E-3</v>
      </c>
      <c r="K502" s="15"/>
      <c r="L502" s="15"/>
      <c r="M502" s="16">
        <f t="shared" ref="M502:M510" si="217">+G502/G501-1</f>
        <v>-6.4685724775882525E-3</v>
      </c>
      <c r="O502" s="13">
        <f t="shared" si="126"/>
        <v>7.5976011455339831E-3</v>
      </c>
      <c r="Q502" s="5">
        <f t="shared" ref="Q502:Q510" si="218">+Q501*(1+O502)</f>
        <v>601.0221609248141</v>
      </c>
      <c r="R502" s="6">
        <f t="shared" ref="R502:R510" si="219">+R501*(1+M502)</f>
        <v>723.26191463165628</v>
      </c>
      <c r="T502" s="11">
        <f t="shared" ref="T502:T510" si="220">+Q502/R502</f>
        <v>0.83098826132840609</v>
      </c>
      <c r="V502" s="9">
        <v>42195</v>
      </c>
      <c r="W502">
        <v>25060</v>
      </c>
      <c r="X502">
        <v>29632.138200000001</v>
      </c>
      <c r="Y502" t="s">
        <v>33</v>
      </c>
      <c r="AC502" s="24">
        <f t="shared" si="129"/>
        <v>7.0665137583508127E-3</v>
      </c>
      <c r="AE502" s="5">
        <f t="shared" ref="AE502:AE510" si="221">+AE501*(1+AC502)</f>
        <v>506.30365136704353</v>
      </c>
      <c r="AF502" s="6">
        <f t="shared" ref="AF502:AF510" si="222">+AF501*(1+M502)</f>
        <v>723.26191463165628</v>
      </c>
      <c r="AH502" s="1">
        <f t="shared" ref="AH502:AH510" si="223">+B502</f>
        <v>42195</v>
      </c>
      <c r="AI502">
        <f t="shared" ref="AI502:AI510" si="224">+(AE502/$AE$6)/(AF502/$AF$6)</f>
        <v>0.70002808266891048</v>
      </c>
      <c r="AJ502">
        <f t="shared" ref="AJ502:AJ510" ca="1" si="225">+_xlfn.PERCENTILE.INC(OFFSET(AI502,-52,0,52,1),0.1)</f>
        <v>0.49610423291571576</v>
      </c>
      <c r="AK502">
        <f t="shared" ref="AK502:AK510" ca="1" si="226">+_xlfn.PERCENTILE.INC(OFFSET(AI502,-52,0,52,1),0.25)</f>
        <v>0.65949341129961569</v>
      </c>
      <c r="AL502">
        <f t="shared" ref="AL502:AL510" ca="1" si="227">+_xlfn.PERCENTILE.INC(OFFSET(AI502,-52,0,52,1),0.5)</f>
        <v>0.73672940498328554</v>
      </c>
      <c r="AM502">
        <f t="shared" ref="AM502:AM510" ca="1" si="228">+_xlfn.PERCENTILE.INC(OFFSET(AI502,-52,0,52,1),0.75)</f>
        <v>0.82030280757308804</v>
      </c>
      <c r="AN502">
        <f t="shared" ref="AN502:AN510" ca="1" si="229">+_xlfn.PERCENTILE.INC(OFFSET(AI502,-52,0,52,1),0.9)</f>
        <v>0.86363019514693318</v>
      </c>
    </row>
    <row r="503" spans="2:43" x14ac:dyDescent="0.25">
      <c r="B503" s="1">
        <v>42202</v>
      </c>
      <c r="C503">
        <v>6.6070000000000002</v>
      </c>
      <c r="D503">
        <v>4.5220000000000002</v>
      </c>
      <c r="E503" t="s">
        <v>33</v>
      </c>
      <c r="G503">
        <v>12377.74</v>
      </c>
      <c r="I503" s="14">
        <f t="shared" si="215"/>
        <v>6.2560308780958529E-2</v>
      </c>
      <c r="J503" s="15">
        <f t="shared" si="216"/>
        <v>7.4619771863117856E-2</v>
      </c>
      <c r="K503" s="15"/>
      <c r="L503" s="15"/>
      <c r="M503" s="16">
        <f t="shared" si="217"/>
        <v>5.8830574139799641E-2</v>
      </c>
      <c r="O503" s="13">
        <f t="shared" si="126"/>
        <v>6.8590040322038193E-2</v>
      </c>
      <c r="Q503" s="5">
        <f t="shared" si="218"/>
        <v>642.24629517708559</v>
      </c>
      <c r="R503" s="6">
        <f t="shared" si="219"/>
        <v>765.81182832288732</v>
      </c>
      <c r="T503" s="11">
        <f t="shared" si="220"/>
        <v>0.83864765654454854</v>
      </c>
      <c r="V503" s="9">
        <v>42202</v>
      </c>
      <c r="W503">
        <v>26628</v>
      </c>
      <c r="X503">
        <v>31845.5144</v>
      </c>
      <c r="Y503" t="s">
        <v>33</v>
      </c>
      <c r="AC503" s="24">
        <f t="shared" si="129"/>
        <v>6.9094112147021533E-2</v>
      </c>
      <c r="AE503" s="5">
        <f t="shared" si="221"/>
        <v>541.28625263504443</v>
      </c>
      <c r="AF503" s="6">
        <f t="shared" si="222"/>
        <v>765.81182832288732</v>
      </c>
      <c r="AH503" s="1">
        <f t="shared" si="223"/>
        <v>42202</v>
      </c>
      <c r="AI503">
        <f t="shared" si="224"/>
        <v>0.70681364875291963</v>
      </c>
      <c r="AJ503">
        <f t="shared" ca="1" si="225"/>
        <v>0.54281797555253442</v>
      </c>
      <c r="AK503">
        <f t="shared" ca="1" si="226"/>
        <v>0.66587761200131235</v>
      </c>
      <c r="AL503">
        <f t="shared" ca="1" si="227"/>
        <v>0.73672940498328554</v>
      </c>
      <c r="AM503">
        <f t="shared" ca="1" si="228"/>
        <v>0.82030280757308804</v>
      </c>
      <c r="AN503">
        <f t="shared" ca="1" si="229"/>
        <v>0.86363019514693318</v>
      </c>
    </row>
    <row r="504" spans="2:43" x14ac:dyDescent="0.25">
      <c r="B504" s="1">
        <v>42209</v>
      </c>
      <c r="C504">
        <v>5.8710000000000004</v>
      </c>
      <c r="D504">
        <v>3.996</v>
      </c>
      <c r="E504" t="s">
        <v>33</v>
      </c>
      <c r="G504">
        <v>10904.07</v>
      </c>
      <c r="I504" s="14">
        <f t="shared" si="215"/>
        <v>-0.11139700317844703</v>
      </c>
      <c r="J504" s="15">
        <f t="shared" si="216"/>
        <v>-0.11632021229544454</v>
      </c>
      <c r="K504" s="15"/>
      <c r="L504" s="15"/>
      <c r="M504" s="16">
        <f t="shared" si="217"/>
        <v>-0.11905808330115186</v>
      </c>
      <c r="O504" s="13">
        <f t="shared" si="126"/>
        <v>-0.11385860773694578</v>
      </c>
      <c r="Q504" s="5">
        <f t="shared" si="218"/>
        <v>569.12102618401116</v>
      </c>
      <c r="R504" s="6">
        <f t="shared" si="219"/>
        <v>674.63573987341363</v>
      </c>
      <c r="T504" s="11">
        <f t="shared" si="220"/>
        <v>0.84359750387786914</v>
      </c>
      <c r="V504" s="9">
        <v>42209</v>
      </c>
      <c r="W504">
        <v>23660</v>
      </c>
      <c r="X504">
        <v>28141.497100000001</v>
      </c>
      <c r="Y504" t="s">
        <v>33</v>
      </c>
      <c r="AC504" s="24">
        <f t="shared" si="129"/>
        <v>-0.1140782534579677</v>
      </c>
      <c r="AE504" s="5">
        <f t="shared" si="221"/>
        <v>479.53726231363026</v>
      </c>
      <c r="AF504" s="6">
        <f t="shared" si="222"/>
        <v>674.63573987341363</v>
      </c>
      <c r="AH504" s="1">
        <f t="shared" si="223"/>
        <v>42209</v>
      </c>
      <c r="AI504">
        <f t="shared" si="224"/>
        <v>0.71080915814452561</v>
      </c>
      <c r="AJ504">
        <f t="shared" ca="1" si="225"/>
        <v>0.54567830294883002</v>
      </c>
      <c r="AK504">
        <f t="shared" ca="1" si="226"/>
        <v>0.67964598236031393</v>
      </c>
      <c r="AL504">
        <f t="shared" ca="1" si="227"/>
        <v>0.73672940498328554</v>
      </c>
      <c r="AM504">
        <f t="shared" ca="1" si="228"/>
        <v>0.82030280757308804</v>
      </c>
      <c r="AN504">
        <f t="shared" ca="1" si="229"/>
        <v>0.86363019514693318</v>
      </c>
    </row>
    <row r="505" spans="2:43" x14ac:dyDescent="0.25">
      <c r="B505" s="1">
        <v>42216</v>
      </c>
      <c r="C505">
        <v>5.9749999999999996</v>
      </c>
      <c r="D505">
        <v>4.0279999999999996</v>
      </c>
      <c r="E505" t="s">
        <v>33</v>
      </c>
      <c r="G505">
        <v>11101.02</v>
      </c>
      <c r="I505" s="14">
        <f t="shared" si="215"/>
        <v>1.7714188383580076E-2</v>
      </c>
      <c r="J505" s="15">
        <f t="shared" si="216"/>
        <v>8.0080080080078275E-3</v>
      </c>
      <c r="K505" s="15"/>
      <c r="L505" s="15"/>
      <c r="M505" s="16">
        <f t="shared" si="217"/>
        <v>1.8062063064525624E-2</v>
      </c>
      <c r="O505" s="13">
        <f t="shared" si="126"/>
        <v>1.2861098195793952E-2</v>
      </c>
      <c r="Q505" s="5">
        <f t="shared" si="218"/>
        <v>576.44054758705477</v>
      </c>
      <c r="R505" s="6">
        <f t="shared" si="219"/>
        <v>686.82105315259014</v>
      </c>
      <c r="T505" s="11">
        <f t="shared" si="220"/>
        <v>0.83928782459583062</v>
      </c>
      <c r="V505" s="9">
        <v>42216</v>
      </c>
      <c r="W505">
        <v>24080</v>
      </c>
      <c r="X505">
        <v>28367.3518</v>
      </c>
      <c r="Y505" t="s">
        <v>33</v>
      </c>
      <c r="AC505" s="24">
        <f t="shared" si="129"/>
        <v>1.2441243349502222E-2</v>
      </c>
      <c r="AE505" s="5">
        <f t="shared" si="221"/>
        <v>485.50330208922821</v>
      </c>
      <c r="AF505" s="6">
        <f t="shared" si="222"/>
        <v>686.82105315259014</v>
      </c>
      <c r="AH505" s="1">
        <f t="shared" si="223"/>
        <v>42216</v>
      </c>
      <c r="AI505">
        <f t="shared" si="224"/>
        <v>0.70688471161550814</v>
      </c>
      <c r="AJ505">
        <f t="shared" ca="1" si="225"/>
        <v>0.54849756320486831</v>
      </c>
      <c r="AK505">
        <f t="shared" ca="1" si="226"/>
        <v>0.68885184233987984</v>
      </c>
      <c r="AL505">
        <f t="shared" ca="1" si="227"/>
        <v>0.73672940498328554</v>
      </c>
      <c r="AM505">
        <f t="shared" ca="1" si="228"/>
        <v>0.82030280757308804</v>
      </c>
      <c r="AN505">
        <f t="shared" ca="1" si="229"/>
        <v>0.86363019514693318</v>
      </c>
    </row>
    <row r="506" spans="2:43" x14ac:dyDescent="0.25">
      <c r="B506" s="1">
        <v>42223</v>
      </c>
      <c r="C506">
        <v>5.6280000000000001</v>
      </c>
      <c r="D506">
        <v>3.9319999999999999</v>
      </c>
      <c r="E506" t="s">
        <v>33</v>
      </c>
      <c r="G506">
        <v>11167.45</v>
      </c>
      <c r="I506" s="14">
        <f t="shared" si="215"/>
        <v>-5.8075313807531281E-2</v>
      </c>
      <c r="J506" s="15">
        <f t="shared" si="216"/>
        <v>-2.3833167825223378E-2</v>
      </c>
      <c r="K506" s="15"/>
      <c r="L506" s="15"/>
      <c r="M506" s="16">
        <f t="shared" si="217"/>
        <v>5.9841347912175102E-3</v>
      </c>
      <c r="O506" s="13">
        <f t="shared" si="126"/>
        <v>-4.095424081637733E-2</v>
      </c>
      <c r="Q506" s="5">
        <f t="shared" si="218"/>
        <v>552.83286258485009</v>
      </c>
      <c r="R506" s="6">
        <f t="shared" si="219"/>
        <v>690.93108291210126</v>
      </c>
      <c r="T506" s="11">
        <f t="shared" si="220"/>
        <v>0.80012735894699971</v>
      </c>
      <c r="V506" s="9">
        <v>42223</v>
      </c>
      <c r="W506">
        <v>22680</v>
      </c>
      <c r="X506">
        <v>27689.787700000001</v>
      </c>
      <c r="Y506" t="s">
        <v>33</v>
      </c>
      <c r="AC506" s="24">
        <f t="shared" si="129"/>
        <v>-3.9554664658815152E-2</v>
      </c>
      <c r="AE506" s="5">
        <f t="shared" si="221"/>
        <v>466.29938178434134</v>
      </c>
      <c r="AF506" s="6">
        <f t="shared" si="222"/>
        <v>690.93108291210126</v>
      </c>
      <c r="AH506" s="1">
        <f t="shared" si="223"/>
        <v>42223</v>
      </c>
      <c r="AI506">
        <f t="shared" si="224"/>
        <v>0.67488551798683949</v>
      </c>
      <c r="AJ506">
        <f t="shared" ca="1" si="225"/>
        <v>0.56097882168999946</v>
      </c>
      <c r="AK506">
        <f t="shared" ca="1" si="226"/>
        <v>0.69767596879731952</v>
      </c>
      <c r="AL506">
        <f t="shared" ca="1" si="227"/>
        <v>0.73672940498328554</v>
      </c>
      <c r="AM506">
        <f t="shared" ca="1" si="228"/>
        <v>0.82030280757308804</v>
      </c>
      <c r="AN506">
        <f t="shared" ca="1" si="229"/>
        <v>0.86363019514693318</v>
      </c>
    </row>
    <row r="507" spans="2:43" x14ac:dyDescent="0.25">
      <c r="B507" s="1">
        <v>42230</v>
      </c>
      <c r="C507">
        <v>5.774</v>
      </c>
      <c r="D507">
        <v>3.9449999999999998</v>
      </c>
      <c r="E507" t="s">
        <v>33</v>
      </c>
      <c r="G507">
        <v>11452.99</v>
      </c>
      <c r="I507" s="14">
        <f t="shared" si="215"/>
        <v>2.5941719971570798E-2</v>
      </c>
      <c r="J507" s="15">
        <f t="shared" si="216"/>
        <v>3.3062054933876706E-3</v>
      </c>
      <c r="K507" s="15"/>
      <c r="L507" s="15"/>
      <c r="M507" s="16">
        <f t="shared" si="217"/>
        <v>2.5568952625711239E-2</v>
      </c>
      <c r="O507" s="13">
        <f t="shared" si="126"/>
        <v>1.4623962732479234E-2</v>
      </c>
      <c r="Q507" s="5">
        <f t="shared" si="218"/>
        <v>560.9174697645808</v>
      </c>
      <c r="R507" s="6">
        <f t="shared" si="219"/>
        <v>708.59746703871213</v>
      </c>
      <c r="T507" s="11">
        <f t="shared" si="220"/>
        <v>0.79158830768715793</v>
      </c>
      <c r="V507" s="9">
        <v>42230</v>
      </c>
      <c r="W507">
        <v>23268</v>
      </c>
      <c r="X507">
        <v>27780.1296</v>
      </c>
      <c r="Y507" t="s">
        <v>33</v>
      </c>
      <c r="AC507" s="24">
        <f t="shared" si="129"/>
        <v>1.349829666166538E-2</v>
      </c>
      <c r="AE507" s="5">
        <f t="shared" si="221"/>
        <v>472.5936291728176</v>
      </c>
      <c r="AF507" s="6">
        <f t="shared" si="222"/>
        <v>708.59746703871213</v>
      </c>
      <c r="AH507" s="1">
        <f t="shared" si="223"/>
        <v>42230</v>
      </c>
      <c r="AI507">
        <f t="shared" si="224"/>
        <v>0.66694230667776133</v>
      </c>
      <c r="AJ507">
        <f t="shared" ca="1" si="225"/>
        <v>0.57391477461313933</v>
      </c>
      <c r="AK507">
        <f t="shared" ca="1" si="226"/>
        <v>0.69767596879731952</v>
      </c>
      <c r="AL507">
        <f t="shared" ca="1" si="227"/>
        <v>0.73672940498328554</v>
      </c>
      <c r="AM507">
        <f t="shared" ca="1" si="228"/>
        <v>0.82030280757308804</v>
      </c>
      <c r="AN507">
        <f t="shared" ca="1" si="229"/>
        <v>0.86363019514693318</v>
      </c>
    </row>
    <row r="508" spans="2:43" x14ac:dyDescent="0.25">
      <c r="B508" s="1">
        <v>42237</v>
      </c>
      <c r="C508">
        <v>5.2110000000000003</v>
      </c>
      <c r="D508">
        <v>3.72</v>
      </c>
      <c r="E508" t="s">
        <v>33</v>
      </c>
      <c r="G508">
        <v>10495.44</v>
      </c>
      <c r="I508" s="14">
        <f t="shared" si="215"/>
        <v>-9.7506061655697862E-2</v>
      </c>
      <c r="J508" s="15">
        <f t="shared" si="216"/>
        <v>-5.7034220532319324E-2</v>
      </c>
      <c r="K508" s="15"/>
      <c r="L508" s="15"/>
      <c r="M508" s="16">
        <f t="shared" si="217"/>
        <v>-8.3606988218796974E-2</v>
      </c>
      <c r="O508" s="13">
        <f t="shared" si="126"/>
        <v>-7.7270141094008593E-2</v>
      </c>
      <c r="Q508" s="5">
        <f t="shared" si="218"/>
        <v>517.57529773377735</v>
      </c>
      <c r="R508" s="6">
        <f t="shared" si="219"/>
        <v>649.35376696013714</v>
      </c>
      <c r="T508" s="11">
        <f t="shared" si="220"/>
        <v>0.79706213172018225</v>
      </c>
      <c r="V508" s="9">
        <v>42237</v>
      </c>
      <c r="W508">
        <v>21000</v>
      </c>
      <c r="X508">
        <v>26199.1466</v>
      </c>
      <c r="Y508" t="s">
        <v>33</v>
      </c>
      <c r="AC508" s="24">
        <f t="shared" si="129"/>
        <v>-7.548149385335344E-2</v>
      </c>
      <c r="AE508" s="5">
        <f t="shared" si="221"/>
        <v>436.92155605727555</v>
      </c>
      <c r="AF508" s="6">
        <f t="shared" si="222"/>
        <v>649.35376696013714</v>
      </c>
      <c r="AH508" s="1">
        <f t="shared" si="223"/>
        <v>42237</v>
      </c>
      <c r="AI508">
        <f t="shared" si="224"/>
        <v>0.67285596586690399</v>
      </c>
      <c r="AJ508">
        <f t="shared" ca="1" si="225"/>
        <v>0.6546730847326967</v>
      </c>
      <c r="AK508">
        <f t="shared" ca="1" si="226"/>
        <v>0.69767596879731952</v>
      </c>
      <c r="AL508">
        <f t="shared" ca="1" si="227"/>
        <v>0.73672940498328554</v>
      </c>
      <c r="AM508">
        <f t="shared" ca="1" si="228"/>
        <v>0.82030280757308804</v>
      </c>
      <c r="AN508">
        <f t="shared" ca="1" si="229"/>
        <v>0.86363019514693318</v>
      </c>
    </row>
    <row r="509" spans="2:43" x14ac:dyDescent="0.25">
      <c r="B509" s="1">
        <v>42244</v>
      </c>
      <c r="C509">
        <v>5.1070000000000002</v>
      </c>
      <c r="D509">
        <v>3.5150000000000001</v>
      </c>
      <c r="E509" t="s">
        <v>33</v>
      </c>
      <c r="G509">
        <v>10961.5</v>
      </c>
      <c r="I509" s="14">
        <f t="shared" si="215"/>
        <v>-1.9957781615812742E-2</v>
      </c>
      <c r="J509" s="15">
        <f t="shared" si="216"/>
        <v>-5.5107526881720492E-2</v>
      </c>
      <c r="K509" s="15"/>
      <c r="L509" s="15"/>
      <c r="M509" s="16">
        <f t="shared" si="217"/>
        <v>4.4405951537048516E-2</v>
      </c>
      <c r="O509" s="13">
        <f t="shared" si="126"/>
        <v>-3.7532654248766617E-2</v>
      </c>
      <c r="Q509" s="5">
        <f t="shared" si="218"/>
        <v>498.14932303623306</v>
      </c>
      <c r="R509" s="6">
        <f t="shared" si="219"/>
        <v>678.18893886616888</v>
      </c>
      <c r="T509" s="11">
        <f t="shared" si="220"/>
        <v>0.73452882299888977</v>
      </c>
      <c r="V509" s="9">
        <v>42244</v>
      </c>
      <c r="W509">
        <v>20580</v>
      </c>
      <c r="X509">
        <v>24753.6764</v>
      </c>
      <c r="Y509" t="s">
        <v>33</v>
      </c>
      <c r="AC509" s="24">
        <f t="shared" si="129"/>
        <v>-3.9468586270364973E-2</v>
      </c>
      <c r="AE509" s="5">
        <f t="shared" si="221"/>
        <v>419.67687992864688</v>
      </c>
      <c r="AF509" s="6">
        <f t="shared" si="222"/>
        <v>678.18893886616888</v>
      </c>
      <c r="AH509" s="1">
        <f t="shared" si="223"/>
        <v>42244</v>
      </c>
      <c r="AI509">
        <f t="shared" si="224"/>
        <v>0.61882000114936142</v>
      </c>
      <c r="AJ509">
        <f t="shared" ca="1" si="225"/>
        <v>0.65896915070879858</v>
      </c>
      <c r="AK509">
        <f t="shared" ca="1" si="226"/>
        <v>0.69767596879731952</v>
      </c>
      <c r="AL509">
        <f t="shared" ca="1" si="227"/>
        <v>0.73672940498328554</v>
      </c>
      <c r="AM509">
        <f t="shared" ca="1" si="228"/>
        <v>0.82030280757308804</v>
      </c>
      <c r="AN509">
        <f t="shared" ca="1" si="229"/>
        <v>0.86363019514693318</v>
      </c>
    </row>
    <row r="510" spans="2:43" x14ac:dyDescent="0.25">
      <c r="B510" s="1">
        <v>42251</v>
      </c>
      <c r="C510">
        <v>5.0019999999999998</v>
      </c>
      <c r="D510">
        <v>3.6560000000000001</v>
      </c>
      <c r="E510" t="s">
        <v>33</v>
      </c>
      <c r="G510">
        <v>10928.62</v>
      </c>
      <c r="I510" s="14">
        <f t="shared" si="215"/>
        <v>-2.0560015664773945E-2</v>
      </c>
      <c r="J510" s="15">
        <f t="shared" si="216"/>
        <v>4.0113798008534873E-2</v>
      </c>
      <c r="K510" s="15"/>
      <c r="L510" s="15"/>
      <c r="M510" s="16">
        <f t="shared" si="217"/>
        <v>-2.9995894722436578E-3</v>
      </c>
      <c r="O510" s="13">
        <f t="shared" si="126"/>
        <v>9.7768911718804641E-3</v>
      </c>
      <c r="Q510" s="5">
        <f t="shared" si="218"/>
        <v>503.01967475490426</v>
      </c>
      <c r="R510" s="6">
        <f t="shared" si="219"/>
        <v>676.15465046495387</v>
      </c>
      <c r="T510" s="11">
        <f t="shared" si="220"/>
        <v>0.74394175120884798</v>
      </c>
      <c r="V510" s="9">
        <v>42251</v>
      </c>
      <c r="W510">
        <v>20160</v>
      </c>
      <c r="X510">
        <v>25747.4372</v>
      </c>
      <c r="Y510" t="s">
        <v>33</v>
      </c>
      <c r="AC510" s="24">
        <f t="shared" si="129"/>
        <v>1.2569879567437619E-2</v>
      </c>
      <c r="AE510" s="5">
        <f t="shared" si="221"/>
        <v>424.95216776658793</v>
      </c>
      <c r="AF510" s="6">
        <f t="shared" si="222"/>
        <v>676.15465046495387</v>
      </c>
      <c r="AH510" s="1">
        <f t="shared" si="223"/>
        <v>42251</v>
      </c>
      <c r="AI510">
        <f t="shared" si="224"/>
        <v>0.62848368708899949</v>
      </c>
      <c r="AJ510">
        <f t="shared" ca="1" si="225"/>
        <v>0.65896915070879858</v>
      </c>
      <c r="AK510">
        <f t="shared" ca="1" si="226"/>
        <v>0.69767596879731952</v>
      </c>
      <c r="AL510">
        <f t="shared" ca="1" si="227"/>
        <v>0.73672940498328554</v>
      </c>
      <c r="AM510">
        <f t="shared" ca="1" si="228"/>
        <v>0.82030280757308804</v>
      </c>
      <c r="AN510">
        <f t="shared" ca="1" si="229"/>
        <v>0.86363019514693318</v>
      </c>
    </row>
    <row r="511" spans="2:43" x14ac:dyDescent="0.25">
      <c r="B511" s="1">
        <v>42258</v>
      </c>
      <c r="C511">
        <v>5.2110000000000003</v>
      </c>
      <c r="D511">
        <v>3.5920000000000001</v>
      </c>
      <c r="E511" t="s">
        <v>33</v>
      </c>
      <c r="G511">
        <v>10887.94</v>
      </c>
      <c r="I511" s="14">
        <f t="shared" ref="I511" si="230">+C511/C510-1</f>
        <v>4.1783286685326049E-2</v>
      </c>
      <c r="J511" s="15">
        <f t="shared" ref="J511" si="231">+D511/D510-1</f>
        <v>-1.7505470459518668E-2</v>
      </c>
      <c r="K511" s="15"/>
      <c r="L511" s="15"/>
      <c r="M511" s="16">
        <f t="shared" ref="M511" si="232">+G511/G510-1</f>
        <v>-3.722336397459225E-3</v>
      </c>
      <c r="O511" s="13">
        <f t="shared" si="126"/>
        <v>1.213890811290369E-2</v>
      </c>
      <c r="Q511" s="5">
        <f t="shared" ref="Q511" si="233">+Q510*(1+O511)</f>
        <v>509.12578436573676</v>
      </c>
      <c r="R511" s="6">
        <f t="shared" ref="R511" si="234">+R510*(1+M511)</f>
        <v>673.63777539921682</v>
      </c>
      <c r="T511" s="11">
        <f t="shared" ref="T511" si="235">+Q511/R511</f>
        <v>0.75578568031463855</v>
      </c>
      <c r="V511" s="9">
        <v>42258</v>
      </c>
      <c r="W511">
        <v>21000</v>
      </c>
      <c r="X511">
        <v>25295.727699999999</v>
      </c>
      <c r="Y511" t="s">
        <v>33</v>
      </c>
      <c r="AC511" s="24">
        <f t="shared" si="129"/>
        <v>8.5308630180571509E-3</v>
      </c>
      <c r="AE511" s="5">
        <f t="shared" ref="AE511" si="236">+AE510*(1+AC511)</f>
        <v>428.57737649903112</v>
      </c>
      <c r="AF511" s="6">
        <f t="shared" ref="AF511" si="237">+AF510*(1+M511)</f>
        <v>673.63777539921682</v>
      </c>
      <c r="AH511" s="1">
        <f t="shared" ref="AH511" si="238">+B511</f>
        <v>42258</v>
      </c>
      <c r="AI511">
        <f t="shared" ref="AI511" si="239">+(AE511/$AE$6)/(AF511/$AF$6)</f>
        <v>0.63621339561167567</v>
      </c>
      <c r="AJ511">
        <f t="shared" ref="AJ511" ca="1" si="240">+_xlfn.PERCENTILE.INC(OFFSET(AI511,-52,0,52,1),0.1)</f>
        <v>0.65896915070879858</v>
      </c>
      <c r="AK511">
        <f t="shared" ref="AK511" ca="1" si="241">+_xlfn.PERCENTILE.INC(OFFSET(AI511,-52,0,52,1),0.25)</f>
        <v>0.69767596879731952</v>
      </c>
      <c r="AL511">
        <f t="shared" ref="AL511" ca="1" si="242">+_xlfn.PERCENTILE.INC(OFFSET(AI511,-52,0,52,1),0.5)</f>
        <v>0.73672940498328554</v>
      </c>
      <c r="AM511">
        <f t="shared" ref="AM511" ca="1" si="243">+_xlfn.PERCENTILE.INC(OFFSET(AI511,-52,0,52,1),0.75)</f>
        <v>0.82030280757308804</v>
      </c>
      <c r="AN511">
        <f t="shared" ref="AN511" ca="1" si="244">+_xlfn.PERCENTILE.INC(OFFSET(AI511,-52,0,52,1),0.9)</f>
        <v>0.86363019514693318</v>
      </c>
    </row>
    <row r="512" spans="2:43" x14ac:dyDescent="0.25">
      <c r="B512" s="1">
        <v>42265</v>
      </c>
      <c r="C512">
        <v>5.2039999999999997</v>
      </c>
      <c r="D512">
        <v>3.56</v>
      </c>
      <c r="E512" t="s">
        <v>33</v>
      </c>
      <c r="G512">
        <v>10555.28</v>
      </c>
      <c r="I512" s="14">
        <f t="shared" ref="I512:I575" si="245">+C512/C511-1</f>
        <v>-1.343312224141302E-3</v>
      </c>
      <c r="J512" s="15">
        <f t="shared" ref="J512:J575" si="246">+D512/D511-1</f>
        <v>-8.9086859688195519E-3</v>
      </c>
      <c r="K512" s="15"/>
      <c r="L512" s="15"/>
      <c r="M512" s="16">
        <f t="shared" ref="M512:M575" si="247">+G512/G511-1</f>
        <v>-3.0553070645135794E-2</v>
      </c>
      <c r="O512" s="13">
        <f t="shared" si="126"/>
        <v>-5.125999096480427E-3</v>
      </c>
      <c r="Q512" s="5">
        <f t="shared" ref="Q512:Q575" si="248">+Q511*(1+O512)</f>
        <v>506.5160060550831</v>
      </c>
      <c r="R512" s="6">
        <f t="shared" ref="R512:R575" si="249">+R511*(1+M512)</f>
        <v>653.05607285821247</v>
      </c>
      <c r="T512" s="11">
        <f t="shared" ref="T512:T575" si="250">+Q512/R512</f>
        <v>0.77560875261174511</v>
      </c>
      <c r="V512" s="9">
        <v>42265</v>
      </c>
      <c r="W512">
        <v>20972</v>
      </c>
      <c r="X512">
        <v>25069.873</v>
      </c>
      <c r="Y512" t="s">
        <v>33</v>
      </c>
      <c r="AC512" s="24">
        <f t="shared" ref="AC512:AC575" si="251">+SUMPRODUCT(I512:L512,W511:Z511)/SUM(W511:AA511)</f>
        <v>-5.4769902912453275E-3</v>
      </c>
      <c r="AE512" s="5">
        <f t="shared" ref="AE512:AE575" si="252">+AE511*(1+AC512)</f>
        <v>426.23006236889853</v>
      </c>
      <c r="AF512" s="6">
        <f t="shared" ref="AF512:AF575" si="253">+AF511*(1+M512)</f>
        <v>653.05607285821247</v>
      </c>
      <c r="AH512" s="1">
        <f t="shared" ref="AH512:AH575" si="254">+B512</f>
        <v>42265</v>
      </c>
      <c r="AI512">
        <f t="shared" ref="AI512:AI575" si="255">+(AE512/$AE$6)/(AF512/$AF$6)</f>
        <v>0.65266993154727004</v>
      </c>
      <c r="AJ512">
        <f t="shared" ref="AJ512:AJ575" ca="1" si="256">+_xlfn.PERCENTILE.INC(OFFSET(AI512,-52,0,52,1),0.1)</f>
        <v>0.65896915070879858</v>
      </c>
      <c r="AK512">
        <f t="shared" ref="AK512:AK575" ca="1" si="257">+_xlfn.PERCENTILE.INC(OFFSET(AI512,-52,0,52,1),0.25)</f>
        <v>0.69767596879731952</v>
      </c>
      <c r="AL512">
        <f t="shared" ref="AL512:AL575" ca="1" si="258">+_xlfn.PERCENTILE.INC(OFFSET(AI512,-52,0,52,1),0.5)</f>
        <v>0.73672940498328554</v>
      </c>
      <c r="AM512">
        <f t="shared" ref="AM512:AM575" ca="1" si="259">+_xlfn.PERCENTILE.INC(OFFSET(AI512,-52,0,52,1),0.75)</f>
        <v>0.82030280757308804</v>
      </c>
      <c r="AN512">
        <f t="shared" ref="AN512:AN575" ca="1" si="260">+_xlfn.PERCENTILE.INC(OFFSET(AI512,-52,0,52,1),0.9)</f>
        <v>0.86363019514693318</v>
      </c>
    </row>
    <row r="513" spans="2:40" x14ac:dyDescent="0.25">
      <c r="B513" s="1">
        <v>42272</v>
      </c>
      <c r="C513">
        <v>5.3150000000000004</v>
      </c>
      <c r="D513">
        <v>3.4830000000000001</v>
      </c>
      <c r="E513" t="s">
        <v>33</v>
      </c>
      <c r="G513">
        <v>9799.31</v>
      </c>
      <c r="I513" s="14">
        <f t="shared" si="245"/>
        <v>2.1329746348962564E-2</v>
      </c>
      <c r="J513" s="15">
        <f t="shared" si="246"/>
        <v>-2.1629213483146059E-2</v>
      </c>
      <c r="K513" s="15"/>
      <c r="L513" s="15"/>
      <c r="M513" s="16">
        <f t="shared" si="247"/>
        <v>-7.162008018735655E-2</v>
      </c>
      <c r="O513" s="13">
        <f t="shared" si="126"/>
        <v>-1.4973356709174768E-4</v>
      </c>
      <c r="Q513" s="5">
        <f t="shared" si="248"/>
        <v>506.44016360670742</v>
      </c>
      <c r="R513" s="6">
        <f t="shared" si="249"/>
        <v>606.28414455326708</v>
      </c>
      <c r="T513" s="11">
        <f t="shared" si="250"/>
        <v>0.83531817243855444</v>
      </c>
      <c r="V513" s="9">
        <v>42272</v>
      </c>
      <c r="W513">
        <v>21420</v>
      </c>
      <c r="X513">
        <v>24527.8217</v>
      </c>
      <c r="Y513" t="s">
        <v>33</v>
      </c>
      <c r="AC513" s="24">
        <f t="shared" si="251"/>
        <v>-2.06147553297661E-3</v>
      </c>
      <c r="AE513" s="5">
        <f t="shared" si="252"/>
        <v>425.35139952390591</v>
      </c>
      <c r="AF513" s="6">
        <f t="shared" si="253"/>
        <v>606.28414455326708</v>
      </c>
      <c r="AH513" s="1">
        <f t="shared" si="254"/>
        <v>42272</v>
      </c>
      <c r="AI513">
        <f t="shared" si="255"/>
        <v>0.70157104279433335</v>
      </c>
      <c r="AJ513">
        <f t="shared" ca="1" si="256"/>
        <v>0.65896915070879858</v>
      </c>
      <c r="AK513">
        <f t="shared" ca="1" si="257"/>
        <v>0.69767596879731952</v>
      </c>
      <c r="AL513">
        <f t="shared" ca="1" si="258"/>
        <v>0.73672940498328554</v>
      </c>
      <c r="AM513">
        <f t="shared" ca="1" si="259"/>
        <v>0.82030280757308804</v>
      </c>
      <c r="AN513">
        <f t="shared" ca="1" si="260"/>
        <v>0.86363019514693318</v>
      </c>
    </row>
    <row r="514" spans="2:40" x14ac:dyDescent="0.25">
      <c r="B514" s="1">
        <v>42279</v>
      </c>
      <c r="C514">
        <v>5.9889999999999999</v>
      </c>
      <c r="D514">
        <v>3.5920000000000001</v>
      </c>
      <c r="E514" t="s">
        <v>33</v>
      </c>
      <c r="G514">
        <v>10189.5</v>
      </c>
      <c r="I514" s="14">
        <f t="shared" si="245"/>
        <v>0.12681091251175913</v>
      </c>
      <c r="J514" s="15">
        <f t="shared" si="246"/>
        <v>3.1294860752224984E-2</v>
      </c>
      <c r="K514" s="15"/>
      <c r="L514" s="15"/>
      <c r="M514" s="16">
        <f t="shared" si="247"/>
        <v>3.9818109642413724E-2</v>
      </c>
      <c r="O514" s="13">
        <f t="shared" si="126"/>
        <v>7.9052886631992059E-2</v>
      </c>
      <c r="Q514" s="5">
        <f t="shared" si="248"/>
        <v>546.47572044619608</v>
      </c>
      <c r="R514" s="6">
        <f t="shared" si="249"/>
        <v>630.4252330955461</v>
      </c>
      <c r="T514" s="11">
        <f t="shared" si="250"/>
        <v>0.86683668698167926</v>
      </c>
      <c r="V514" s="9">
        <v>42279</v>
      </c>
      <c r="W514">
        <v>24136</v>
      </c>
      <c r="X514">
        <v>25295.727699999999</v>
      </c>
      <c r="Y514" t="s">
        <v>33</v>
      </c>
      <c r="AC514" s="24">
        <f t="shared" si="251"/>
        <v>7.5822626226017223E-2</v>
      </c>
      <c r="AE514" s="5">
        <f t="shared" si="252"/>
        <v>457.60265970472039</v>
      </c>
      <c r="AF514" s="6">
        <f t="shared" si="253"/>
        <v>630.4252330955461</v>
      </c>
      <c r="AH514" s="1">
        <f t="shared" si="254"/>
        <v>42279</v>
      </c>
      <c r="AI514">
        <f t="shared" si="255"/>
        <v>0.72586348972387493</v>
      </c>
      <c r="AJ514">
        <f t="shared" ca="1" si="256"/>
        <v>0.66041977565732846</v>
      </c>
      <c r="AK514">
        <f t="shared" ca="1" si="257"/>
        <v>0.70118530276297764</v>
      </c>
      <c r="AL514">
        <f t="shared" ca="1" si="258"/>
        <v>0.73672940498328554</v>
      </c>
      <c r="AM514">
        <f t="shared" ca="1" si="259"/>
        <v>0.82030280757308804</v>
      </c>
      <c r="AN514">
        <f t="shared" ca="1" si="260"/>
        <v>0.86363019514693318</v>
      </c>
    </row>
    <row r="515" spans="2:40" x14ac:dyDescent="0.25">
      <c r="B515" s="1">
        <v>42286</v>
      </c>
      <c r="C515">
        <v>6.0170000000000003</v>
      </c>
      <c r="D515">
        <v>3.6240000000000001</v>
      </c>
      <c r="E515" t="s">
        <v>33</v>
      </c>
      <c r="G515">
        <v>11166.37</v>
      </c>
      <c r="I515" s="14">
        <f t="shared" si="245"/>
        <v>4.675237936216492E-3</v>
      </c>
      <c r="J515" s="15">
        <f t="shared" si="246"/>
        <v>8.9086859688196629E-3</v>
      </c>
      <c r="K515" s="15"/>
      <c r="L515" s="15"/>
      <c r="M515" s="16">
        <f t="shared" si="247"/>
        <v>9.5870258599538793E-2</v>
      </c>
      <c r="O515" s="13">
        <f t="shared" si="126"/>
        <v>6.7919619525180774E-3</v>
      </c>
      <c r="Q515" s="5">
        <f t="shared" si="248"/>
        <v>550.18736274744151</v>
      </c>
      <c r="R515" s="6">
        <f t="shared" si="249"/>
        <v>690.86426322009061</v>
      </c>
      <c r="T515" s="11">
        <f t="shared" si="250"/>
        <v>0.7963754850815995</v>
      </c>
      <c r="V515" s="9">
        <v>42286</v>
      </c>
      <c r="W515">
        <v>24248</v>
      </c>
      <c r="X515">
        <v>25521.582399999999</v>
      </c>
      <c r="Y515" t="s">
        <v>33</v>
      </c>
      <c r="AC515" s="24">
        <f t="shared" si="251"/>
        <v>6.8416228401540205E-3</v>
      </c>
      <c r="AE515" s="5">
        <f t="shared" si="252"/>
        <v>460.73340451307143</v>
      </c>
      <c r="AF515" s="6">
        <f t="shared" si="253"/>
        <v>690.86426322009061</v>
      </c>
      <c r="AH515" s="1">
        <f t="shared" si="254"/>
        <v>42286</v>
      </c>
      <c r="AI515">
        <f t="shared" si="255"/>
        <v>0.66689424977000766</v>
      </c>
      <c r="AJ515">
        <f t="shared" ca="1" si="256"/>
        <v>0.66704192261054718</v>
      </c>
      <c r="AK515">
        <f t="shared" ca="1" si="257"/>
        <v>0.7024397596399059</v>
      </c>
      <c r="AL515">
        <f t="shared" ca="1" si="258"/>
        <v>0.73672940498328554</v>
      </c>
      <c r="AM515">
        <f t="shared" ca="1" si="259"/>
        <v>0.82030280757308804</v>
      </c>
      <c r="AN515">
        <f t="shared" ca="1" si="260"/>
        <v>0.86363019514693318</v>
      </c>
    </row>
    <row r="516" spans="2:40" x14ac:dyDescent="0.25">
      <c r="B516" s="1">
        <v>42293</v>
      </c>
      <c r="C516">
        <v>5.5369999999999999</v>
      </c>
      <c r="D516">
        <v>3.8610000000000002</v>
      </c>
      <c r="E516" t="s">
        <v>33</v>
      </c>
      <c r="G516">
        <v>11177.05</v>
      </c>
      <c r="I516" s="14">
        <f t="shared" si="245"/>
        <v>-7.9773973741067095E-2</v>
      </c>
      <c r="J516" s="15">
        <f t="shared" si="246"/>
        <v>6.5397350993377401E-2</v>
      </c>
      <c r="K516" s="15"/>
      <c r="L516" s="15"/>
      <c r="M516" s="16">
        <f t="shared" si="247"/>
        <v>9.5644332043431923E-4</v>
      </c>
      <c r="O516" s="13">
        <f t="shared" si="126"/>
        <v>-7.1883113738448468E-3</v>
      </c>
      <c r="Q516" s="5">
        <f t="shared" si="248"/>
        <v>546.23244467005838</v>
      </c>
      <c r="R516" s="6">
        <f t="shared" si="249"/>
        <v>691.52503572997421</v>
      </c>
      <c r="T516" s="11">
        <f t="shared" si="250"/>
        <v>0.78989539994521696</v>
      </c>
      <c r="V516" s="9">
        <v>42293</v>
      </c>
      <c r="W516">
        <v>22316</v>
      </c>
      <c r="X516">
        <v>27192.907299999999</v>
      </c>
      <c r="Y516" t="s">
        <v>33</v>
      </c>
      <c r="AC516" s="24">
        <f t="shared" si="251"/>
        <v>-5.3308752125312562E-3</v>
      </c>
      <c r="AE516" s="5">
        <f t="shared" si="252"/>
        <v>458.27729222736752</v>
      </c>
      <c r="AF516" s="6">
        <f t="shared" si="253"/>
        <v>691.52503572997421</v>
      </c>
      <c r="AH516" s="1">
        <f t="shared" si="254"/>
        <v>42293</v>
      </c>
      <c r="AI516">
        <f t="shared" si="255"/>
        <v>0.66270527970633741</v>
      </c>
      <c r="AJ516">
        <f t="shared" ca="1" si="256"/>
        <v>0.66689905546078299</v>
      </c>
      <c r="AK516">
        <f t="shared" ca="1" si="257"/>
        <v>0.70118530276297764</v>
      </c>
      <c r="AL516">
        <f t="shared" ca="1" si="258"/>
        <v>0.73672940498328554</v>
      </c>
      <c r="AM516">
        <f t="shared" ca="1" si="259"/>
        <v>0.82030280757308804</v>
      </c>
      <c r="AN516">
        <f t="shared" ca="1" si="260"/>
        <v>0.86363019514693318</v>
      </c>
    </row>
    <row r="517" spans="2:40" x14ac:dyDescent="0.25">
      <c r="B517" s="1">
        <v>42300</v>
      </c>
      <c r="C517">
        <v>5.6619999999999999</v>
      </c>
      <c r="D517">
        <v>4.0090000000000003</v>
      </c>
      <c r="E517" t="s">
        <v>33</v>
      </c>
      <c r="G517">
        <v>11329.28</v>
      </c>
      <c r="I517" s="14">
        <f t="shared" si="245"/>
        <v>2.2575401842152898E-2</v>
      </c>
      <c r="J517" s="15">
        <f t="shared" si="246"/>
        <v>3.8332038332038465E-2</v>
      </c>
      <c r="K517" s="15"/>
      <c r="L517" s="15"/>
      <c r="M517" s="16">
        <f t="shared" si="247"/>
        <v>1.3619872864485849E-2</v>
      </c>
      <c r="O517" s="13">
        <f t="shared" si="126"/>
        <v>3.0453720087095681E-2</v>
      </c>
      <c r="Q517" s="5">
        <f t="shared" si="248"/>
        <v>562.86725464253038</v>
      </c>
      <c r="R517" s="6">
        <f t="shared" si="249"/>
        <v>700.94351879922544</v>
      </c>
      <c r="T517" s="11">
        <f t="shared" si="250"/>
        <v>0.80301370873186584</v>
      </c>
      <c r="V517" s="9">
        <v>42300</v>
      </c>
      <c r="W517">
        <v>22820</v>
      </c>
      <c r="X517">
        <v>28231.839</v>
      </c>
      <c r="Y517" t="s">
        <v>33</v>
      </c>
      <c r="AC517" s="24">
        <f t="shared" si="251"/>
        <v>3.1229778979441399E-2</v>
      </c>
      <c r="AE517" s="5">
        <f t="shared" si="252"/>
        <v>472.58919077492504</v>
      </c>
      <c r="AF517" s="6">
        <f t="shared" si="253"/>
        <v>700.94351879922544</v>
      </c>
      <c r="AH517" s="1">
        <f t="shared" si="254"/>
        <v>42300</v>
      </c>
      <c r="AI517">
        <f t="shared" si="255"/>
        <v>0.6742186468668826</v>
      </c>
      <c r="AJ517">
        <f t="shared" ca="1" si="256"/>
        <v>0.66312417671270441</v>
      </c>
      <c r="AK517">
        <f t="shared" ca="1" si="257"/>
        <v>0.69767596879731952</v>
      </c>
      <c r="AL517">
        <f t="shared" ca="1" si="258"/>
        <v>0.73672940498328554</v>
      </c>
      <c r="AM517">
        <f t="shared" ca="1" si="259"/>
        <v>0.82030280757308804</v>
      </c>
      <c r="AN517">
        <f t="shared" ca="1" si="260"/>
        <v>0.86363019514693318</v>
      </c>
    </row>
    <row r="518" spans="2:40" x14ac:dyDescent="0.25">
      <c r="B518" s="1">
        <v>42307</v>
      </c>
      <c r="C518">
        <v>6.9390000000000001</v>
      </c>
      <c r="D518">
        <v>5.0609999999999999</v>
      </c>
      <c r="E518" t="s">
        <v>33</v>
      </c>
      <c r="G518">
        <v>12461.25</v>
      </c>
      <c r="I518" s="14">
        <f t="shared" si="245"/>
        <v>0.22553867891204527</v>
      </c>
      <c r="J518" s="15">
        <f t="shared" si="246"/>
        <v>0.26240957844849078</v>
      </c>
      <c r="K518" s="15"/>
      <c r="L518" s="15"/>
      <c r="M518" s="16">
        <f t="shared" si="247"/>
        <v>9.9915440345723638E-2</v>
      </c>
      <c r="O518" s="13">
        <f t="shared" si="126"/>
        <v>0.24397412868026802</v>
      </c>
      <c r="Q518" s="5">
        <f t="shared" si="248"/>
        <v>700.19230265659621</v>
      </c>
      <c r="R518" s="6">
        <f t="shared" si="249"/>
        <v>770.97859913753109</v>
      </c>
      <c r="T518" s="11">
        <f t="shared" si="250"/>
        <v>0.90818643142608468</v>
      </c>
      <c r="V518" s="9">
        <v>42307</v>
      </c>
      <c r="W518">
        <v>27860</v>
      </c>
      <c r="X518">
        <v>35639.873500000002</v>
      </c>
      <c r="Y518" t="s">
        <v>33</v>
      </c>
      <c r="AC518" s="24">
        <f t="shared" si="251"/>
        <v>0.24592841060218293</v>
      </c>
      <c r="AE518" s="5">
        <f t="shared" si="252"/>
        <v>588.81229932997417</v>
      </c>
      <c r="AF518" s="6">
        <f t="shared" si="253"/>
        <v>770.97859913753109</v>
      </c>
      <c r="AH518" s="1">
        <f t="shared" si="254"/>
        <v>42307</v>
      </c>
      <c r="AI518">
        <f t="shared" si="255"/>
        <v>0.76372067913254604</v>
      </c>
      <c r="AJ518">
        <f t="shared" ca="1" si="256"/>
        <v>0.66312417671270441</v>
      </c>
      <c r="AK518">
        <f t="shared" ca="1" si="257"/>
        <v>0.68885184233987984</v>
      </c>
      <c r="AL518">
        <f t="shared" ca="1" si="258"/>
        <v>0.73184877789444291</v>
      </c>
      <c r="AM518">
        <f t="shared" ca="1" si="259"/>
        <v>0.82030280757308804</v>
      </c>
      <c r="AN518">
        <f t="shared" ca="1" si="260"/>
        <v>0.86363019514693318</v>
      </c>
    </row>
    <row r="519" spans="2:40" x14ac:dyDescent="0.25">
      <c r="B519" s="1">
        <v>42314</v>
      </c>
      <c r="C519">
        <v>7.5659999999999998</v>
      </c>
      <c r="D519">
        <v>5.3490000000000002</v>
      </c>
      <c r="E519" t="s">
        <v>33</v>
      </c>
      <c r="G519">
        <v>12899.46</v>
      </c>
      <c r="I519" s="14">
        <f t="shared" si="245"/>
        <v>9.0358841331603879E-2</v>
      </c>
      <c r="J519" s="15">
        <f t="shared" si="246"/>
        <v>5.6905749851807963E-2</v>
      </c>
      <c r="K519" s="15"/>
      <c r="L519" s="15"/>
      <c r="M519" s="16">
        <f t="shared" si="247"/>
        <v>3.5165814023472741E-2</v>
      </c>
      <c r="O519" s="13">
        <f t="shared" si="126"/>
        <v>7.3632295591705921E-2</v>
      </c>
      <c r="Q519" s="5">
        <f t="shared" si="248"/>
        <v>751.74906925684388</v>
      </c>
      <c r="R519" s="6">
        <f t="shared" si="249"/>
        <v>798.09068917087905</v>
      </c>
      <c r="T519" s="11">
        <f t="shared" si="250"/>
        <v>0.94193439349332775</v>
      </c>
      <c r="V519" s="9">
        <v>42314</v>
      </c>
      <c r="W519">
        <v>30380</v>
      </c>
      <c r="X519">
        <v>37672.565900000001</v>
      </c>
      <c r="Y519" t="s">
        <v>33</v>
      </c>
      <c r="AC519" s="24">
        <f t="shared" si="251"/>
        <v>7.1582993714775889E-2</v>
      </c>
      <c r="AE519" s="5">
        <f t="shared" si="252"/>
        <v>630.96124645209443</v>
      </c>
      <c r="AF519" s="6">
        <f t="shared" si="253"/>
        <v>798.09068917087905</v>
      </c>
      <c r="AH519" s="1">
        <f t="shared" si="254"/>
        <v>42314</v>
      </c>
      <c r="AI519">
        <f t="shared" si="255"/>
        <v>0.79058840682327447</v>
      </c>
      <c r="AJ519">
        <f t="shared" ca="1" si="256"/>
        <v>0.66312417671270441</v>
      </c>
      <c r="AK519">
        <f t="shared" ca="1" si="257"/>
        <v>0.68885184233987984</v>
      </c>
      <c r="AL519">
        <f t="shared" ca="1" si="258"/>
        <v>0.73672940498328554</v>
      </c>
      <c r="AM519">
        <f t="shared" ca="1" si="259"/>
        <v>0.82030280757308804</v>
      </c>
      <c r="AN519">
        <f t="shared" ca="1" si="260"/>
        <v>0.86363019514693318</v>
      </c>
    </row>
    <row r="520" spans="2:40" x14ac:dyDescent="0.25">
      <c r="B520" s="1">
        <v>42321</v>
      </c>
      <c r="C520">
        <v>8.1940000000000008</v>
      </c>
      <c r="D520">
        <v>5.7859999999999996</v>
      </c>
      <c r="E520" t="s">
        <v>33</v>
      </c>
      <c r="G520">
        <v>13182.72</v>
      </c>
      <c r="I520" s="14">
        <f t="shared" si="245"/>
        <v>8.3002907745175936E-2</v>
      </c>
      <c r="J520" s="15">
        <f t="shared" si="246"/>
        <v>8.1697513553935286E-2</v>
      </c>
      <c r="K520" s="15"/>
      <c r="L520" s="15"/>
      <c r="M520" s="16">
        <f t="shared" si="247"/>
        <v>2.1959058751296556E-2</v>
      </c>
      <c r="O520" s="13">
        <f t="shared" ref="O520:O583" si="261">+AVERAGE(I520:J520)</f>
        <v>8.2350210649555611E-2</v>
      </c>
      <c r="Q520" s="5">
        <f t="shared" si="248"/>
        <v>813.65576346575222</v>
      </c>
      <c r="R520" s="6">
        <f t="shared" si="249"/>
        <v>815.6160095032451</v>
      </c>
      <c r="T520" s="11">
        <f t="shared" si="250"/>
        <v>0.99759660671853811</v>
      </c>
      <c r="V520" s="9">
        <v>42321</v>
      </c>
      <c r="W520">
        <v>32900</v>
      </c>
      <c r="X520">
        <v>40744.19</v>
      </c>
      <c r="Y520" t="s">
        <v>33</v>
      </c>
      <c r="AC520" s="24">
        <f t="shared" si="251"/>
        <v>8.2280267121055239E-2</v>
      </c>
      <c r="AE520" s="5">
        <f t="shared" si="252"/>
        <v>682.87690635320666</v>
      </c>
      <c r="AF520" s="6">
        <f t="shared" si="253"/>
        <v>815.6160095032451</v>
      </c>
      <c r="AH520" s="1">
        <f t="shared" si="254"/>
        <v>42321</v>
      </c>
      <c r="AI520">
        <f t="shared" si="255"/>
        <v>0.83725294549958162</v>
      </c>
      <c r="AJ520">
        <f t="shared" ca="1" si="256"/>
        <v>0.66312417671270441</v>
      </c>
      <c r="AK520">
        <f t="shared" ca="1" si="257"/>
        <v>0.68885184233987984</v>
      </c>
      <c r="AL520">
        <f t="shared" ca="1" si="258"/>
        <v>0.74271961785573026</v>
      </c>
      <c r="AM520">
        <f t="shared" ca="1" si="259"/>
        <v>0.82030280757308804</v>
      </c>
      <c r="AN520">
        <f t="shared" ca="1" si="260"/>
        <v>0.86363019514693318</v>
      </c>
    </row>
    <row r="521" spans="2:40" x14ac:dyDescent="0.25">
      <c r="B521" s="1">
        <v>42328</v>
      </c>
      <c r="C521">
        <v>8.5079999999999991</v>
      </c>
      <c r="D521">
        <v>5.7729999999999997</v>
      </c>
      <c r="E521" t="s">
        <v>33</v>
      </c>
      <c r="G521">
        <v>14173.87</v>
      </c>
      <c r="I521" s="14">
        <f t="shared" si="245"/>
        <v>3.8320722479863178E-2</v>
      </c>
      <c r="J521" s="15">
        <f t="shared" si="246"/>
        <v>-2.2468026270306973E-3</v>
      </c>
      <c r="K521" s="15"/>
      <c r="L521" s="15"/>
      <c r="M521" s="16">
        <f t="shared" si="247"/>
        <v>7.5185545926789166E-2</v>
      </c>
      <c r="O521" s="13">
        <f t="shared" si="261"/>
        <v>1.8036959926416241E-2</v>
      </c>
      <c r="Q521" s="5">
        <f t="shared" si="248"/>
        <v>828.33163986528166</v>
      </c>
      <c r="R521" s="6">
        <f t="shared" si="249"/>
        <v>876.93854444437579</v>
      </c>
      <c r="T521" s="11">
        <f t="shared" si="250"/>
        <v>0.94457205138600531</v>
      </c>
      <c r="V521" s="9">
        <v>42328</v>
      </c>
      <c r="W521">
        <v>34160</v>
      </c>
      <c r="X521">
        <v>40653.848100000003</v>
      </c>
      <c r="Y521" t="s">
        <v>33</v>
      </c>
      <c r="AC521" s="24">
        <f t="shared" si="251"/>
        <v>1.5876440713914575E-2</v>
      </c>
      <c r="AE521" s="5">
        <f t="shared" si="252"/>
        <v>693.71856107182464</v>
      </c>
      <c r="AF521" s="6">
        <f t="shared" si="253"/>
        <v>876.93854444437579</v>
      </c>
      <c r="AH521" s="1">
        <f t="shared" si="254"/>
        <v>42328</v>
      </c>
      <c r="AI521">
        <f t="shared" si="255"/>
        <v>0.79106861645745252</v>
      </c>
      <c r="AJ521">
        <f t="shared" ca="1" si="256"/>
        <v>0.66312417671270441</v>
      </c>
      <c r="AK521">
        <f t="shared" ca="1" si="257"/>
        <v>0.68885184233987984</v>
      </c>
      <c r="AL521">
        <f t="shared" ca="1" si="258"/>
        <v>0.74674440290651667</v>
      </c>
      <c r="AM521">
        <f t="shared" ca="1" si="259"/>
        <v>0.83054637249869212</v>
      </c>
      <c r="AN521">
        <f t="shared" ca="1" si="260"/>
        <v>0.86363019514693318</v>
      </c>
    </row>
    <row r="522" spans="2:40" x14ac:dyDescent="0.25">
      <c r="B522" s="1">
        <v>42335</v>
      </c>
      <c r="C522">
        <v>8.577</v>
      </c>
      <c r="D522">
        <v>6.0549999999999997</v>
      </c>
      <c r="E522" t="s">
        <v>33</v>
      </c>
      <c r="G522">
        <v>13165.4</v>
      </c>
      <c r="I522" s="14">
        <f t="shared" si="245"/>
        <v>8.1100141043723983E-3</v>
      </c>
      <c r="J522" s="15">
        <f t="shared" si="246"/>
        <v>4.884808591720069E-2</v>
      </c>
      <c r="K522" s="15"/>
      <c r="L522" s="15"/>
      <c r="M522" s="16">
        <f t="shared" si="247"/>
        <v>-7.1149939995216682E-2</v>
      </c>
      <c r="O522" s="13">
        <f t="shared" si="261"/>
        <v>2.8479050010786544E-2</v>
      </c>
      <c r="Q522" s="5">
        <f t="shared" si="248"/>
        <v>851.92173806252185</v>
      </c>
      <c r="R522" s="6">
        <f t="shared" si="249"/>
        <v>814.54441962766577</v>
      </c>
      <c r="T522" s="11">
        <f t="shared" si="250"/>
        <v>1.0458873912019944</v>
      </c>
      <c r="V522" s="9">
        <v>42335</v>
      </c>
      <c r="W522">
        <v>34440</v>
      </c>
      <c r="X522">
        <v>42641.369599999998</v>
      </c>
      <c r="Y522" t="s">
        <v>33</v>
      </c>
      <c r="AC522" s="24">
        <f t="shared" si="251"/>
        <v>3.0247083984161312E-2</v>
      </c>
      <c r="AE522" s="5">
        <f t="shared" si="252"/>
        <v>714.70152464993566</v>
      </c>
      <c r="AF522" s="6">
        <f t="shared" si="253"/>
        <v>814.54441962766577</v>
      </c>
      <c r="AH522" s="1">
        <f t="shared" si="254"/>
        <v>42335</v>
      </c>
      <c r="AI522">
        <f t="shared" si="255"/>
        <v>0.87742486158904742</v>
      </c>
      <c r="AJ522">
        <f t="shared" ca="1" si="256"/>
        <v>0.66689905546078299</v>
      </c>
      <c r="AK522">
        <f t="shared" ca="1" si="257"/>
        <v>0.69767596879731952</v>
      </c>
      <c r="AL522">
        <f t="shared" ca="1" si="258"/>
        <v>0.7487412270945486</v>
      </c>
      <c r="AM522">
        <f t="shared" ca="1" si="259"/>
        <v>0.83054637249869212</v>
      </c>
      <c r="AN522">
        <f t="shared" ca="1" si="260"/>
        <v>0.86363019514693318</v>
      </c>
    </row>
    <row r="523" spans="2:40" x14ac:dyDescent="0.25">
      <c r="B523" s="1">
        <v>42342</v>
      </c>
      <c r="C523">
        <v>9.0310000000000006</v>
      </c>
      <c r="D523">
        <v>6.3179999999999996</v>
      </c>
      <c r="E523" t="s">
        <v>33</v>
      </c>
      <c r="G523">
        <v>13070.63</v>
      </c>
      <c r="I523" s="14">
        <f t="shared" si="245"/>
        <v>5.2932260697213573E-2</v>
      </c>
      <c r="J523" s="15">
        <f t="shared" si="246"/>
        <v>4.3435177539223657E-2</v>
      </c>
      <c r="K523" s="15"/>
      <c r="L523" s="15"/>
      <c r="M523" s="16">
        <f t="shared" si="247"/>
        <v>-7.1984140246403872E-3</v>
      </c>
      <c r="O523" s="13">
        <f t="shared" si="261"/>
        <v>4.8183719118218615E-2</v>
      </c>
      <c r="Q523" s="5">
        <f t="shared" si="248"/>
        <v>892.97049580003102</v>
      </c>
      <c r="R523" s="6">
        <f t="shared" si="249"/>
        <v>808.68099165372541</v>
      </c>
      <c r="T523" s="11">
        <f t="shared" si="250"/>
        <v>1.1042308462993997</v>
      </c>
      <c r="V523" s="9">
        <v>42342</v>
      </c>
      <c r="W523">
        <v>36260</v>
      </c>
      <c r="X523">
        <v>44493.378199999999</v>
      </c>
      <c r="Y523" t="s">
        <v>33</v>
      </c>
      <c r="AC523" s="24">
        <f t="shared" si="251"/>
        <v>4.7678479723117034E-2</v>
      </c>
      <c r="AE523" s="5">
        <f t="shared" si="252"/>
        <v>748.77740680103852</v>
      </c>
      <c r="AF523" s="6">
        <f t="shared" si="253"/>
        <v>808.68099165372541</v>
      </c>
      <c r="AH523" s="1">
        <f t="shared" si="254"/>
        <v>42342</v>
      </c>
      <c r="AI523">
        <f t="shared" si="255"/>
        <v>0.92592433175635047</v>
      </c>
      <c r="AJ523">
        <f t="shared" ca="1" si="256"/>
        <v>0.66689905546078299</v>
      </c>
      <c r="AK523">
        <f t="shared" ca="1" si="257"/>
        <v>0.69767596879731952</v>
      </c>
      <c r="AL523">
        <f t="shared" ca="1" si="258"/>
        <v>0.75714757101733365</v>
      </c>
      <c r="AM523">
        <f t="shared" ca="1" si="259"/>
        <v>0.83880623322236059</v>
      </c>
      <c r="AN523">
        <f t="shared" ca="1" si="260"/>
        <v>0.86539517297502089</v>
      </c>
    </row>
    <row r="524" spans="2:40" x14ac:dyDescent="0.25">
      <c r="B524" s="1">
        <v>42349</v>
      </c>
      <c r="C524">
        <v>8.9960000000000004</v>
      </c>
      <c r="D524">
        <v>6.51</v>
      </c>
      <c r="E524" t="s">
        <v>33</v>
      </c>
      <c r="G524">
        <v>12779.23</v>
      </c>
      <c r="I524" s="14">
        <f t="shared" si="245"/>
        <v>-3.8755398073303526E-3</v>
      </c>
      <c r="J524" s="15">
        <f t="shared" si="246"/>
        <v>3.0389363722697071E-2</v>
      </c>
      <c r="K524" s="15"/>
      <c r="L524" s="15"/>
      <c r="M524" s="16">
        <f t="shared" si="247"/>
        <v>-2.2294258195664551E-2</v>
      </c>
      <c r="O524" s="13">
        <f t="shared" si="261"/>
        <v>1.3256911957683359E-2</v>
      </c>
      <c r="Q524" s="5">
        <f t="shared" si="248"/>
        <v>904.80852704366089</v>
      </c>
      <c r="R524" s="6">
        <f t="shared" si="249"/>
        <v>790.65204882787123</v>
      </c>
      <c r="T524" s="11">
        <f t="shared" si="250"/>
        <v>1.1443827008164018</v>
      </c>
      <c r="V524" s="9">
        <v>42349</v>
      </c>
      <c r="W524">
        <v>36120</v>
      </c>
      <c r="X524">
        <v>45848.506500000003</v>
      </c>
      <c r="Y524" t="s">
        <v>33</v>
      </c>
      <c r="AC524" s="24">
        <f t="shared" si="251"/>
        <v>1.5003686619236963E-2</v>
      </c>
      <c r="AE524" s="5">
        <f t="shared" si="252"/>
        <v>760.01182836024623</v>
      </c>
      <c r="AF524" s="6">
        <f t="shared" si="253"/>
        <v>790.65204882787123</v>
      </c>
      <c r="AH524" s="1">
        <f t="shared" si="254"/>
        <v>42349</v>
      </c>
      <c r="AI524">
        <f t="shared" si="255"/>
        <v>0.96124689676950992</v>
      </c>
      <c r="AJ524">
        <f t="shared" ca="1" si="256"/>
        <v>0.66689905546078299</v>
      </c>
      <c r="AK524">
        <f t="shared" ca="1" si="257"/>
        <v>0.69767596879731952</v>
      </c>
      <c r="AL524">
        <f t="shared" ca="1" si="258"/>
        <v>0.75714757101733365</v>
      </c>
      <c r="AM524">
        <f t="shared" ca="1" si="259"/>
        <v>0.84377890803636424</v>
      </c>
      <c r="AN524">
        <f t="shared" ca="1" si="260"/>
        <v>0.86556077622367056</v>
      </c>
    </row>
    <row r="525" spans="2:40" x14ac:dyDescent="0.25">
      <c r="B525" s="1">
        <v>42356</v>
      </c>
      <c r="C525">
        <v>7.9850000000000003</v>
      </c>
      <c r="D525">
        <v>5.42</v>
      </c>
      <c r="E525" t="s">
        <v>33</v>
      </c>
      <c r="G525">
        <v>11404.56</v>
      </c>
      <c r="I525" s="14">
        <f t="shared" si="245"/>
        <v>-0.11238328145842602</v>
      </c>
      <c r="J525" s="15">
        <f t="shared" si="246"/>
        <v>-0.16743471582181257</v>
      </c>
      <c r="K525" s="15"/>
      <c r="L525" s="15"/>
      <c r="M525" s="16">
        <f t="shared" si="247"/>
        <v>-0.10757064392768578</v>
      </c>
      <c r="O525" s="13">
        <f t="shared" si="261"/>
        <v>-0.1399089986401193</v>
      </c>
      <c r="Q525" s="5">
        <f t="shared" si="248"/>
        <v>778.217672063941</v>
      </c>
      <c r="R525" s="6">
        <f t="shared" si="249"/>
        <v>705.60109881271308</v>
      </c>
      <c r="T525" s="11">
        <f t="shared" si="250"/>
        <v>1.1029144843643484</v>
      </c>
      <c r="V525" s="9">
        <v>42356</v>
      </c>
      <c r="W525">
        <v>32060</v>
      </c>
      <c r="X525">
        <v>38169.446300000003</v>
      </c>
      <c r="Y525" t="s">
        <v>33</v>
      </c>
      <c r="AC525" s="24">
        <f t="shared" si="251"/>
        <v>-0.14317591333642726</v>
      </c>
      <c r="AE525" s="5">
        <f t="shared" si="252"/>
        <v>651.19644068828006</v>
      </c>
      <c r="AF525" s="6">
        <f t="shared" si="253"/>
        <v>705.60109881271308</v>
      </c>
      <c r="AH525" s="1">
        <f t="shared" si="254"/>
        <v>42356</v>
      </c>
      <c r="AI525">
        <f t="shared" si="255"/>
        <v>0.92289601275284627</v>
      </c>
      <c r="AJ525">
        <f t="shared" ca="1" si="256"/>
        <v>0.66689905546078299</v>
      </c>
      <c r="AK525">
        <f t="shared" ca="1" si="257"/>
        <v>0.69767596879731952</v>
      </c>
      <c r="AL525">
        <f t="shared" ca="1" si="258"/>
        <v>0.75714757101733365</v>
      </c>
      <c r="AM525">
        <f t="shared" ca="1" si="259"/>
        <v>0.84508143727751528</v>
      </c>
      <c r="AN525">
        <f t="shared" ca="1" si="260"/>
        <v>0.87217124443950678</v>
      </c>
    </row>
    <row r="526" spans="2:40" x14ac:dyDescent="0.25">
      <c r="B526" s="1">
        <v>42363</v>
      </c>
      <c r="C526">
        <v>8.2629999999999999</v>
      </c>
      <c r="D526">
        <v>5.625</v>
      </c>
      <c r="E526" t="s">
        <v>33</v>
      </c>
      <c r="G526">
        <v>12040.85</v>
      </c>
      <c r="I526" s="14">
        <f t="shared" si="245"/>
        <v>3.4815278647464032E-2</v>
      </c>
      <c r="J526" s="15">
        <f t="shared" si="246"/>
        <v>3.7822878228782386E-2</v>
      </c>
      <c r="K526" s="15"/>
      <c r="L526" s="15"/>
      <c r="M526" s="16">
        <f t="shared" si="247"/>
        <v>5.5792595242604826E-2</v>
      </c>
      <c r="O526" s="13">
        <f t="shared" si="261"/>
        <v>3.6319078438123209E-2</v>
      </c>
      <c r="Q526" s="5">
        <f t="shared" si="248"/>
        <v>806.48182073756504</v>
      </c>
      <c r="R526" s="6">
        <f t="shared" si="249"/>
        <v>744.96841532150802</v>
      </c>
      <c r="T526" s="11">
        <f t="shared" si="250"/>
        <v>1.082571830094984</v>
      </c>
      <c r="V526" s="9">
        <v>42363</v>
      </c>
      <c r="W526">
        <v>33180</v>
      </c>
      <c r="X526">
        <v>39614.916499999999</v>
      </c>
      <c r="Y526" t="s">
        <v>33</v>
      </c>
      <c r="AC526" s="24">
        <f t="shared" si="251"/>
        <v>3.6449897981078706E-2</v>
      </c>
      <c r="AE526" s="5">
        <f t="shared" si="252"/>
        <v>674.93248451700947</v>
      </c>
      <c r="AF526" s="6">
        <f t="shared" si="253"/>
        <v>744.96841532150802</v>
      </c>
      <c r="AH526" s="1">
        <f t="shared" si="254"/>
        <v>42363</v>
      </c>
      <c r="AI526">
        <f t="shared" si="255"/>
        <v>0.90598805350120382</v>
      </c>
      <c r="AJ526">
        <f t="shared" ca="1" si="256"/>
        <v>0.66689905546078299</v>
      </c>
      <c r="AK526">
        <f t="shared" ca="1" si="257"/>
        <v>0.69767596879731952</v>
      </c>
      <c r="AL526">
        <f t="shared" ca="1" si="258"/>
        <v>0.75714757101733365</v>
      </c>
      <c r="AM526">
        <f t="shared" ca="1" si="259"/>
        <v>0.84628092107215591</v>
      </c>
      <c r="AN526">
        <f t="shared" ca="1" si="260"/>
        <v>0.87528189017990088</v>
      </c>
    </row>
    <row r="527" spans="2:40" x14ac:dyDescent="0.25">
      <c r="B527" s="1">
        <v>42370</v>
      </c>
      <c r="C527">
        <v>8.2040000000000006</v>
      </c>
      <c r="D527">
        <v>5.4969999999999999</v>
      </c>
      <c r="E527" t="s">
        <v>33</v>
      </c>
      <c r="G527">
        <v>11675.18</v>
      </c>
      <c r="I527" s="14">
        <f t="shared" si="245"/>
        <v>-7.1402638266971907E-3</v>
      </c>
      <c r="J527" s="15">
        <f t="shared" si="246"/>
        <v>-2.2755555555555529E-2</v>
      </c>
      <c r="K527" s="15"/>
      <c r="L527" s="15"/>
      <c r="M527" s="16">
        <f t="shared" si="247"/>
        <v>-3.0369118459244948E-2</v>
      </c>
      <c r="O527" s="13">
        <f t="shared" si="261"/>
        <v>-1.494790969112636E-2</v>
      </c>
      <c r="Q527" s="5">
        <f t="shared" si="248"/>
        <v>794.42660331364482</v>
      </c>
      <c r="R527" s="6">
        <f t="shared" si="249"/>
        <v>722.34438126821317</v>
      </c>
      <c r="T527" s="11">
        <f t="shared" si="250"/>
        <v>1.0997892749146572</v>
      </c>
      <c r="V527" s="9">
        <v>42370</v>
      </c>
      <c r="W527">
        <v>32900</v>
      </c>
      <c r="X527">
        <v>38711.497600000002</v>
      </c>
      <c r="Y527" t="s">
        <v>33</v>
      </c>
      <c r="AC527" s="24">
        <f t="shared" si="251"/>
        <v>-1.5638089055494093E-2</v>
      </c>
      <c r="AE527" s="5">
        <f t="shared" si="252"/>
        <v>664.37783021768655</v>
      </c>
      <c r="AF527" s="6">
        <f t="shared" si="253"/>
        <v>722.34438126821317</v>
      </c>
      <c r="AH527" s="1">
        <f t="shared" si="254"/>
        <v>42370</v>
      </c>
      <c r="AI527">
        <f t="shared" si="255"/>
        <v>0.91975219500045768</v>
      </c>
      <c r="AJ527">
        <f t="shared" ca="1" si="256"/>
        <v>0.66689905546078299</v>
      </c>
      <c r="AK527">
        <f t="shared" ca="1" si="257"/>
        <v>0.69767596879731952</v>
      </c>
      <c r="AL527">
        <f t="shared" ca="1" si="258"/>
        <v>0.75714757101733365</v>
      </c>
      <c r="AM527">
        <f t="shared" ca="1" si="259"/>
        <v>0.84628092107215591</v>
      </c>
      <c r="AN527">
        <f t="shared" ca="1" si="260"/>
        <v>0.87723697734365413</v>
      </c>
    </row>
    <row r="528" spans="2:40" x14ac:dyDescent="0.25">
      <c r="B528" s="1">
        <v>42377</v>
      </c>
      <c r="C528">
        <v>7.3659999999999997</v>
      </c>
      <c r="D528">
        <v>4.9710000000000001</v>
      </c>
      <c r="E528" t="s">
        <v>33</v>
      </c>
      <c r="G528">
        <v>11305.52</v>
      </c>
      <c r="I528" s="14">
        <f t="shared" si="245"/>
        <v>-0.10214529497805958</v>
      </c>
      <c r="J528" s="15">
        <f t="shared" si="246"/>
        <v>-9.5688557394942642E-2</v>
      </c>
      <c r="K528" s="15"/>
      <c r="L528" s="15"/>
      <c r="M528" s="16">
        <f t="shared" si="247"/>
        <v>-3.166203861525041E-2</v>
      </c>
      <c r="O528" s="13">
        <f t="shared" si="261"/>
        <v>-9.8916926186501108E-2</v>
      </c>
      <c r="Q528" s="5">
        <f t="shared" si="248"/>
        <v>715.84436563307622</v>
      </c>
      <c r="R528" s="6">
        <f t="shared" si="249"/>
        <v>699.47348557498981</v>
      </c>
      <c r="T528" s="11">
        <f t="shared" si="250"/>
        <v>1.0234045755781993</v>
      </c>
      <c r="V528" s="9">
        <v>42377</v>
      </c>
      <c r="W528">
        <v>29540</v>
      </c>
      <c r="X528">
        <v>35007.480300000003</v>
      </c>
      <c r="Y528" t="s">
        <v>33</v>
      </c>
      <c r="AC528" s="24">
        <f t="shared" si="251"/>
        <v>-9.8654933935077266E-2</v>
      </c>
      <c r="AE528" s="5">
        <f t="shared" si="252"/>
        <v>598.83367926963069</v>
      </c>
      <c r="AF528" s="6">
        <f t="shared" si="253"/>
        <v>699.47348557498981</v>
      </c>
      <c r="AH528" s="1">
        <f t="shared" si="254"/>
        <v>42377</v>
      </c>
      <c r="AI528">
        <f t="shared" si="255"/>
        <v>0.85612062732781091</v>
      </c>
      <c r="AJ528">
        <f t="shared" ca="1" si="256"/>
        <v>0.66689905546078299</v>
      </c>
      <c r="AK528">
        <f t="shared" ca="1" si="257"/>
        <v>0.69767596879731952</v>
      </c>
      <c r="AL528">
        <f t="shared" ca="1" si="258"/>
        <v>0.75714757101733365</v>
      </c>
      <c r="AM528">
        <f t="shared" ca="1" si="259"/>
        <v>0.84628092107215591</v>
      </c>
      <c r="AN528">
        <f t="shared" ca="1" si="260"/>
        <v>0.90313173430998817</v>
      </c>
    </row>
    <row r="529" spans="2:40" x14ac:dyDescent="0.25">
      <c r="B529" s="1">
        <v>42384</v>
      </c>
      <c r="C529">
        <v>6.0250000000000004</v>
      </c>
      <c r="D529">
        <v>4.2329999999999997</v>
      </c>
      <c r="E529" t="s">
        <v>33</v>
      </c>
      <c r="G529">
        <v>10020.370000000001</v>
      </c>
      <c r="I529" s="14">
        <f t="shared" si="245"/>
        <v>-0.18205267445017637</v>
      </c>
      <c r="J529" s="15">
        <f t="shared" si="246"/>
        <v>-0.14846107423053723</v>
      </c>
      <c r="K529" s="15"/>
      <c r="L529" s="15"/>
      <c r="M529" s="16">
        <f t="shared" si="247"/>
        <v>-0.11367455897649992</v>
      </c>
      <c r="O529" s="13">
        <f t="shared" si="261"/>
        <v>-0.1652568743403568</v>
      </c>
      <c r="Q529" s="5">
        <f t="shared" si="248"/>
        <v>597.54616325439849</v>
      </c>
      <c r="R529" s="6">
        <f t="shared" si="249"/>
        <v>619.96114558649765</v>
      </c>
      <c r="T529" s="11">
        <f t="shared" si="250"/>
        <v>0.96384453688481708</v>
      </c>
      <c r="V529" s="9">
        <v>42384</v>
      </c>
      <c r="W529">
        <v>24164</v>
      </c>
      <c r="X529">
        <v>29812.822</v>
      </c>
      <c r="Y529" t="s">
        <v>33</v>
      </c>
      <c r="AC529" s="24">
        <f t="shared" si="251"/>
        <v>-0.16383418973986782</v>
      </c>
      <c r="AE529" s="5">
        <f t="shared" si="252"/>
        <v>500.72424863754685</v>
      </c>
      <c r="AF529" s="6">
        <f t="shared" si="253"/>
        <v>619.96114558649765</v>
      </c>
      <c r="AH529" s="1">
        <f t="shared" si="254"/>
        <v>42384</v>
      </c>
      <c r="AI529">
        <f t="shared" si="255"/>
        <v>0.80767037128407471</v>
      </c>
      <c r="AJ529">
        <f t="shared" ca="1" si="256"/>
        <v>0.66689905546078299</v>
      </c>
      <c r="AK529">
        <f t="shared" ca="1" si="257"/>
        <v>0.69767596879731952</v>
      </c>
      <c r="AL529">
        <f t="shared" ca="1" si="258"/>
        <v>0.75714757101733365</v>
      </c>
      <c r="AM529">
        <f t="shared" ca="1" si="259"/>
        <v>0.84628092107215591</v>
      </c>
      <c r="AN529">
        <f t="shared" ca="1" si="260"/>
        <v>0.90313173430998817</v>
      </c>
    </row>
    <row r="530" spans="2:40" x14ac:dyDescent="0.25">
      <c r="B530" s="1">
        <v>42391</v>
      </c>
      <c r="C530">
        <v>6.109</v>
      </c>
      <c r="D530">
        <v>4.49</v>
      </c>
      <c r="E530" t="s">
        <v>33</v>
      </c>
      <c r="G530">
        <v>10329.9</v>
      </c>
      <c r="I530" s="14">
        <f t="shared" si="245"/>
        <v>1.3941908713692941E-2</v>
      </c>
      <c r="J530" s="15">
        <f t="shared" si="246"/>
        <v>6.0713442003307527E-2</v>
      </c>
      <c r="K530" s="15"/>
      <c r="L530" s="15"/>
      <c r="M530" s="16">
        <f t="shared" si="247"/>
        <v>3.0890076913327347E-2</v>
      </c>
      <c r="O530" s="13">
        <f t="shared" si="261"/>
        <v>3.7327675358500234E-2</v>
      </c>
      <c r="Q530" s="5">
        <f t="shared" si="248"/>
        <v>619.851172448076</v>
      </c>
      <c r="R530" s="6">
        <f t="shared" si="249"/>
        <v>639.11179305693906</v>
      </c>
      <c r="T530" s="11">
        <f t="shared" si="250"/>
        <v>0.96986345609938207</v>
      </c>
      <c r="V530" s="9">
        <v>42391</v>
      </c>
      <c r="W530">
        <v>24500</v>
      </c>
      <c r="X530">
        <v>31619.6597</v>
      </c>
      <c r="Y530" t="s">
        <v>33</v>
      </c>
      <c r="AC530" s="24">
        <f t="shared" si="251"/>
        <v>3.9775059776761351E-2</v>
      </c>
      <c r="AE530" s="5">
        <f t="shared" si="252"/>
        <v>520.64058555877921</v>
      </c>
      <c r="AF530" s="6">
        <f t="shared" si="253"/>
        <v>639.11179305693906</v>
      </c>
      <c r="AH530" s="1">
        <f t="shared" si="254"/>
        <v>42391</v>
      </c>
      <c r="AI530">
        <f t="shared" si="255"/>
        <v>0.81463147952332471</v>
      </c>
      <c r="AJ530">
        <f t="shared" ca="1" si="256"/>
        <v>0.66689905546078299</v>
      </c>
      <c r="AK530">
        <f t="shared" ca="1" si="257"/>
        <v>0.69767596879731952</v>
      </c>
      <c r="AL530">
        <f t="shared" ca="1" si="258"/>
        <v>0.75714757101733365</v>
      </c>
      <c r="AM530">
        <f t="shared" ca="1" si="259"/>
        <v>0.84628092107215591</v>
      </c>
      <c r="AN530">
        <f t="shared" ca="1" si="260"/>
        <v>0.90313173430998817</v>
      </c>
    </row>
    <row r="531" spans="2:40" x14ac:dyDescent="0.25">
      <c r="B531" s="1">
        <v>42398</v>
      </c>
      <c r="C531">
        <v>6.6120000000000001</v>
      </c>
      <c r="D531">
        <v>5.0670000000000002</v>
      </c>
      <c r="E531" t="s">
        <v>33</v>
      </c>
      <c r="G531">
        <v>11306.02</v>
      </c>
      <c r="I531" s="14">
        <f t="shared" si="245"/>
        <v>8.2337534784743927E-2</v>
      </c>
      <c r="J531" s="15">
        <f t="shared" si="246"/>
        <v>0.1285077951002227</v>
      </c>
      <c r="K531" s="15"/>
      <c r="L531" s="15"/>
      <c r="M531" s="16">
        <f t="shared" si="247"/>
        <v>9.4494622406799733E-2</v>
      </c>
      <c r="O531" s="13">
        <f t="shared" si="261"/>
        <v>0.10542266494248331</v>
      </c>
      <c r="Q531" s="5">
        <f t="shared" si="248"/>
        <v>685.1975349152749</v>
      </c>
      <c r="R531" s="6">
        <f t="shared" si="249"/>
        <v>699.50442061758724</v>
      </c>
      <c r="T531" s="11">
        <f t="shared" si="250"/>
        <v>0.97954711181141518</v>
      </c>
      <c r="V531" s="9">
        <v>42398</v>
      </c>
      <c r="W531">
        <v>26516</v>
      </c>
      <c r="X531">
        <v>35685.044500000004</v>
      </c>
      <c r="Y531" t="s">
        <v>33</v>
      </c>
      <c r="AC531" s="24">
        <f t="shared" si="251"/>
        <v>0.10835137605249226</v>
      </c>
      <c r="AE531" s="5">
        <f t="shared" si="252"/>
        <v>577.05270943284836</v>
      </c>
      <c r="AF531" s="6">
        <f t="shared" si="253"/>
        <v>699.50442061758724</v>
      </c>
      <c r="AH531" s="1">
        <f t="shared" si="254"/>
        <v>42398</v>
      </c>
      <c r="AI531">
        <f t="shared" si="255"/>
        <v>0.82494505027341036</v>
      </c>
      <c r="AJ531">
        <f t="shared" ca="1" si="256"/>
        <v>0.66689905546078299</v>
      </c>
      <c r="AK531">
        <f t="shared" ca="1" si="257"/>
        <v>0.69767596879731952</v>
      </c>
      <c r="AL531">
        <f t="shared" ca="1" si="258"/>
        <v>0.75714757101733365</v>
      </c>
      <c r="AM531">
        <f t="shared" ca="1" si="259"/>
        <v>0.84628092107215591</v>
      </c>
      <c r="AN531">
        <f t="shared" ca="1" si="260"/>
        <v>0.90313173430998817</v>
      </c>
    </row>
    <row r="532" spans="2:40" x14ac:dyDescent="0.25">
      <c r="B532" s="1">
        <v>42405</v>
      </c>
      <c r="C532">
        <v>6.4930000000000003</v>
      </c>
      <c r="D532">
        <v>4.9710000000000001</v>
      </c>
      <c r="E532" t="s">
        <v>33</v>
      </c>
      <c r="G532">
        <v>11400.34</v>
      </c>
      <c r="I532" s="14">
        <f t="shared" si="245"/>
        <v>-1.7997580157289694E-2</v>
      </c>
      <c r="J532" s="15">
        <f t="shared" si="246"/>
        <v>-1.8946121965660145E-2</v>
      </c>
      <c r="K532" s="15"/>
      <c r="L532" s="15"/>
      <c r="M532" s="16">
        <f t="shared" si="247"/>
        <v>8.3424582655964308E-3</v>
      </c>
      <c r="O532" s="13">
        <f t="shared" si="261"/>
        <v>-1.847185106147492E-2</v>
      </c>
      <c r="Q532" s="5">
        <f t="shared" si="248"/>
        <v>672.54066810263009</v>
      </c>
      <c r="R532" s="6">
        <f t="shared" si="249"/>
        <v>705.34000705318965</v>
      </c>
      <c r="T532" s="11">
        <f t="shared" si="250"/>
        <v>0.95349854166419601</v>
      </c>
      <c r="V532" s="9">
        <v>42405</v>
      </c>
      <c r="W532">
        <v>26040</v>
      </c>
      <c r="X532">
        <v>35007.480300000003</v>
      </c>
      <c r="Y532" t="s">
        <v>33</v>
      </c>
      <c r="AC532" s="24">
        <f t="shared" si="251"/>
        <v>-1.8541763248006285E-2</v>
      </c>
      <c r="AE532" s="5">
        <f t="shared" si="252"/>
        <v>566.35313471292397</v>
      </c>
      <c r="AF532" s="6">
        <f t="shared" si="253"/>
        <v>705.34000705318965</v>
      </c>
      <c r="AH532" s="1">
        <f t="shared" si="254"/>
        <v>42405</v>
      </c>
      <c r="AI532">
        <f t="shared" si="255"/>
        <v>0.8029505331465131</v>
      </c>
      <c r="AJ532">
        <f t="shared" ca="1" si="256"/>
        <v>0.66689905546078299</v>
      </c>
      <c r="AK532">
        <f t="shared" ca="1" si="257"/>
        <v>0.69767596879731952</v>
      </c>
      <c r="AL532">
        <f t="shared" ca="1" si="258"/>
        <v>0.75714757101733365</v>
      </c>
      <c r="AM532">
        <f t="shared" ca="1" si="259"/>
        <v>0.84628092107215591</v>
      </c>
      <c r="AN532">
        <f t="shared" ca="1" si="260"/>
        <v>0.90313173430998817</v>
      </c>
    </row>
    <row r="533" spans="2:40" x14ac:dyDescent="0.25">
      <c r="B533" s="1">
        <v>42412</v>
      </c>
      <c r="C533">
        <v>6.0880000000000001</v>
      </c>
      <c r="D533">
        <v>4.6820000000000004</v>
      </c>
      <c r="E533" t="s">
        <v>33</v>
      </c>
      <c r="G533">
        <v>11276.39</v>
      </c>
      <c r="I533" s="14">
        <f t="shared" si="245"/>
        <v>-6.2374865239488764E-2</v>
      </c>
      <c r="J533" s="15">
        <f t="shared" si="246"/>
        <v>-5.8137195735264435E-2</v>
      </c>
      <c r="K533" s="15"/>
      <c r="L533" s="15"/>
      <c r="M533" s="16">
        <f t="shared" si="247"/>
        <v>-1.0872482750514556E-2</v>
      </c>
      <c r="O533" s="13">
        <f t="shared" si="261"/>
        <v>-6.02560304873766E-2</v>
      </c>
      <c r="Q533" s="5">
        <f t="shared" si="248"/>
        <v>632.0160371014374</v>
      </c>
      <c r="R533" s="6">
        <f t="shared" si="249"/>
        <v>697.67120999325607</v>
      </c>
      <c r="T533" s="11">
        <f t="shared" si="250"/>
        <v>0.90589381939315894</v>
      </c>
      <c r="V533" s="9">
        <v>42412</v>
      </c>
      <c r="W533">
        <v>24416</v>
      </c>
      <c r="X533">
        <v>32974.787900000003</v>
      </c>
      <c r="Y533" t="s">
        <v>33</v>
      </c>
      <c r="AC533" s="24">
        <f t="shared" si="251"/>
        <v>-5.9944787356535675E-2</v>
      </c>
      <c r="AE533" s="5">
        <f t="shared" si="252"/>
        <v>532.40321648385031</v>
      </c>
      <c r="AF533" s="6">
        <f t="shared" si="253"/>
        <v>697.67120999325607</v>
      </c>
      <c r="AH533" s="1">
        <f t="shared" si="254"/>
        <v>42412</v>
      </c>
      <c r="AI533">
        <f t="shared" si="255"/>
        <v>0.76311478653246512</v>
      </c>
      <c r="AJ533">
        <f t="shared" ca="1" si="256"/>
        <v>0.66689905546078299</v>
      </c>
      <c r="AK533">
        <f t="shared" ca="1" si="257"/>
        <v>0.69767596879731952</v>
      </c>
      <c r="AL533">
        <f t="shared" ca="1" si="258"/>
        <v>0.75714757101733365</v>
      </c>
      <c r="AM533">
        <f t="shared" ca="1" si="259"/>
        <v>0.84414300234051542</v>
      </c>
      <c r="AN533">
        <f t="shared" ca="1" si="260"/>
        <v>0.90313173430998817</v>
      </c>
    </row>
    <row r="534" spans="2:40" x14ac:dyDescent="0.25">
      <c r="B534" s="1">
        <v>42419</v>
      </c>
      <c r="C534">
        <v>6.2839999999999998</v>
      </c>
      <c r="D534">
        <v>4.7469999999999999</v>
      </c>
      <c r="E534" t="s">
        <v>33</v>
      </c>
      <c r="G534">
        <v>11826.05</v>
      </c>
      <c r="I534" s="14">
        <f t="shared" si="245"/>
        <v>3.2194480946123427E-2</v>
      </c>
      <c r="J534" s="15">
        <f t="shared" si="246"/>
        <v>1.3882956001708635E-2</v>
      </c>
      <c r="K534" s="15"/>
      <c r="L534" s="15"/>
      <c r="M534" s="16">
        <f t="shared" si="247"/>
        <v>4.8744323316238569E-2</v>
      </c>
      <c r="O534" s="13">
        <f t="shared" si="261"/>
        <v>2.3038718473916031E-2</v>
      </c>
      <c r="Q534" s="5">
        <f t="shared" si="248"/>
        <v>646.5768766512175</v>
      </c>
      <c r="R534" s="6">
        <f t="shared" si="249"/>
        <v>731.67872102159868</v>
      </c>
      <c r="T534" s="11">
        <f t="shared" si="250"/>
        <v>0.88368960046896183</v>
      </c>
      <c r="V534" s="9">
        <v>42419</v>
      </c>
      <c r="W534">
        <v>25200</v>
      </c>
      <c r="X534">
        <v>33426.4974</v>
      </c>
      <c r="Y534" t="s">
        <v>33</v>
      </c>
      <c r="AC534" s="24">
        <f t="shared" si="251"/>
        <v>2.1673303710854332E-2</v>
      </c>
      <c r="AE534" s="5">
        <f t="shared" si="252"/>
        <v>543.94215309134051</v>
      </c>
      <c r="AF534" s="6">
        <f t="shared" si="253"/>
        <v>731.67872102159868</v>
      </c>
      <c r="AH534" s="1">
        <f t="shared" si="254"/>
        <v>42419</v>
      </c>
      <c r="AI534">
        <f t="shared" si="255"/>
        <v>0.74341666289251529</v>
      </c>
      <c r="AJ534">
        <f t="shared" ca="1" si="256"/>
        <v>0.66689905546078299</v>
      </c>
      <c r="AK534">
        <f t="shared" ca="1" si="257"/>
        <v>0.69767596879731952</v>
      </c>
      <c r="AL534">
        <f t="shared" ca="1" si="258"/>
        <v>0.7568446247172933</v>
      </c>
      <c r="AM534">
        <f t="shared" ca="1" si="259"/>
        <v>0.83880623322236059</v>
      </c>
      <c r="AN534">
        <f t="shared" ca="1" si="260"/>
        <v>0.90313173430998817</v>
      </c>
    </row>
    <row r="535" spans="2:40" x14ac:dyDescent="0.25">
      <c r="B535" s="1">
        <v>42426</v>
      </c>
      <c r="C535">
        <v>7.4710000000000001</v>
      </c>
      <c r="D535">
        <v>5.3879999999999999</v>
      </c>
      <c r="E535" t="s">
        <v>33</v>
      </c>
      <c r="G535">
        <v>12929.23</v>
      </c>
      <c r="I535" s="14">
        <f t="shared" si="245"/>
        <v>0.18889242520687466</v>
      </c>
      <c r="J535" s="15">
        <f t="shared" si="246"/>
        <v>0.13503265220139027</v>
      </c>
      <c r="K535" s="15"/>
      <c r="L535" s="15"/>
      <c r="M535" s="16">
        <f t="shared" si="247"/>
        <v>9.3283894453346727E-2</v>
      </c>
      <c r="O535" s="13">
        <f t="shared" si="261"/>
        <v>0.16196253870413246</v>
      </c>
      <c r="Q535" s="5">
        <f t="shared" si="248"/>
        <v>751.29810906103728</v>
      </c>
      <c r="R535" s="6">
        <f t="shared" si="249"/>
        <v>799.93256160713725</v>
      </c>
      <c r="T535" s="11">
        <f t="shared" si="250"/>
        <v>0.93920180915202534</v>
      </c>
      <c r="V535" s="9">
        <v>42426</v>
      </c>
      <c r="W535">
        <v>29960</v>
      </c>
      <c r="X535">
        <v>37943.5916</v>
      </c>
      <c r="Y535" t="s">
        <v>33</v>
      </c>
      <c r="AC535" s="24">
        <f t="shared" si="251"/>
        <v>0.15818372449687088</v>
      </c>
      <c r="AE535" s="5">
        <f t="shared" si="252"/>
        <v>629.98494877817586</v>
      </c>
      <c r="AF535" s="6">
        <f t="shared" si="253"/>
        <v>799.93256160713725</v>
      </c>
      <c r="AH535" s="1">
        <f t="shared" si="254"/>
        <v>42426</v>
      </c>
      <c r="AI535">
        <f t="shared" si="255"/>
        <v>0.78754757465114167</v>
      </c>
      <c r="AJ535">
        <f t="shared" ca="1" si="256"/>
        <v>0.66689905546078299</v>
      </c>
      <c r="AK535">
        <f t="shared" ca="1" si="257"/>
        <v>0.69767596879731952</v>
      </c>
      <c r="AL535">
        <f t="shared" ca="1" si="258"/>
        <v>0.7487412270945486</v>
      </c>
      <c r="AM535">
        <f t="shared" ca="1" si="259"/>
        <v>0.83880623322236059</v>
      </c>
      <c r="AN535">
        <f t="shared" ca="1" si="260"/>
        <v>0.90313173430998817</v>
      </c>
    </row>
    <row r="536" spans="2:40" x14ac:dyDescent="0.25">
      <c r="B536" s="1">
        <v>42433</v>
      </c>
      <c r="C536">
        <v>7.75</v>
      </c>
      <c r="D536">
        <v>5.1890000000000001</v>
      </c>
      <c r="E536" t="s">
        <v>33</v>
      </c>
      <c r="G536">
        <v>13269.27</v>
      </c>
      <c r="I536" s="14">
        <f t="shared" si="245"/>
        <v>3.7344398340249052E-2</v>
      </c>
      <c r="J536" s="15">
        <f t="shared" si="246"/>
        <v>-3.6933927245731191E-2</v>
      </c>
      <c r="K536" s="15"/>
      <c r="L536" s="15"/>
      <c r="M536" s="16">
        <f t="shared" si="247"/>
        <v>2.6300096757502223E-2</v>
      </c>
      <c r="O536" s="13">
        <f t="shared" si="261"/>
        <v>2.0523554725893067E-4</v>
      </c>
      <c r="Q536" s="5">
        <f t="shared" si="248"/>
        <v>751.45230213960497</v>
      </c>
      <c r="R536" s="6">
        <f t="shared" si="249"/>
        <v>820.97086537688153</v>
      </c>
      <c r="T536" s="11">
        <f t="shared" si="250"/>
        <v>0.91532152215247886</v>
      </c>
      <c r="V536" s="9">
        <v>42433</v>
      </c>
      <c r="W536">
        <v>31080</v>
      </c>
      <c r="X536">
        <v>36543.292399999998</v>
      </c>
      <c r="Y536" t="s">
        <v>33</v>
      </c>
      <c r="AC536" s="24">
        <f t="shared" si="251"/>
        <v>-4.1613067978318189E-3</v>
      </c>
      <c r="AE536" s="5">
        <f t="shared" si="252"/>
        <v>627.36338812829354</v>
      </c>
      <c r="AF536" s="6">
        <f t="shared" si="253"/>
        <v>820.97086537688153</v>
      </c>
      <c r="AH536" s="1">
        <f t="shared" si="254"/>
        <v>42433</v>
      </c>
      <c r="AI536">
        <f t="shared" si="255"/>
        <v>0.76417253594046974</v>
      </c>
      <c r="AJ536">
        <f t="shared" ca="1" si="256"/>
        <v>0.66689905546078299</v>
      </c>
      <c r="AK536">
        <f t="shared" ca="1" si="257"/>
        <v>0.69767596879731952</v>
      </c>
      <c r="AL536">
        <f t="shared" ca="1" si="258"/>
        <v>0.7487412270945486</v>
      </c>
      <c r="AM536">
        <f t="shared" ca="1" si="259"/>
        <v>0.82802202407995318</v>
      </c>
      <c r="AN536">
        <f t="shared" ca="1" si="260"/>
        <v>0.90313173430998817</v>
      </c>
    </row>
    <row r="537" spans="2:40" x14ac:dyDescent="0.25">
      <c r="B537" s="1">
        <v>42440</v>
      </c>
      <c r="C537">
        <v>7.1210000000000004</v>
      </c>
      <c r="D537">
        <v>4.657</v>
      </c>
      <c r="E537" t="s">
        <v>33</v>
      </c>
      <c r="G537">
        <v>13051.54</v>
      </c>
      <c r="I537" s="14">
        <f t="shared" si="245"/>
        <v>-8.116129032258057E-2</v>
      </c>
      <c r="J537" s="15">
        <f t="shared" si="246"/>
        <v>-0.10252457120832525</v>
      </c>
      <c r="K537" s="15"/>
      <c r="L537" s="15"/>
      <c r="M537" s="16">
        <f t="shared" si="247"/>
        <v>-1.6408589168808829E-2</v>
      </c>
      <c r="O537" s="13">
        <f t="shared" si="261"/>
        <v>-9.1842930765452913E-2</v>
      </c>
      <c r="Q537" s="5">
        <f t="shared" si="248"/>
        <v>682.43672038065699</v>
      </c>
      <c r="R537" s="6">
        <f t="shared" si="249"/>
        <v>807.49989172735081</v>
      </c>
      <c r="T537" s="11">
        <f t="shared" si="250"/>
        <v>0.84512298685369869</v>
      </c>
      <c r="V537" s="9">
        <v>42440</v>
      </c>
      <c r="W537">
        <v>28560</v>
      </c>
      <c r="X537">
        <v>32794.104200000002</v>
      </c>
      <c r="Y537" t="s">
        <v>33</v>
      </c>
      <c r="AC537" s="24">
        <f t="shared" si="251"/>
        <v>-9.2705901540461738E-2</v>
      </c>
      <c r="AE537" s="5">
        <f t="shared" si="252"/>
        <v>569.20309963838145</v>
      </c>
      <c r="AF537" s="6">
        <f t="shared" si="253"/>
        <v>807.49989172735081</v>
      </c>
      <c r="AH537" s="1">
        <f t="shared" si="254"/>
        <v>42440</v>
      </c>
      <c r="AI537">
        <f t="shared" si="255"/>
        <v>0.70489557394339653</v>
      </c>
      <c r="AJ537">
        <f t="shared" ca="1" si="256"/>
        <v>0.66689905546078299</v>
      </c>
      <c r="AK537">
        <f t="shared" ca="1" si="257"/>
        <v>0.69767596879731952</v>
      </c>
      <c r="AL537">
        <f t="shared" ca="1" si="258"/>
        <v>0.7487412270945486</v>
      </c>
      <c r="AM537">
        <f t="shared" ca="1" si="259"/>
        <v>0.81720987221084607</v>
      </c>
      <c r="AN537">
        <f t="shared" ca="1" si="260"/>
        <v>0.90313173430998817</v>
      </c>
    </row>
    <row r="538" spans="2:40" x14ac:dyDescent="0.25">
      <c r="B538" s="1">
        <v>42447</v>
      </c>
      <c r="C538">
        <v>7.2960000000000003</v>
      </c>
      <c r="D538">
        <v>4.8620000000000001</v>
      </c>
      <c r="E538" t="s">
        <v>33</v>
      </c>
      <c r="G538">
        <v>12906.43</v>
      </c>
      <c r="I538" s="14">
        <f t="shared" si="245"/>
        <v>2.457520011234382E-2</v>
      </c>
      <c r="J538" s="15">
        <f t="shared" si="246"/>
        <v>4.4019755207215017E-2</v>
      </c>
      <c r="K538" s="15"/>
      <c r="L538" s="15"/>
      <c r="M538" s="16">
        <f t="shared" si="247"/>
        <v>-1.1118228193761071E-2</v>
      </c>
      <c r="O538" s="13">
        <f t="shared" si="261"/>
        <v>3.4297477659779418E-2</v>
      </c>
      <c r="Q538" s="5">
        <f t="shared" si="248"/>
        <v>705.84257855212559</v>
      </c>
      <c r="R538" s="6">
        <f t="shared" si="249"/>
        <v>798.52192366468876</v>
      </c>
      <c r="T538" s="11">
        <f t="shared" si="250"/>
        <v>0.8839363799966492</v>
      </c>
      <c r="V538" s="9">
        <v>42447</v>
      </c>
      <c r="W538">
        <v>29260</v>
      </c>
      <c r="X538">
        <v>34239.5743</v>
      </c>
      <c r="Y538" t="s">
        <v>33</v>
      </c>
      <c r="AC538" s="24">
        <f t="shared" si="251"/>
        <v>3.49684211399902E-2</v>
      </c>
      <c r="AE538" s="5">
        <f t="shared" si="252"/>
        <v>589.10723334072406</v>
      </c>
      <c r="AF538" s="6">
        <f t="shared" si="253"/>
        <v>798.52192366468876</v>
      </c>
      <c r="AH538" s="1">
        <f t="shared" si="254"/>
        <v>42447</v>
      </c>
      <c r="AI538">
        <f t="shared" si="255"/>
        <v>0.73774709983804898</v>
      </c>
      <c r="AJ538">
        <f t="shared" ca="1" si="256"/>
        <v>0.66689905546078299</v>
      </c>
      <c r="AK538">
        <f t="shared" ca="1" si="257"/>
        <v>0.69767596879731952</v>
      </c>
      <c r="AL538">
        <f t="shared" ca="1" si="258"/>
        <v>0.74674440290651667</v>
      </c>
      <c r="AM538">
        <f t="shared" ca="1" si="259"/>
        <v>0.80941064834388721</v>
      </c>
      <c r="AN538">
        <f t="shared" ca="1" si="260"/>
        <v>0.87723697734365413</v>
      </c>
    </row>
    <row r="539" spans="2:40" x14ac:dyDescent="0.25">
      <c r="B539" s="1">
        <v>42454</v>
      </c>
      <c r="C539">
        <v>7.2960000000000003</v>
      </c>
      <c r="D539">
        <v>4.5730000000000004</v>
      </c>
      <c r="E539" t="s">
        <v>33</v>
      </c>
      <c r="G539">
        <v>12499.17</v>
      </c>
      <c r="I539" s="14">
        <f t="shared" si="245"/>
        <v>0</v>
      </c>
      <c r="J539" s="15">
        <f t="shared" si="246"/>
        <v>-5.9440559440559371E-2</v>
      </c>
      <c r="K539" s="15"/>
      <c r="L539" s="15"/>
      <c r="M539" s="16">
        <f t="shared" si="247"/>
        <v>-3.1554814150775989E-2</v>
      </c>
      <c r="O539" s="13">
        <f t="shared" si="261"/>
        <v>-2.9720279720279685E-2</v>
      </c>
      <c r="Q539" s="5">
        <f t="shared" si="248"/>
        <v>684.86473967907295</v>
      </c>
      <c r="R539" s="6">
        <f t="shared" si="249"/>
        <v>773.32471276812942</v>
      </c>
      <c r="T539" s="11">
        <f t="shared" si="250"/>
        <v>0.88561082863573259</v>
      </c>
      <c r="V539" s="9">
        <v>42454</v>
      </c>
      <c r="W539">
        <v>29260</v>
      </c>
      <c r="X539">
        <v>32206.8819</v>
      </c>
      <c r="Y539" t="s">
        <v>33</v>
      </c>
      <c r="AC539" s="24">
        <f t="shared" si="251"/>
        <v>-3.2050914889339643E-2</v>
      </c>
      <c r="AE539" s="5">
        <f t="shared" si="252"/>
        <v>570.2258075442262</v>
      </c>
      <c r="AF539" s="6">
        <f t="shared" si="253"/>
        <v>773.32471276812942</v>
      </c>
      <c r="AH539" s="1">
        <f t="shared" si="254"/>
        <v>42454</v>
      </c>
      <c r="AI539">
        <f t="shared" si="255"/>
        <v>0.73736917769392474</v>
      </c>
      <c r="AJ539">
        <f t="shared" ca="1" si="256"/>
        <v>0.66689905546078299</v>
      </c>
      <c r="AK539">
        <f t="shared" ca="1" si="257"/>
        <v>0.69767596879731952</v>
      </c>
      <c r="AL539">
        <f t="shared" ca="1" si="258"/>
        <v>0.74499873870928646</v>
      </c>
      <c r="AM539">
        <f t="shared" ca="1" si="259"/>
        <v>0.80413049268090353</v>
      </c>
      <c r="AN539">
        <f t="shared" ca="1" si="260"/>
        <v>0.87723697734365413</v>
      </c>
    </row>
    <row r="540" spans="2:40" x14ac:dyDescent="0.25">
      <c r="B540" s="1">
        <v>42461</v>
      </c>
      <c r="C540">
        <v>7.4710000000000001</v>
      </c>
      <c r="D540">
        <v>4.9969999999999999</v>
      </c>
      <c r="E540" t="s">
        <v>33</v>
      </c>
      <c r="G540">
        <v>13179.84</v>
      </c>
      <c r="I540" s="14">
        <f t="shared" si="245"/>
        <v>2.3985745614035103E-2</v>
      </c>
      <c r="J540" s="15">
        <f t="shared" si="246"/>
        <v>9.2718128143450596E-2</v>
      </c>
      <c r="K540" s="15"/>
      <c r="L540" s="15"/>
      <c r="M540" s="16">
        <f t="shared" si="247"/>
        <v>5.445721595913966E-2</v>
      </c>
      <c r="O540" s="13">
        <f t="shared" si="261"/>
        <v>5.8351936878742849E-2</v>
      </c>
      <c r="Q540" s="5">
        <f t="shared" si="248"/>
        <v>724.82792373930283</v>
      </c>
      <c r="R540" s="6">
        <f t="shared" si="249"/>
        <v>815.43782365788309</v>
      </c>
      <c r="T540" s="11">
        <f t="shared" si="250"/>
        <v>0.88888190210245188</v>
      </c>
      <c r="V540" s="9">
        <v>42461</v>
      </c>
      <c r="W540">
        <v>29960</v>
      </c>
      <c r="X540">
        <v>35188.164100000002</v>
      </c>
      <c r="Y540" t="s">
        <v>33</v>
      </c>
      <c r="AC540" s="24">
        <f t="shared" si="251"/>
        <v>5.9999541310258767E-2</v>
      </c>
      <c r="AE540" s="5">
        <f t="shared" si="252"/>
        <v>604.43909444015162</v>
      </c>
      <c r="AF540" s="6">
        <f t="shared" si="253"/>
        <v>815.43782365788309</v>
      </c>
      <c r="AH540" s="1">
        <f t="shared" si="254"/>
        <v>42461</v>
      </c>
      <c r="AI540">
        <f t="shared" si="255"/>
        <v>0.74124485877876578</v>
      </c>
      <c r="AJ540">
        <f t="shared" ca="1" si="256"/>
        <v>0.66689905546078299</v>
      </c>
      <c r="AK540">
        <f t="shared" ca="1" si="257"/>
        <v>0.69767596879731952</v>
      </c>
      <c r="AL540">
        <f t="shared" ca="1" si="258"/>
        <v>0.74058188136528214</v>
      </c>
      <c r="AM540">
        <f t="shared" ca="1" si="259"/>
        <v>0.79403909562971764</v>
      </c>
      <c r="AN540">
        <f t="shared" ca="1" si="260"/>
        <v>0.87723697734365413</v>
      </c>
    </row>
    <row r="541" spans="2:40" x14ac:dyDescent="0.25">
      <c r="B541" s="1">
        <v>42468</v>
      </c>
      <c r="C541">
        <v>6.5419999999999998</v>
      </c>
      <c r="D541">
        <v>4.6050000000000004</v>
      </c>
      <c r="E541" t="s">
        <v>33</v>
      </c>
      <c r="G541">
        <v>12221.87</v>
      </c>
      <c r="I541" s="14">
        <f t="shared" si="245"/>
        <v>-0.12434747691072146</v>
      </c>
      <c r="J541" s="15">
        <f t="shared" si="246"/>
        <v>-7.8447068240944495E-2</v>
      </c>
      <c r="K541" s="15"/>
      <c r="L541" s="15"/>
      <c r="M541" s="16">
        <f t="shared" si="247"/>
        <v>-7.2684493893704238E-2</v>
      </c>
      <c r="O541" s="13">
        <f t="shared" si="261"/>
        <v>-0.10139727257583298</v>
      </c>
      <c r="Q541" s="5">
        <f t="shared" si="248"/>
        <v>651.33234918533367</v>
      </c>
      <c r="R541" s="6">
        <f t="shared" si="249"/>
        <v>756.16813814352622</v>
      </c>
      <c r="T541" s="11">
        <f t="shared" si="250"/>
        <v>0.86135915589411682</v>
      </c>
      <c r="V541" s="9">
        <v>42468</v>
      </c>
      <c r="W541">
        <v>26236</v>
      </c>
      <c r="X541">
        <v>32432.7366</v>
      </c>
      <c r="Y541" t="s">
        <v>33</v>
      </c>
      <c r="AC541" s="24">
        <f t="shared" si="251"/>
        <v>-9.9555510247624435E-2</v>
      </c>
      <c r="AE541" s="5">
        <f t="shared" si="252"/>
        <v>544.26385197955028</v>
      </c>
      <c r="AF541" s="6">
        <f t="shared" si="253"/>
        <v>756.16813814352622</v>
      </c>
      <c r="AH541" s="1">
        <f t="shared" si="254"/>
        <v>42468</v>
      </c>
      <c r="AI541">
        <f t="shared" si="255"/>
        <v>0.71976565068686493</v>
      </c>
      <c r="AJ541">
        <f t="shared" ca="1" si="256"/>
        <v>0.66689905546078299</v>
      </c>
      <c r="AK541">
        <f t="shared" ca="1" si="257"/>
        <v>0.69767596879731952</v>
      </c>
      <c r="AL541">
        <f t="shared" ca="1" si="258"/>
        <v>0.73949597930840738</v>
      </c>
      <c r="AM541">
        <f t="shared" ca="1" si="259"/>
        <v>0.79070845923181898</v>
      </c>
      <c r="AN541">
        <f t="shared" ca="1" si="260"/>
        <v>0.87529443816292374</v>
      </c>
    </row>
    <row r="542" spans="2:40" x14ac:dyDescent="0.25">
      <c r="B542" s="1">
        <v>42475</v>
      </c>
      <c r="C542">
        <v>6.6539999999999999</v>
      </c>
      <c r="D542">
        <v>4.8099999999999996</v>
      </c>
      <c r="E542" t="s">
        <v>33</v>
      </c>
      <c r="G542">
        <v>13237.87</v>
      </c>
      <c r="I542" s="14">
        <f t="shared" si="245"/>
        <v>1.7120146744114884E-2</v>
      </c>
      <c r="J542" s="15">
        <f t="shared" si="246"/>
        <v>4.4516829533115976E-2</v>
      </c>
      <c r="K542" s="15"/>
      <c r="L542" s="15"/>
      <c r="M542" s="16">
        <f t="shared" si="247"/>
        <v>8.3129668373170373E-2</v>
      </c>
      <c r="O542" s="13">
        <f t="shared" si="261"/>
        <v>3.081848813861543E-2</v>
      </c>
      <c r="Q542" s="5">
        <f t="shared" si="248"/>
        <v>671.40542746299832</v>
      </c>
      <c r="R542" s="6">
        <f t="shared" si="249"/>
        <v>819.0281447017552</v>
      </c>
      <c r="T542" s="11">
        <f t="shared" si="250"/>
        <v>0.81975867594572971</v>
      </c>
      <c r="V542" s="9">
        <v>42475</v>
      </c>
      <c r="W542">
        <v>26684</v>
      </c>
      <c r="X542">
        <v>31845.5144</v>
      </c>
      <c r="Y542" t="s">
        <v>33</v>
      </c>
      <c r="AC542" s="24">
        <f t="shared" si="251"/>
        <v>3.2265340728220987E-2</v>
      </c>
      <c r="AE542" s="5">
        <f t="shared" si="252"/>
        <v>561.82471060972443</v>
      </c>
      <c r="AF542" s="6">
        <f t="shared" si="253"/>
        <v>819.0281447017552</v>
      </c>
      <c r="AH542" s="1">
        <f t="shared" si="254"/>
        <v>42475</v>
      </c>
      <c r="AI542">
        <f t="shared" si="255"/>
        <v>0.68596508464835471</v>
      </c>
      <c r="AJ542">
        <f t="shared" ca="1" si="256"/>
        <v>0.66689905546078299</v>
      </c>
      <c r="AK542">
        <f t="shared" ca="1" si="257"/>
        <v>0.69767596879731952</v>
      </c>
      <c r="AL542">
        <f t="shared" ca="1" si="258"/>
        <v>0.73755813876598686</v>
      </c>
      <c r="AM542">
        <f t="shared" ca="1" si="259"/>
        <v>0.79070845923181898</v>
      </c>
      <c r="AN542">
        <f t="shared" ca="1" si="260"/>
        <v>0.87529443816292374</v>
      </c>
    </row>
    <row r="543" spans="2:40" x14ac:dyDescent="0.25">
      <c r="B543" s="1">
        <v>42482</v>
      </c>
      <c r="C543">
        <v>7.226</v>
      </c>
      <c r="D543">
        <v>4.8849999999999998</v>
      </c>
      <c r="E543" t="s">
        <v>33</v>
      </c>
      <c r="G543">
        <v>13915.48</v>
      </c>
      <c r="I543" s="14">
        <f t="shared" si="245"/>
        <v>8.59633303276226E-2</v>
      </c>
      <c r="J543" s="15">
        <f t="shared" si="246"/>
        <v>1.5592515592515621E-2</v>
      </c>
      <c r="K543" s="15"/>
      <c r="L543" s="15"/>
      <c r="M543" s="16">
        <f t="shared" si="247"/>
        <v>5.1187237826024745E-2</v>
      </c>
      <c r="O543" s="13">
        <f t="shared" si="261"/>
        <v>5.0777922960069111E-2</v>
      </c>
      <c r="Q543" s="5">
        <f t="shared" si="248"/>
        <v>705.49800053368676</v>
      </c>
      <c r="R543" s="6">
        <f t="shared" si="249"/>
        <v>860.95193313081177</v>
      </c>
      <c r="T543" s="11">
        <f t="shared" si="250"/>
        <v>0.81943947552121288</v>
      </c>
      <c r="V543" s="9">
        <v>42482</v>
      </c>
      <c r="W543">
        <v>28980</v>
      </c>
      <c r="X543">
        <v>32342.394700000001</v>
      </c>
      <c r="Y543" t="s">
        <v>33</v>
      </c>
      <c r="AC543" s="24">
        <f t="shared" si="251"/>
        <v>4.7675044204637411E-2</v>
      </c>
      <c r="AE543" s="5">
        <f t="shared" si="252"/>
        <v>588.60972852330065</v>
      </c>
      <c r="AF543" s="6">
        <f t="shared" si="253"/>
        <v>860.95193313081177</v>
      </c>
      <c r="AH543" s="1">
        <f t="shared" si="254"/>
        <v>42482</v>
      </c>
      <c r="AI543">
        <f t="shared" si="255"/>
        <v>0.68367315975800025</v>
      </c>
      <c r="AJ543">
        <f t="shared" ca="1" si="256"/>
        <v>0.66689905546078299</v>
      </c>
      <c r="AK543">
        <f t="shared" ca="1" si="257"/>
        <v>0.68945599154899884</v>
      </c>
      <c r="AL543">
        <f t="shared" ca="1" si="258"/>
        <v>0.73755813876598686</v>
      </c>
      <c r="AM543">
        <f t="shared" ca="1" si="259"/>
        <v>0.79070845923181898</v>
      </c>
      <c r="AN543">
        <f t="shared" ca="1" si="260"/>
        <v>0.87529443816292374</v>
      </c>
    </row>
    <row r="544" spans="2:40" x14ac:dyDescent="0.25">
      <c r="B544" s="1">
        <v>42489</v>
      </c>
      <c r="C544">
        <v>6.9610000000000003</v>
      </c>
      <c r="D544">
        <v>4.7080000000000002</v>
      </c>
      <c r="E544" t="s">
        <v>33</v>
      </c>
      <c r="G544">
        <v>13724.07</v>
      </c>
      <c r="I544" s="14">
        <f t="shared" si="245"/>
        <v>-3.667312482701357E-2</v>
      </c>
      <c r="J544" s="15">
        <f t="shared" si="246"/>
        <v>-3.6233367451381726E-2</v>
      </c>
      <c r="K544" s="15"/>
      <c r="L544" s="15"/>
      <c r="M544" s="16">
        <f t="shared" si="247"/>
        <v>-1.3755184873249116E-2</v>
      </c>
      <c r="O544" s="13">
        <f t="shared" si="261"/>
        <v>-3.6453246139197648E-2</v>
      </c>
      <c r="Q544" s="5">
        <f t="shared" si="248"/>
        <v>679.78030826952045</v>
      </c>
      <c r="R544" s="6">
        <f t="shared" si="249"/>
        <v>849.10938012361623</v>
      </c>
      <c r="T544" s="11">
        <f t="shared" si="250"/>
        <v>0.80058037772537116</v>
      </c>
      <c r="V544" s="9">
        <v>42489</v>
      </c>
      <c r="W544">
        <v>27916</v>
      </c>
      <c r="X544">
        <v>31167.950199999999</v>
      </c>
      <c r="Y544" t="s">
        <v>33</v>
      </c>
      <c r="AC544" s="24">
        <f t="shared" si="251"/>
        <v>-3.6441189875932457E-2</v>
      </c>
      <c r="AE544" s="5">
        <f t="shared" si="252"/>
        <v>567.16008964336197</v>
      </c>
      <c r="AF544" s="6">
        <f t="shared" si="253"/>
        <v>849.10938012361623</v>
      </c>
      <c r="AH544" s="1">
        <f t="shared" si="254"/>
        <v>42489</v>
      </c>
      <c r="AI544">
        <f t="shared" si="255"/>
        <v>0.66794703123029076</v>
      </c>
      <c r="AJ544">
        <f t="shared" ca="1" si="256"/>
        <v>0.66689905546078299</v>
      </c>
      <c r="AK544">
        <f t="shared" ca="1" si="257"/>
        <v>0.68539210342576606</v>
      </c>
      <c r="AL544">
        <f t="shared" ca="1" si="258"/>
        <v>0.73755813876598686</v>
      </c>
      <c r="AM544">
        <f t="shared" ca="1" si="259"/>
        <v>0.79070845923181898</v>
      </c>
      <c r="AN544">
        <f t="shared" ca="1" si="260"/>
        <v>0.87529443816292374</v>
      </c>
    </row>
    <row r="545" spans="2:40" x14ac:dyDescent="0.25">
      <c r="B545" s="1">
        <v>42496</v>
      </c>
      <c r="C545">
        <v>6.8419999999999996</v>
      </c>
      <c r="D545">
        <v>4.5919999999999996</v>
      </c>
      <c r="E545" t="s">
        <v>33</v>
      </c>
      <c r="G545">
        <v>13453.91</v>
      </c>
      <c r="I545" s="14">
        <f t="shared" si="245"/>
        <v>-1.7095244936072507E-2</v>
      </c>
      <c r="J545" s="15">
        <f t="shared" si="246"/>
        <v>-2.4638912489379883E-2</v>
      </c>
      <c r="K545" s="15"/>
      <c r="L545" s="15"/>
      <c r="M545" s="16">
        <f t="shared" si="247"/>
        <v>-1.9685122562038804E-2</v>
      </c>
      <c r="O545" s="13">
        <f t="shared" si="261"/>
        <v>-2.0867078712726195E-2</v>
      </c>
      <c r="Q545" s="5">
        <f t="shared" si="248"/>
        <v>665.59527906949904</v>
      </c>
      <c r="R545" s="6">
        <f t="shared" si="249"/>
        <v>832.39455790730608</v>
      </c>
      <c r="T545" s="11">
        <f t="shared" si="250"/>
        <v>0.79961512571976534</v>
      </c>
      <c r="V545" s="9">
        <v>42496</v>
      </c>
      <c r="W545">
        <v>27440</v>
      </c>
      <c r="X545">
        <v>30400.0442</v>
      </c>
      <c r="Y545" t="s">
        <v>33</v>
      </c>
      <c r="AC545" s="24">
        <f t="shared" si="251"/>
        <v>-2.1074678501887815E-2</v>
      </c>
      <c r="AE545" s="5">
        <f t="shared" si="252"/>
        <v>555.20737309502624</v>
      </c>
      <c r="AF545" s="6">
        <f t="shared" si="253"/>
        <v>832.39455790730608</v>
      </c>
      <c r="AH545" s="1">
        <f t="shared" si="254"/>
        <v>42496</v>
      </c>
      <c r="AI545">
        <f t="shared" si="255"/>
        <v>0.66700024383971646</v>
      </c>
      <c r="AJ545">
        <f t="shared" ca="1" si="256"/>
        <v>0.66689905546078299</v>
      </c>
      <c r="AK545">
        <f t="shared" ca="1" si="257"/>
        <v>0.68364199177146989</v>
      </c>
      <c r="AL545">
        <f t="shared" ca="1" si="258"/>
        <v>0.73323317235082119</v>
      </c>
      <c r="AM545">
        <f t="shared" ca="1" si="259"/>
        <v>0.79070845923181898</v>
      </c>
      <c r="AN545">
        <f t="shared" ca="1" si="260"/>
        <v>0.87529443816292374</v>
      </c>
    </row>
    <row r="546" spans="2:40" x14ac:dyDescent="0.25">
      <c r="B546" s="1">
        <v>42503</v>
      </c>
      <c r="C546">
        <v>6.3739999999999997</v>
      </c>
      <c r="D546">
        <v>4.4279999999999999</v>
      </c>
      <c r="E546" t="s">
        <v>33</v>
      </c>
      <c r="G546">
        <v>13121.56</v>
      </c>
      <c r="I546" s="14">
        <f t="shared" si="245"/>
        <v>-6.8401052323881939E-2</v>
      </c>
      <c r="J546" s="15">
        <f t="shared" si="246"/>
        <v>-3.5714285714285698E-2</v>
      </c>
      <c r="K546" s="15"/>
      <c r="L546" s="15"/>
      <c r="M546" s="16">
        <f t="shared" si="247"/>
        <v>-2.4702855898396825E-2</v>
      </c>
      <c r="O546" s="13">
        <f t="shared" si="261"/>
        <v>-5.2057669019083819E-2</v>
      </c>
      <c r="Q546" s="5">
        <f t="shared" si="248"/>
        <v>630.94594033103431</v>
      </c>
      <c r="R546" s="6">
        <f t="shared" si="249"/>
        <v>811.8320350927122</v>
      </c>
      <c r="T546" s="11">
        <f t="shared" si="250"/>
        <v>0.77718778399645128</v>
      </c>
      <c r="V546" s="9">
        <v>42503</v>
      </c>
      <c r="W546">
        <v>25564</v>
      </c>
      <c r="X546">
        <v>29315.941599999998</v>
      </c>
      <c r="Y546" t="s">
        <v>33</v>
      </c>
      <c r="AC546" s="24">
        <f t="shared" si="251"/>
        <v>-5.122127379102235E-2</v>
      </c>
      <c r="AE546" s="5">
        <f t="shared" si="252"/>
        <v>526.76894422693158</v>
      </c>
      <c r="AF546" s="6">
        <f t="shared" si="253"/>
        <v>811.8320350927122</v>
      </c>
      <c r="AH546" s="1">
        <f t="shared" si="254"/>
        <v>42503</v>
      </c>
      <c r="AI546">
        <f t="shared" si="255"/>
        <v>0.64886444665462595</v>
      </c>
      <c r="AJ546">
        <f t="shared" ca="1" si="256"/>
        <v>0.66689905546078299</v>
      </c>
      <c r="AK546">
        <f t="shared" ca="1" si="257"/>
        <v>0.68138274535561894</v>
      </c>
      <c r="AL546">
        <f t="shared" ca="1" si="258"/>
        <v>0.73161633370889989</v>
      </c>
      <c r="AM546">
        <f t="shared" ca="1" si="259"/>
        <v>0.79070845923181898</v>
      </c>
      <c r="AN546">
        <f t="shared" ca="1" si="260"/>
        <v>0.87529443816292374</v>
      </c>
    </row>
    <row r="547" spans="2:40" x14ac:dyDescent="0.25">
      <c r="B547" s="1">
        <v>42510</v>
      </c>
      <c r="C547">
        <v>6.1859999999999999</v>
      </c>
      <c r="D547">
        <v>4.3529999999999998</v>
      </c>
      <c r="E547" t="s">
        <v>33</v>
      </c>
      <c r="G547">
        <v>12656.28</v>
      </c>
      <c r="I547" s="14">
        <f t="shared" si="245"/>
        <v>-2.9494822717288982E-2</v>
      </c>
      <c r="J547" s="15">
        <f t="shared" si="246"/>
        <v>-1.6937669376693831E-2</v>
      </c>
      <c r="K547" s="15"/>
      <c r="L547" s="15"/>
      <c r="M547" s="16">
        <f t="shared" si="247"/>
        <v>-3.5459198448964835E-2</v>
      </c>
      <c r="O547" s="13">
        <f t="shared" si="261"/>
        <v>-2.3216246046991407E-2</v>
      </c>
      <c r="Q547" s="5">
        <f t="shared" si="248"/>
        <v>616.29774413795872</v>
      </c>
      <c r="R547" s="6">
        <f t="shared" si="249"/>
        <v>783.04512185313274</v>
      </c>
      <c r="T547" s="11">
        <f t="shared" si="250"/>
        <v>0.78705265755240983</v>
      </c>
      <c r="V547" s="9">
        <v>42510</v>
      </c>
      <c r="W547">
        <v>24808</v>
      </c>
      <c r="X547">
        <v>28819.0612</v>
      </c>
      <c r="Y547" t="s">
        <v>33</v>
      </c>
      <c r="AC547" s="24">
        <f t="shared" si="251"/>
        <v>-2.278700264200063E-2</v>
      </c>
      <c r="AE547" s="5">
        <f t="shared" si="252"/>
        <v>514.76545890310865</v>
      </c>
      <c r="AF547" s="6">
        <f t="shared" si="253"/>
        <v>783.04512185313274</v>
      </c>
      <c r="AH547" s="1">
        <f t="shared" si="254"/>
        <v>42510</v>
      </c>
      <c r="AI547">
        <f t="shared" si="255"/>
        <v>0.65738926728114855</v>
      </c>
      <c r="AJ547">
        <f t="shared" ca="1" si="256"/>
        <v>0.66312417671270441</v>
      </c>
      <c r="AK547">
        <f t="shared" ca="1" si="257"/>
        <v>0.67471880020685027</v>
      </c>
      <c r="AL547">
        <f t="shared" ca="1" si="258"/>
        <v>0.73161633370889989</v>
      </c>
      <c r="AM547">
        <f t="shared" ca="1" si="259"/>
        <v>0.79070845923181898</v>
      </c>
      <c r="AN547">
        <f t="shared" ca="1" si="260"/>
        <v>0.87529443816292374</v>
      </c>
    </row>
    <row r="548" spans="2:40" x14ac:dyDescent="0.25">
      <c r="B548" s="1">
        <v>42517</v>
      </c>
      <c r="C548">
        <v>6.3879999999999999</v>
      </c>
      <c r="D548">
        <v>4.6740000000000004</v>
      </c>
      <c r="E548" t="s">
        <v>33</v>
      </c>
      <c r="G548">
        <v>12727.46</v>
      </c>
      <c r="I548" s="14">
        <f t="shared" si="245"/>
        <v>3.2654380860006382E-2</v>
      </c>
      <c r="J548" s="15">
        <f t="shared" si="246"/>
        <v>7.3742246726395733E-2</v>
      </c>
      <c r="K548" s="15"/>
      <c r="L548" s="15"/>
      <c r="M548" s="16">
        <f t="shared" si="247"/>
        <v>5.6240854342664015E-3</v>
      </c>
      <c r="O548" s="13">
        <f t="shared" si="261"/>
        <v>5.3198313793201057E-2</v>
      </c>
      <c r="Q548" s="5">
        <f t="shared" si="248"/>
        <v>649.08374492065172</v>
      </c>
      <c r="R548" s="6">
        <f t="shared" si="249"/>
        <v>787.44903451732034</v>
      </c>
      <c r="T548" s="11">
        <f t="shared" si="250"/>
        <v>0.82428667312865289</v>
      </c>
      <c r="V548" s="9">
        <v>42517</v>
      </c>
      <c r="W548">
        <v>25620</v>
      </c>
      <c r="X548">
        <v>30942.095499999999</v>
      </c>
      <c r="Y548" t="s">
        <v>33</v>
      </c>
      <c r="AC548" s="24">
        <f t="shared" si="251"/>
        <v>5.4734906894516468E-2</v>
      </c>
      <c r="AE548" s="5">
        <f t="shared" si="252"/>
        <v>542.94109836868336</v>
      </c>
      <c r="AF548" s="6">
        <f t="shared" si="253"/>
        <v>787.44903451732034</v>
      </c>
      <c r="AH548" s="1">
        <f t="shared" si="254"/>
        <v>42517</v>
      </c>
      <c r="AI548">
        <f t="shared" si="255"/>
        <v>0.68949363650117101</v>
      </c>
      <c r="AJ548">
        <f t="shared" ca="1" si="256"/>
        <v>0.65792086852366749</v>
      </c>
      <c r="AK548">
        <f t="shared" ca="1" si="257"/>
        <v>0.67387797661688797</v>
      </c>
      <c r="AL548">
        <f t="shared" ca="1" si="258"/>
        <v>0.72281457020536988</v>
      </c>
      <c r="AM548">
        <f t="shared" ca="1" si="259"/>
        <v>0.79070845923181898</v>
      </c>
      <c r="AN548">
        <f t="shared" ca="1" si="260"/>
        <v>0.87529443816292374</v>
      </c>
    </row>
    <row r="549" spans="2:40" x14ac:dyDescent="0.25">
      <c r="B549" s="1">
        <v>42524</v>
      </c>
      <c r="C549">
        <v>6.4020000000000001</v>
      </c>
      <c r="D549">
        <v>4.5369999999999999</v>
      </c>
      <c r="E549" t="s">
        <v>33</v>
      </c>
      <c r="G549">
        <v>12791.08</v>
      </c>
      <c r="I549" s="14">
        <f t="shared" si="245"/>
        <v>2.1916092673763821E-3</v>
      </c>
      <c r="J549" s="15">
        <f t="shared" si="246"/>
        <v>-2.9311082584510095E-2</v>
      </c>
      <c r="K549" s="15"/>
      <c r="L549" s="15"/>
      <c r="M549" s="16">
        <f t="shared" si="247"/>
        <v>4.9986407342863526E-3</v>
      </c>
      <c r="O549" s="13">
        <f t="shared" si="261"/>
        <v>-1.3559736658566857E-2</v>
      </c>
      <c r="Q549" s="5">
        <f t="shared" si="248"/>
        <v>640.28234027017129</v>
      </c>
      <c r="R549" s="6">
        <f t="shared" si="249"/>
        <v>791.38520933743303</v>
      </c>
      <c r="T549" s="11">
        <f t="shared" si="250"/>
        <v>0.80906533596480945</v>
      </c>
      <c r="V549" s="9">
        <v>42524</v>
      </c>
      <c r="W549">
        <v>25676</v>
      </c>
      <c r="X549">
        <v>30038.6767</v>
      </c>
      <c r="Y549" t="s">
        <v>33</v>
      </c>
      <c r="AC549" s="24">
        <f t="shared" si="251"/>
        <v>-1.5041827562914735E-2</v>
      </c>
      <c r="AE549" s="5">
        <f t="shared" si="252"/>
        <v>534.77427199020212</v>
      </c>
      <c r="AF549" s="6">
        <f t="shared" si="253"/>
        <v>791.38520933743303</v>
      </c>
      <c r="AH549" s="1">
        <f t="shared" si="254"/>
        <v>42524</v>
      </c>
      <c r="AI549">
        <f t="shared" si="255"/>
        <v>0.6757445876931768</v>
      </c>
      <c r="AJ549">
        <f t="shared" ca="1" si="256"/>
        <v>0.65792086852366749</v>
      </c>
      <c r="AK549">
        <f t="shared" ca="1" si="257"/>
        <v>0.67387797661688797</v>
      </c>
      <c r="AL549">
        <f t="shared" ca="1" si="258"/>
        <v>0.71528740441569527</v>
      </c>
      <c r="AM549">
        <f t="shared" ca="1" si="259"/>
        <v>0.79070845923181898</v>
      </c>
      <c r="AN549">
        <f t="shared" ca="1" si="260"/>
        <v>0.87529443816292374</v>
      </c>
    </row>
    <row r="550" spans="2:40" x14ac:dyDescent="0.25">
      <c r="B550" s="1">
        <v>42531</v>
      </c>
      <c r="C550">
        <v>6.7859999999999996</v>
      </c>
      <c r="D550">
        <v>4.8380000000000001</v>
      </c>
      <c r="E550" t="s">
        <v>33</v>
      </c>
      <c r="G550">
        <v>13324.43</v>
      </c>
      <c r="I550" s="14">
        <f t="shared" si="245"/>
        <v>5.9981255857544324E-2</v>
      </c>
      <c r="J550" s="15">
        <f t="shared" si="246"/>
        <v>6.6343398721622204E-2</v>
      </c>
      <c r="K550" s="15"/>
      <c r="L550" s="15"/>
      <c r="M550" s="16">
        <f t="shared" si="247"/>
        <v>4.1697026365248302E-2</v>
      </c>
      <c r="O550" s="13">
        <f t="shared" si="261"/>
        <v>6.3162327289583264E-2</v>
      </c>
      <c r="Q550" s="5">
        <f t="shared" si="248"/>
        <v>680.72406300405612</v>
      </c>
      <c r="R550" s="6">
        <f t="shared" si="249"/>
        <v>824.38361927624351</v>
      </c>
      <c r="T550" s="11">
        <f t="shared" si="250"/>
        <v>0.82573700773153236</v>
      </c>
      <c r="V550" s="9">
        <v>42531</v>
      </c>
      <c r="W550">
        <v>27216</v>
      </c>
      <c r="X550">
        <v>32026.198100000001</v>
      </c>
      <c r="Y550" t="s">
        <v>33</v>
      </c>
      <c r="AC550" s="24">
        <f t="shared" si="251"/>
        <v>6.3411417601859851E-2</v>
      </c>
      <c r="AE550" s="5">
        <f t="shared" si="252"/>
        <v>568.68506667410338</v>
      </c>
      <c r="AF550" s="6">
        <f t="shared" si="253"/>
        <v>824.38361927624351</v>
      </c>
      <c r="AH550" s="1">
        <f t="shared" si="254"/>
        <v>42531</v>
      </c>
      <c r="AI550">
        <f t="shared" si="255"/>
        <v>0.68983062421033148</v>
      </c>
      <c r="AJ550">
        <f t="shared" ca="1" si="256"/>
        <v>0.65792086852366749</v>
      </c>
      <c r="AK550">
        <f t="shared" ca="1" si="257"/>
        <v>0.67387797661688797</v>
      </c>
      <c r="AL550">
        <f t="shared" ca="1" si="258"/>
        <v>0.70884693488001682</v>
      </c>
      <c r="AM550">
        <f t="shared" ca="1" si="259"/>
        <v>0.79070845923181898</v>
      </c>
      <c r="AN550">
        <f t="shared" ca="1" si="260"/>
        <v>0.87529443816292374</v>
      </c>
    </row>
    <row r="551" spans="2:40" x14ac:dyDescent="0.25">
      <c r="B551" s="1">
        <v>42538</v>
      </c>
      <c r="C551">
        <v>6.2770000000000001</v>
      </c>
      <c r="D551">
        <v>4.5439999999999996</v>
      </c>
      <c r="E551" t="s">
        <v>33</v>
      </c>
      <c r="G551">
        <v>13073.38</v>
      </c>
      <c r="I551" s="14">
        <f t="shared" si="245"/>
        <v>-7.5007368110816319E-2</v>
      </c>
      <c r="J551" s="15">
        <f t="shared" si="246"/>
        <v>-6.076891277387364E-2</v>
      </c>
      <c r="K551" s="15"/>
      <c r="L551" s="15"/>
      <c r="M551" s="16">
        <f t="shared" si="247"/>
        <v>-1.8841331298974917E-2</v>
      </c>
      <c r="O551" s="13">
        <f t="shared" si="261"/>
        <v>-6.788814044234498E-2</v>
      </c>
      <c r="Q551" s="5">
        <f t="shared" si="248"/>
        <v>634.51097221235307</v>
      </c>
      <c r="R551" s="6">
        <f t="shared" si="249"/>
        <v>808.85113438801181</v>
      </c>
      <c r="T551" s="11">
        <f t="shared" si="250"/>
        <v>0.78445951947935766</v>
      </c>
      <c r="V551" s="9">
        <v>42538</v>
      </c>
      <c r="W551">
        <v>25172</v>
      </c>
      <c r="X551">
        <v>30083.847600000001</v>
      </c>
      <c r="Y551" t="s">
        <v>33</v>
      </c>
      <c r="AC551" s="24">
        <f t="shared" si="251"/>
        <v>-6.7310091407997139E-2</v>
      </c>
      <c r="AE551" s="5">
        <f t="shared" si="252"/>
        <v>530.40682285390653</v>
      </c>
      <c r="AF551" s="6">
        <f t="shared" si="253"/>
        <v>808.85113438801181</v>
      </c>
      <c r="AH551" s="1">
        <f t="shared" si="254"/>
        <v>42538</v>
      </c>
      <c r="AI551">
        <f t="shared" si="255"/>
        <v>0.65575332753315585</v>
      </c>
      <c r="AJ551">
        <f t="shared" ca="1" si="256"/>
        <v>0.65792086852366749</v>
      </c>
      <c r="AK551">
        <f t="shared" ca="1" si="257"/>
        <v>0.67387797661688797</v>
      </c>
      <c r="AL551">
        <f t="shared" ca="1" si="258"/>
        <v>0.70684918018421383</v>
      </c>
      <c r="AM551">
        <f t="shared" ca="1" si="259"/>
        <v>0.79070845923181898</v>
      </c>
      <c r="AN551">
        <f t="shared" ca="1" si="260"/>
        <v>0.87529443816292374</v>
      </c>
    </row>
    <row r="552" spans="2:40" x14ac:dyDescent="0.25">
      <c r="B552" s="1">
        <v>42545</v>
      </c>
      <c r="C552">
        <v>6.5419999999999998</v>
      </c>
      <c r="D552">
        <v>4.9130000000000003</v>
      </c>
      <c r="E552" t="s">
        <v>33</v>
      </c>
      <c r="G552">
        <v>13924.54</v>
      </c>
      <c r="I552" s="14">
        <f t="shared" si="245"/>
        <v>4.2217619882109148E-2</v>
      </c>
      <c r="J552" s="15">
        <f t="shared" si="246"/>
        <v>8.1205985915493217E-2</v>
      </c>
      <c r="K552" s="15"/>
      <c r="L552" s="15"/>
      <c r="M552" s="16">
        <f t="shared" si="247"/>
        <v>6.5106345872299354E-2</v>
      </c>
      <c r="O552" s="13">
        <f t="shared" si="261"/>
        <v>6.1711802898801182E-2</v>
      </c>
      <c r="Q552" s="5">
        <f t="shared" si="248"/>
        <v>673.66778826664847</v>
      </c>
      <c r="R552" s="6">
        <f t="shared" si="249"/>
        <v>861.51247610267944</v>
      </c>
      <c r="T552" s="11">
        <f t="shared" si="250"/>
        <v>0.78195941086563825</v>
      </c>
      <c r="V552" s="9">
        <v>42545</v>
      </c>
      <c r="W552">
        <v>26236</v>
      </c>
      <c r="X552">
        <v>32523.0785</v>
      </c>
      <c r="Y552" t="s">
        <v>33</v>
      </c>
      <c r="AC552" s="24">
        <f t="shared" si="251"/>
        <v>6.3444695619181771E-2</v>
      </c>
      <c r="AE552" s="5">
        <f t="shared" si="252"/>
        <v>564.05832228420991</v>
      </c>
      <c r="AF552" s="6">
        <f t="shared" si="253"/>
        <v>861.51247610267944</v>
      </c>
      <c r="AH552" s="1">
        <f t="shared" si="254"/>
        <v>42545</v>
      </c>
      <c r="AI552">
        <f t="shared" si="255"/>
        <v>0.65473030040830482</v>
      </c>
      <c r="AJ552">
        <f t="shared" ca="1" si="256"/>
        <v>0.65591692150795511</v>
      </c>
      <c r="AK552">
        <f t="shared" ca="1" si="257"/>
        <v>0.67162873220775066</v>
      </c>
      <c r="AL552">
        <f t="shared" ca="1" si="258"/>
        <v>0.70684918018421383</v>
      </c>
      <c r="AM552">
        <f t="shared" ca="1" si="259"/>
        <v>0.79070845923181898</v>
      </c>
      <c r="AN552">
        <f t="shared" ca="1" si="260"/>
        <v>0.87529443816292374</v>
      </c>
    </row>
    <row r="553" spans="2:40" x14ac:dyDescent="0.25">
      <c r="B553" s="1">
        <v>42552</v>
      </c>
      <c r="C553">
        <v>6.8979999999999997</v>
      </c>
      <c r="D553">
        <v>5.3019999999999996</v>
      </c>
      <c r="E553" t="s">
        <v>33</v>
      </c>
      <c r="G553">
        <v>15111.69</v>
      </c>
      <c r="I553" s="14">
        <f t="shared" si="245"/>
        <v>5.4417609293794023E-2</v>
      </c>
      <c r="J553" s="15">
        <f t="shared" si="246"/>
        <v>7.9177691837980735E-2</v>
      </c>
      <c r="K553" s="15"/>
      <c r="L553" s="15"/>
      <c r="M553" s="16">
        <f t="shared" si="247"/>
        <v>8.5255958186051251E-2</v>
      </c>
      <c r="O553" s="13">
        <f t="shared" si="261"/>
        <v>6.6797650565887379E-2</v>
      </c>
      <c r="Q553" s="5">
        <f t="shared" si="248"/>
        <v>718.66721378477826</v>
      </c>
      <c r="R553" s="6">
        <f t="shared" si="249"/>
        <v>934.96154774205093</v>
      </c>
      <c r="T553" s="11">
        <f t="shared" si="250"/>
        <v>0.76865964757628014</v>
      </c>
      <c r="V553" s="9">
        <v>42552</v>
      </c>
      <c r="W553">
        <v>27664</v>
      </c>
      <c r="X553">
        <v>35097.822200000002</v>
      </c>
      <c r="Y553" t="s">
        <v>33</v>
      </c>
      <c r="AC553" s="24">
        <f t="shared" si="251"/>
        <v>6.8122284874284345E-2</v>
      </c>
      <c r="AE553" s="5">
        <f t="shared" si="252"/>
        <v>602.48326400056578</v>
      </c>
      <c r="AF553" s="6">
        <f t="shared" si="253"/>
        <v>934.96154774205093</v>
      </c>
      <c r="AH553" s="1">
        <f t="shared" si="254"/>
        <v>42552</v>
      </c>
      <c r="AI553">
        <f t="shared" si="255"/>
        <v>0.64439362822521828</v>
      </c>
      <c r="AJ553">
        <f t="shared" ca="1" si="256"/>
        <v>0.65483260312078995</v>
      </c>
      <c r="AK553">
        <f t="shared" ca="1" si="257"/>
        <v>0.67162873220775066</v>
      </c>
      <c r="AL553">
        <f t="shared" ca="1" si="258"/>
        <v>0.70684918018421383</v>
      </c>
      <c r="AM553">
        <f t="shared" ca="1" si="259"/>
        <v>0.79070845923181898</v>
      </c>
      <c r="AN553">
        <f t="shared" ca="1" si="260"/>
        <v>0.87529443816292374</v>
      </c>
    </row>
    <row r="554" spans="2:40" x14ac:dyDescent="0.25">
      <c r="B554" s="1">
        <v>42559</v>
      </c>
      <c r="C554">
        <v>7.0869999999999997</v>
      </c>
      <c r="D554">
        <v>5.2469999999999999</v>
      </c>
      <c r="E554" t="s">
        <v>33</v>
      </c>
      <c r="G554">
        <v>14689.61</v>
      </c>
      <c r="I554" s="14">
        <f t="shared" si="245"/>
        <v>2.73992461583068E-2</v>
      </c>
      <c r="J554" s="15">
        <f t="shared" si="246"/>
        <v>-1.0373443983402453E-2</v>
      </c>
      <c r="K554" s="15"/>
      <c r="L554" s="15"/>
      <c r="M554" s="16">
        <f t="shared" si="247"/>
        <v>-2.7930694713827475E-2</v>
      </c>
      <c r="O554" s="13">
        <f t="shared" si="261"/>
        <v>8.5129010874521738E-3</v>
      </c>
      <c r="Q554" s="5">
        <f t="shared" si="248"/>
        <v>724.78515669052297</v>
      </c>
      <c r="R554" s="6">
        <f t="shared" si="249"/>
        <v>908.84742218290012</v>
      </c>
      <c r="T554" s="11">
        <f t="shared" si="250"/>
        <v>0.79747726516042672</v>
      </c>
      <c r="V554" s="9">
        <v>42559</v>
      </c>
      <c r="W554">
        <v>28420</v>
      </c>
      <c r="X554">
        <v>34736.454700000002</v>
      </c>
      <c r="Y554" t="s">
        <v>33</v>
      </c>
      <c r="AC554" s="24">
        <f t="shared" si="251"/>
        <v>6.2759084963642147E-3</v>
      </c>
      <c r="AE554" s="5">
        <f t="shared" si="252"/>
        <v>606.26439383602417</v>
      </c>
      <c r="AF554" s="6">
        <f t="shared" si="253"/>
        <v>908.84742218290012</v>
      </c>
      <c r="AH554" s="1">
        <f t="shared" si="254"/>
        <v>42559</v>
      </c>
      <c r="AI554">
        <f t="shared" si="255"/>
        <v>0.66706949817811889</v>
      </c>
      <c r="AJ554">
        <f t="shared" ca="1" si="256"/>
        <v>0.65287596843337348</v>
      </c>
      <c r="AK554">
        <f t="shared" ca="1" si="257"/>
        <v>0.66771033438264715</v>
      </c>
      <c r="AL554">
        <f t="shared" ca="1" si="258"/>
        <v>0.70684918018421383</v>
      </c>
      <c r="AM554">
        <f t="shared" ca="1" si="259"/>
        <v>0.79070845923181898</v>
      </c>
      <c r="AN554">
        <f t="shared" ca="1" si="260"/>
        <v>0.87529443816292374</v>
      </c>
    </row>
    <row r="555" spans="2:40" x14ac:dyDescent="0.25">
      <c r="B555" s="1">
        <v>42566</v>
      </c>
      <c r="C555">
        <v>6.6680000000000001</v>
      </c>
      <c r="D555">
        <v>5.1449999999999996</v>
      </c>
      <c r="E555" t="s">
        <v>33</v>
      </c>
      <c r="G555">
        <v>15643.26</v>
      </c>
      <c r="I555" s="14">
        <f t="shared" si="245"/>
        <v>-5.9122336672781106E-2</v>
      </c>
      <c r="J555" s="15">
        <f t="shared" si="246"/>
        <v>-1.9439679817038313E-2</v>
      </c>
      <c r="K555" s="15"/>
      <c r="L555" s="15"/>
      <c r="M555" s="16">
        <f t="shared" si="247"/>
        <v>6.4920035317479474E-2</v>
      </c>
      <c r="O555" s="13">
        <f t="shared" si="261"/>
        <v>-3.928100824490971E-2</v>
      </c>
      <c r="Q555" s="5">
        <f t="shared" si="248"/>
        <v>696.31486497477431</v>
      </c>
      <c r="R555" s="6">
        <f t="shared" si="249"/>
        <v>967.84982892921414</v>
      </c>
      <c r="T555" s="11">
        <f t="shared" si="250"/>
        <v>0.71944514961080896</v>
      </c>
      <c r="V555" s="9">
        <v>42566</v>
      </c>
      <c r="W555">
        <v>26740</v>
      </c>
      <c r="X555">
        <v>34058.890599999999</v>
      </c>
      <c r="Y555" t="s">
        <v>33</v>
      </c>
      <c r="AC555" s="24">
        <f t="shared" si="251"/>
        <v>-3.7296621173187779E-2</v>
      </c>
      <c r="AE555" s="5">
        <f t="shared" si="252"/>
        <v>583.6527804083297</v>
      </c>
      <c r="AF555" s="6">
        <f t="shared" si="253"/>
        <v>967.84982892921414</v>
      </c>
      <c r="AH555" s="1">
        <f t="shared" si="254"/>
        <v>42566</v>
      </c>
      <c r="AI555">
        <f t="shared" si="255"/>
        <v>0.60304064015184777</v>
      </c>
      <c r="AJ555">
        <f t="shared" ca="1" si="256"/>
        <v>0.65287596843337348</v>
      </c>
      <c r="AK555">
        <f t="shared" ca="1" si="257"/>
        <v>0.66705218459351823</v>
      </c>
      <c r="AL555">
        <f t="shared" ca="1" si="258"/>
        <v>0.70684918018421383</v>
      </c>
      <c r="AM555">
        <f t="shared" ca="1" si="259"/>
        <v>0.79070845923181898</v>
      </c>
      <c r="AN555">
        <f t="shared" ca="1" si="260"/>
        <v>0.87529443816292374</v>
      </c>
    </row>
    <row r="556" spans="2:40" x14ac:dyDescent="0.25">
      <c r="B556" s="1">
        <v>42573</v>
      </c>
      <c r="C556">
        <v>7.3310000000000004</v>
      </c>
      <c r="D556">
        <v>5.7649999999999997</v>
      </c>
      <c r="E556" t="s">
        <v>33</v>
      </c>
      <c r="G556">
        <v>15846.54</v>
      </c>
      <c r="I556" s="14">
        <f t="shared" si="245"/>
        <v>9.9430113977204693E-2</v>
      </c>
      <c r="J556" s="15">
        <f t="shared" si="246"/>
        <v>0.12050534499514098</v>
      </c>
      <c r="K556" s="15"/>
      <c r="L556" s="15"/>
      <c r="M556" s="16">
        <f t="shared" si="247"/>
        <v>1.2994733834251981E-2</v>
      </c>
      <c r="O556" s="13">
        <f t="shared" si="261"/>
        <v>0.10996772948617284</v>
      </c>
      <c r="Q556" s="5">
        <f t="shared" si="248"/>
        <v>772.88702968352129</v>
      </c>
      <c r="R556" s="6">
        <f t="shared" si="249"/>
        <v>980.42677984767556</v>
      </c>
      <c r="T556" s="11">
        <f t="shared" si="250"/>
        <v>0.78831693051428198</v>
      </c>
      <c r="V556" s="9">
        <v>42573</v>
      </c>
      <c r="W556">
        <v>29400</v>
      </c>
      <c r="X556">
        <v>38169.446300000003</v>
      </c>
      <c r="Y556" t="s">
        <v>33</v>
      </c>
      <c r="AC556" s="24">
        <f t="shared" si="251"/>
        <v>0.11123623380152955</v>
      </c>
      <c r="AE556" s="5">
        <f t="shared" si="252"/>
        <v>648.57611754874347</v>
      </c>
      <c r="AF556" s="6">
        <f t="shared" si="253"/>
        <v>980.42677984767556</v>
      </c>
      <c r="AH556" s="1">
        <f t="shared" si="254"/>
        <v>42573</v>
      </c>
      <c r="AI556">
        <f t="shared" si="255"/>
        <v>0.66152427787571222</v>
      </c>
      <c r="AJ556">
        <f t="shared" ca="1" si="256"/>
        <v>0.64924499514389034</v>
      </c>
      <c r="AK556">
        <f t="shared" ca="1" si="257"/>
        <v>0.66698575954922767</v>
      </c>
      <c r="AL556">
        <f t="shared" ca="1" si="258"/>
        <v>0.70589014277945239</v>
      </c>
      <c r="AM556">
        <f t="shared" ca="1" si="259"/>
        <v>0.79070845923181898</v>
      </c>
      <c r="AN556">
        <f t="shared" ca="1" si="260"/>
        <v>0.87529443816292374</v>
      </c>
    </row>
    <row r="557" spans="2:40" x14ac:dyDescent="0.25">
      <c r="B557" s="1">
        <v>42580</v>
      </c>
      <c r="C557">
        <v>7.1210000000000004</v>
      </c>
      <c r="D557">
        <v>5.5540000000000003</v>
      </c>
      <c r="E557" t="s">
        <v>33</v>
      </c>
      <c r="G557">
        <v>15803.5</v>
      </c>
      <c r="I557" s="14">
        <f t="shared" si="245"/>
        <v>-2.8645478106670286E-2</v>
      </c>
      <c r="J557" s="15">
        <f t="shared" si="246"/>
        <v>-3.6600173460537677E-2</v>
      </c>
      <c r="K557" s="15"/>
      <c r="L557" s="15"/>
      <c r="M557" s="16">
        <f t="shared" si="247"/>
        <v>-2.716050317608798E-3</v>
      </c>
      <c r="O557" s="13">
        <f t="shared" si="261"/>
        <v>-3.2622825783603981E-2</v>
      </c>
      <c r="Q557" s="5">
        <f t="shared" si="248"/>
        <v>747.67327076374863</v>
      </c>
      <c r="R557" s="6">
        <f t="shared" si="249"/>
        <v>977.76389138087814</v>
      </c>
      <c r="T557" s="11">
        <f t="shared" si="250"/>
        <v>0.76467670503542862</v>
      </c>
      <c r="V557" s="9">
        <v>42580</v>
      </c>
      <c r="W557">
        <v>28560</v>
      </c>
      <c r="X557">
        <v>36769.147100000002</v>
      </c>
      <c r="Y557" t="s">
        <v>33</v>
      </c>
      <c r="AC557" s="24">
        <f t="shared" si="251"/>
        <v>-3.3139022656291678E-2</v>
      </c>
      <c r="AE557" s="5">
        <f t="shared" si="252"/>
        <v>627.08293889496599</v>
      </c>
      <c r="AF557" s="6">
        <f t="shared" si="253"/>
        <v>977.76389138087814</v>
      </c>
      <c r="AH557" s="1">
        <f t="shared" si="254"/>
        <v>42580</v>
      </c>
      <c r="AI557">
        <f t="shared" si="255"/>
        <v>0.64134393223434361</v>
      </c>
      <c r="AJ557">
        <f t="shared" ca="1" si="256"/>
        <v>0.64924499514389034</v>
      </c>
      <c r="AK557">
        <f t="shared" ca="1" si="257"/>
        <v>0.66693029245082291</v>
      </c>
      <c r="AL557">
        <f t="shared" ca="1" si="258"/>
        <v>0.70323330836886488</v>
      </c>
      <c r="AM557">
        <f t="shared" ca="1" si="259"/>
        <v>0.79070845923181898</v>
      </c>
      <c r="AN557">
        <f t="shared" ca="1" si="260"/>
        <v>0.87529443816292374</v>
      </c>
    </row>
    <row r="558" spans="2:40" x14ac:dyDescent="0.25">
      <c r="B558" s="1">
        <v>42587</v>
      </c>
      <c r="C558">
        <v>6.6890000000000001</v>
      </c>
      <c r="D558">
        <v>5.3559999999999999</v>
      </c>
      <c r="E558" t="s">
        <v>33</v>
      </c>
      <c r="G558">
        <v>15394.31</v>
      </c>
      <c r="I558" s="14">
        <f t="shared" si="245"/>
        <v>-6.0665636848757254E-2</v>
      </c>
      <c r="J558" s="15">
        <f t="shared" si="246"/>
        <v>-3.5649981994958613E-2</v>
      </c>
      <c r="K558" s="15"/>
      <c r="L558" s="15"/>
      <c r="M558" s="16">
        <f t="shared" si="247"/>
        <v>-2.5892365615211799E-2</v>
      </c>
      <c r="O558" s="13">
        <f t="shared" si="261"/>
        <v>-4.8157809421857933E-2</v>
      </c>
      <c r="Q558" s="5">
        <f t="shared" si="248"/>
        <v>711.66696388049081</v>
      </c>
      <c r="R558" s="6">
        <f t="shared" si="249"/>
        <v>952.44727121989217</v>
      </c>
      <c r="T558" s="11">
        <f t="shared" si="250"/>
        <v>0.747198281085933</v>
      </c>
      <c r="V558" s="9">
        <v>42587</v>
      </c>
      <c r="W558">
        <v>26824</v>
      </c>
      <c r="X558">
        <v>35459.1898</v>
      </c>
      <c r="Y558" t="s">
        <v>33</v>
      </c>
      <c r="AC558" s="24">
        <f t="shared" si="251"/>
        <v>-4.658609756265273E-2</v>
      </c>
      <c r="AE558" s="5">
        <f t="shared" si="252"/>
        <v>597.86959192373013</v>
      </c>
      <c r="AF558" s="6">
        <f t="shared" si="253"/>
        <v>952.44727121989217</v>
      </c>
      <c r="AH558" s="1">
        <f t="shared" si="254"/>
        <v>42587</v>
      </c>
      <c r="AI558">
        <f t="shared" si="255"/>
        <v>0.62771936041979548</v>
      </c>
      <c r="AJ558">
        <f t="shared" ca="1" si="256"/>
        <v>0.64484071006815902</v>
      </c>
      <c r="AK558">
        <f t="shared" ca="1" si="257"/>
        <v>0.66584700725409007</v>
      </c>
      <c r="AL558">
        <f t="shared" ca="1" si="258"/>
        <v>0.69570083350233247</v>
      </c>
      <c r="AM558">
        <f t="shared" ca="1" si="259"/>
        <v>0.79070845923181898</v>
      </c>
      <c r="AN558">
        <f t="shared" ca="1" si="260"/>
        <v>0.87529443816292374</v>
      </c>
    </row>
    <row r="559" spans="2:40" x14ac:dyDescent="0.25">
      <c r="B559" s="1">
        <v>42594</v>
      </c>
      <c r="C559">
        <v>6.633</v>
      </c>
      <c r="D559">
        <v>5.1509999999999998</v>
      </c>
      <c r="E559" t="s">
        <v>33</v>
      </c>
      <c r="G559">
        <v>15165.61</v>
      </c>
      <c r="I559" s="14">
        <f t="shared" si="245"/>
        <v>-8.371953954253275E-3</v>
      </c>
      <c r="J559" s="15">
        <f t="shared" si="246"/>
        <v>-3.8274831964152378E-2</v>
      </c>
      <c r="K559" s="15"/>
      <c r="L559" s="15"/>
      <c r="M559" s="16">
        <f t="shared" si="247"/>
        <v>-1.4856138404384378E-2</v>
      </c>
      <c r="O559" s="13">
        <f t="shared" si="261"/>
        <v>-2.3323392959202827E-2</v>
      </c>
      <c r="Q559" s="5">
        <f t="shared" si="248"/>
        <v>695.06847562582334</v>
      </c>
      <c r="R559" s="6">
        <f t="shared" si="249"/>
        <v>938.29758273577124</v>
      </c>
      <c r="T559" s="11">
        <f t="shared" si="250"/>
        <v>0.74077615504372207</v>
      </c>
      <c r="V559" s="9">
        <v>42594</v>
      </c>
      <c r="W559">
        <v>26600</v>
      </c>
      <c r="X559">
        <v>34104.061500000003</v>
      </c>
      <c r="Y559" t="s">
        <v>33</v>
      </c>
      <c r="AC559" s="24">
        <f t="shared" si="251"/>
        <v>-2.5396320084570809E-2</v>
      </c>
      <c r="AE559" s="5">
        <f t="shared" si="252"/>
        <v>582.6859043984033</v>
      </c>
      <c r="AF559" s="6">
        <f t="shared" si="253"/>
        <v>938.29758273577124</v>
      </c>
      <c r="AH559" s="1">
        <f t="shared" si="254"/>
        <v>42594</v>
      </c>
      <c r="AI559">
        <f t="shared" si="255"/>
        <v>0.62100330973834572</v>
      </c>
      <c r="AJ559">
        <f t="shared" ca="1" si="256"/>
        <v>0.64164890183343104</v>
      </c>
      <c r="AK559">
        <f t="shared" ca="1" si="257"/>
        <v>0.66241002924868109</v>
      </c>
      <c r="AL559">
        <f t="shared" ca="1" si="258"/>
        <v>0.69570083350233247</v>
      </c>
      <c r="AM559">
        <f t="shared" ca="1" si="259"/>
        <v>0.79070845923181898</v>
      </c>
      <c r="AN559">
        <f t="shared" ca="1" si="260"/>
        <v>0.87529443816292374</v>
      </c>
    </row>
    <row r="560" spans="2:40" x14ac:dyDescent="0.25">
      <c r="B560" s="1">
        <v>42601</v>
      </c>
      <c r="C560">
        <v>6.5279999999999996</v>
      </c>
      <c r="D560">
        <v>5.226</v>
      </c>
      <c r="E560" t="s">
        <v>33</v>
      </c>
      <c r="G560">
        <v>15598.22</v>
      </c>
      <c r="I560" s="14">
        <f t="shared" si="245"/>
        <v>-1.582994120307557E-2</v>
      </c>
      <c r="J560" s="15">
        <f t="shared" si="246"/>
        <v>1.4560279557367606E-2</v>
      </c>
      <c r="K560" s="15"/>
      <c r="L560" s="15"/>
      <c r="M560" s="16">
        <f t="shared" si="247"/>
        <v>2.8525723660307589E-2</v>
      </c>
      <c r="O560" s="13">
        <f t="shared" si="261"/>
        <v>-6.3483082285398229E-4</v>
      </c>
      <c r="Q560" s="5">
        <f t="shared" si="248"/>
        <v>694.62722473350198</v>
      </c>
      <c r="R560" s="6">
        <f t="shared" si="249"/>
        <v>965.06320029202641</v>
      </c>
      <c r="T560" s="11">
        <f t="shared" si="250"/>
        <v>0.71977381846423016</v>
      </c>
      <c r="V560" s="9">
        <v>42601</v>
      </c>
      <c r="W560">
        <v>26180</v>
      </c>
      <c r="X560">
        <v>34600.941899999998</v>
      </c>
      <c r="Y560" t="s">
        <v>33</v>
      </c>
      <c r="AC560" s="24">
        <f t="shared" si="251"/>
        <v>1.2435450217749837E-3</v>
      </c>
      <c r="AE560" s="5">
        <f t="shared" si="252"/>
        <v>583.41050055407641</v>
      </c>
      <c r="AF560" s="6">
        <f t="shared" si="253"/>
        <v>965.06320029202641</v>
      </c>
      <c r="AH560" s="1">
        <f t="shared" si="254"/>
        <v>42601</v>
      </c>
      <c r="AI560">
        <f t="shared" si="255"/>
        <v>0.60453087463861166</v>
      </c>
      <c r="AJ560">
        <f t="shared" ca="1" si="256"/>
        <v>0.63672644927394251</v>
      </c>
      <c r="AK560">
        <f t="shared" ca="1" si="257"/>
        <v>0.6604905252270713</v>
      </c>
      <c r="AL560">
        <f t="shared" ca="1" si="258"/>
        <v>0.69570083350233247</v>
      </c>
      <c r="AM560">
        <f t="shared" ca="1" si="259"/>
        <v>0.79070845923181898</v>
      </c>
      <c r="AN560">
        <f t="shared" ca="1" si="260"/>
        <v>0.87529443816292374</v>
      </c>
    </row>
    <row r="561" spans="2:40" x14ac:dyDescent="0.25">
      <c r="B561" s="1">
        <v>42608</v>
      </c>
      <c r="C561">
        <v>6.633</v>
      </c>
      <c r="D561">
        <v>5.1859999999999999</v>
      </c>
      <c r="E561" t="s">
        <v>33</v>
      </c>
      <c r="G561">
        <v>15764.02</v>
      </c>
      <c r="I561" s="14">
        <f t="shared" si="245"/>
        <v>1.6084558823529438E-2</v>
      </c>
      <c r="J561" s="15">
        <f t="shared" si="246"/>
        <v>-7.6540375047837728E-3</v>
      </c>
      <c r="K561" s="15"/>
      <c r="L561" s="15"/>
      <c r="M561" s="16">
        <f t="shared" si="247"/>
        <v>1.0629417972050748E-2</v>
      </c>
      <c r="O561" s="13">
        <f t="shared" si="261"/>
        <v>4.2152606593728326E-3</v>
      </c>
      <c r="Q561" s="5">
        <f t="shared" si="248"/>
        <v>697.55525954685049</v>
      </c>
      <c r="R561" s="6">
        <f t="shared" si="249"/>
        <v>975.32126041737524</v>
      </c>
      <c r="T561" s="11">
        <f t="shared" si="250"/>
        <v>0.7152056331145098</v>
      </c>
      <c r="V561" s="9">
        <v>42608</v>
      </c>
      <c r="W561">
        <v>26600</v>
      </c>
      <c r="X561">
        <v>34329.9162</v>
      </c>
      <c r="Y561" t="s">
        <v>33</v>
      </c>
      <c r="AC561" s="24">
        <f t="shared" si="251"/>
        <v>2.5708197028871055E-3</v>
      </c>
      <c r="AE561" s="5">
        <f t="shared" si="252"/>
        <v>584.91034376377206</v>
      </c>
      <c r="AF561" s="6">
        <f t="shared" si="253"/>
        <v>975.32126041737524</v>
      </c>
      <c r="AH561" s="1">
        <f t="shared" si="254"/>
        <v>42608</v>
      </c>
      <c r="AI561">
        <f t="shared" si="255"/>
        <v>0.59971044157641729</v>
      </c>
      <c r="AJ561">
        <f t="shared" ca="1" si="256"/>
        <v>0.62925665794126706</v>
      </c>
      <c r="AK561">
        <f t="shared" ca="1" si="257"/>
        <v>0.6569802823441504</v>
      </c>
      <c r="AL561">
        <f t="shared" ca="1" si="258"/>
        <v>0.69570083350233247</v>
      </c>
      <c r="AM561">
        <f t="shared" ca="1" si="259"/>
        <v>0.79070845923181898</v>
      </c>
      <c r="AN561">
        <f t="shared" ca="1" si="260"/>
        <v>0.87529443816292374</v>
      </c>
    </row>
    <row r="562" spans="2:40" x14ac:dyDescent="0.25">
      <c r="B562" s="1">
        <v>42615</v>
      </c>
      <c r="C562">
        <v>6.5979999999999999</v>
      </c>
      <c r="D562">
        <v>5.5679999999999996</v>
      </c>
      <c r="E562" t="s">
        <v>33</v>
      </c>
      <c r="G562">
        <v>15965.65</v>
      </c>
      <c r="I562" s="14">
        <f t="shared" si="245"/>
        <v>-5.2766470676918198E-3</v>
      </c>
      <c r="J562" s="15">
        <f t="shared" si="246"/>
        <v>7.3659853451600421E-2</v>
      </c>
      <c r="K562" s="15"/>
      <c r="L562" s="15"/>
      <c r="M562" s="16">
        <f t="shared" si="247"/>
        <v>1.2790519169602721E-2</v>
      </c>
      <c r="O562" s="13">
        <f t="shared" si="261"/>
        <v>3.4191603191954301E-2</v>
      </c>
      <c r="Q562" s="5">
        <f t="shared" si="248"/>
        <v>721.40579218573703</v>
      </c>
      <c r="R562" s="6">
        <f t="shared" si="249"/>
        <v>987.79612569526478</v>
      </c>
      <c r="T562" s="11">
        <f t="shared" si="250"/>
        <v>0.73031850745311666</v>
      </c>
      <c r="V562" s="9">
        <v>42615</v>
      </c>
      <c r="W562">
        <v>26460</v>
      </c>
      <c r="X562">
        <v>36859.489000000001</v>
      </c>
      <c r="Y562" t="s">
        <v>33</v>
      </c>
      <c r="AC562" s="24">
        <f t="shared" si="251"/>
        <v>3.919877021424692E-2</v>
      </c>
      <c r="AE562" s="5">
        <f t="shared" si="252"/>
        <v>607.8381099249043</v>
      </c>
      <c r="AF562" s="6">
        <f t="shared" si="253"/>
        <v>987.79612569526478</v>
      </c>
      <c r="AH562" s="1">
        <f t="shared" si="254"/>
        <v>42615</v>
      </c>
      <c r="AI562">
        <f t="shared" si="255"/>
        <v>0.61534773635306039</v>
      </c>
      <c r="AJ562">
        <f t="shared" ca="1" si="256"/>
        <v>0.62925665794126706</v>
      </c>
      <c r="AK562">
        <f t="shared" ca="1" si="257"/>
        <v>0.6569802823441504</v>
      </c>
      <c r="AL562">
        <f t="shared" ca="1" si="258"/>
        <v>0.69570083350233247</v>
      </c>
      <c r="AM562">
        <f t="shared" ca="1" si="259"/>
        <v>0.79070845923181898</v>
      </c>
      <c r="AN562">
        <f t="shared" ca="1" si="260"/>
        <v>0.87529443816292374</v>
      </c>
    </row>
    <row r="563" spans="2:40" x14ac:dyDescent="0.25">
      <c r="B563" s="1">
        <v>42622</v>
      </c>
      <c r="C563">
        <v>6.5490000000000004</v>
      </c>
      <c r="D563">
        <v>5.6559999999999997</v>
      </c>
      <c r="E563" t="s">
        <v>33</v>
      </c>
      <c r="G563">
        <v>15975.57</v>
      </c>
      <c r="I563" s="14">
        <f t="shared" si="245"/>
        <v>-7.4264928766292204E-3</v>
      </c>
      <c r="J563" s="15">
        <f t="shared" si="246"/>
        <v>1.5804597701149392E-2</v>
      </c>
      <c r="K563" s="15"/>
      <c r="L563" s="15"/>
      <c r="M563" s="16">
        <f t="shared" si="247"/>
        <v>6.2133392627305994E-4</v>
      </c>
      <c r="O563" s="13">
        <f t="shared" si="261"/>
        <v>4.1890524122600858E-3</v>
      </c>
      <c r="Q563" s="5">
        <f t="shared" si="248"/>
        <v>724.42779885971106</v>
      </c>
      <c r="R563" s="6">
        <f t="shared" si="249"/>
        <v>988.4098769404003</v>
      </c>
      <c r="T563" s="11">
        <f t="shared" si="250"/>
        <v>0.73292246036852693</v>
      </c>
      <c r="V563" s="9">
        <v>42622</v>
      </c>
      <c r="W563">
        <v>26264</v>
      </c>
      <c r="X563">
        <v>37446.711199999998</v>
      </c>
      <c r="Y563" t="s">
        <v>33</v>
      </c>
      <c r="AC563" s="24">
        <f t="shared" si="251"/>
        <v>6.0967705156201157E-3</v>
      </c>
      <c r="AE563" s="5">
        <f t="shared" si="252"/>
        <v>611.5439593917647</v>
      </c>
      <c r="AF563" s="6">
        <f t="shared" si="253"/>
        <v>988.4098769404003</v>
      </c>
      <c r="AH563" s="1">
        <f t="shared" si="254"/>
        <v>42622</v>
      </c>
      <c r="AI563">
        <f t="shared" si="255"/>
        <v>0.6187149417049379</v>
      </c>
      <c r="AJ563">
        <f t="shared" ca="1" si="256"/>
        <v>0.62856876393898353</v>
      </c>
      <c r="AK563">
        <f t="shared" ca="1" si="257"/>
        <v>0.6569802823441504</v>
      </c>
      <c r="AL563">
        <f t="shared" ca="1" si="258"/>
        <v>0.69570083350233247</v>
      </c>
      <c r="AM563">
        <f t="shared" ca="1" si="259"/>
        <v>0.79070845923181898</v>
      </c>
      <c r="AN563">
        <f t="shared" ca="1" si="260"/>
        <v>0.87529443816292374</v>
      </c>
    </row>
    <row r="564" spans="2:40" x14ac:dyDescent="0.25">
      <c r="B564" s="1">
        <v>42629</v>
      </c>
      <c r="C564">
        <v>6.4859999999999998</v>
      </c>
      <c r="D564">
        <v>5.4930000000000003</v>
      </c>
      <c r="E564" t="s">
        <v>33</v>
      </c>
      <c r="G564">
        <v>15828.16</v>
      </c>
      <c r="I564" s="14">
        <f t="shared" si="245"/>
        <v>-9.6197892808063123E-3</v>
      </c>
      <c r="J564" s="15">
        <f t="shared" si="246"/>
        <v>-2.8818953323903718E-2</v>
      </c>
      <c r="K564" s="15"/>
      <c r="L564" s="15"/>
      <c r="M564" s="16">
        <f t="shared" si="247"/>
        <v>-9.2272138020740302E-3</v>
      </c>
      <c r="O564" s="13">
        <f t="shared" si="261"/>
        <v>-1.9219371302355015E-2</v>
      </c>
      <c r="Q564" s="5">
        <f t="shared" si="248"/>
        <v>710.50475201167853</v>
      </c>
      <c r="R564" s="6">
        <f t="shared" si="249"/>
        <v>979.28960768178956</v>
      </c>
      <c r="T564" s="11">
        <f t="shared" si="250"/>
        <v>0.72553077908547559</v>
      </c>
      <c r="V564" s="9">
        <v>42629</v>
      </c>
      <c r="W564">
        <v>26012</v>
      </c>
      <c r="X564">
        <v>36362.6086</v>
      </c>
      <c r="Y564" t="s">
        <v>33</v>
      </c>
      <c r="AC564" s="24">
        <f t="shared" si="251"/>
        <v>-2.0904321154047948E-2</v>
      </c>
      <c r="AE564" s="5">
        <f t="shared" si="252"/>
        <v>598.76004806482115</v>
      </c>
      <c r="AF564" s="6">
        <f t="shared" si="253"/>
        <v>979.28960768178956</v>
      </c>
      <c r="AH564" s="1">
        <f t="shared" si="254"/>
        <v>42629</v>
      </c>
      <c r="AI564">
        <f t="shared" si="255"/>
        <v>0.61142285526977869</v>
      </c>
      <c r="AJ564">
        <f t="shared" ca="1" si="256"/>
        <v>0.62167491480649073</v>
      </c>
      <c r="AK564">
        <f t="shared" ca="1" si="257"/>
        <v>0.6569802823441504</v>
      </c>
      <c r="AL564">
        <f t="shared" ca="1" si="258"/>
        <v>0.69570083350233247</v>
      </c>
      <c r="AM564">
        <f t="shared" ca="1" si="259"/>
        <v>0.79070845923181898</v>
      </c>
      <c r="AN564">
        <f t="shared" ca="1" si="260"/>
        <v>0.87529443816292374</v>
      </c>
    </row>
    <row r="565" spans="2:40" x14ac:dyDescent="0.25">
      <c r="B565" s="1">
        <v>42636</v>
      </c>
      <c r="C565">
        <v>6.9749999999999996</v>
      </c>
      <c r="D565">
        <v>5.8879999999999999</v>
      </c>
      <c r="E565" t="s">
        <v>33</v>
      </c>
      <c r="G565">
        <v>16441.71</v>
      </c>
      <c r="I565" s="14">
        <f t="shared" si="245"/>
        <v>7.5393154486586456E-2</v>
      </c>
      <c r="J565" s="15">
        <f t="shared" si="246"/>
        <v>7.1909703258692836E-2</v>
      </c>
      <c r="K565" s="15"/>
      <c r="L565" s="15"/>
      <c r="M565" s="16">
        <f t="shared" si="247"/>
        <v>3.8763191678628406E-2</v>
      </c>
      <c r="O565" s="13">
        <f t="shared" si="261"/>
        <v>7.3651428872639646E-2</v>
      </c>
      <c r="Q565" s="5">
        <f t="shared" si="248"/>
        <v>762.83444221813909</v>
      </c>
      <c r="R565" s="6">
        <f t="shared" si="249"/>
        <v>1017.2499984532476</v>
      </c>
      <c r="T565" s="11">
        <f t="shared" si="250"/>
        <v>0.74989869095900386</v>
      </c>
      <c r="V565" s="9">
        <v>42636</v>
      </c>
      <c r="W565">
        <v>27972</v>
      </c>
      <c r="X565">
        <v>38982.523300000001</v>
      </c>
      <c r="Y565" t="s">
        <v>33</v>
      </c>
      <c r="AC565" s="24">
        <f t="shared" si="251"/>
        <v>7.3362402287572487E-2</v>
      </c>
      <c r="AE565" s="5">
        <f t="shared" si="252"/>
        <v>642.68652358467887</v>
      </c>
      <c r="AF565" s="6">
        <f t="shared" si="253"/>
        <v>1017.2499984532476</v>
      </c>
      <c r="AH565" s="1">
        <f t="shared" si="254"/>
        <v>42636</v>
      </c>
      <c r="AI565">
        <f t="shared" si="255"/>
        <v>0.6317881784830659</v>
      </c>
      <c r="AJ565">
        <f t="shared" ca="1" si="256"/>
        <v>0.61894377850827864</v>
      </c>
      <c r="AK565">
        <f t="shared" ca="1" si="257"/>
        <v>0.6569802823441504</v>
      </c>
      <c r="AL565">
        <f t="shared" ca="1" si="258"/>
        <v>0.69570083350233247</v>
      </c>
      <c r="AM565">
        <f t="shared" ca="1" si="259"/>
        <v>0.79070845923181898</v>
      </c>
      <c r="AN565">
        <f t="shared" ca="1" si="260"/>
        <v>0.87529443816292374</v>
      </c>
    </row>
    <row r="566" spans="2:40" x14ac:dyDescent="0.25">
      <c r="B566" s="1">
        <v>42643</v>
      </c>
      <c r="C566">
        <v>7.4009999999999998</v>
      </c>
      <c r="D566">
        <v>6.202</v>
      </c>
      <c r="E566" t="s">
        <v>33</v>
      </c>
      <c r="G566">
        <v>16675.68</v>
      </c>
      <c r="I566" s="14">
        <f t="shared" si="245"/>
        <v>6.1075268817204265E-2</v>
      </c>
      <c r="J566" s="15">
        <f t="shared" si="246"/>
        <v>5.3328804347826164E-2</v>
      </c>
      <c r="K566" s="15"/>
      <c r="L566" s="15"/>
      <c r="M566" s="16">
        <f t="shared" si="247"/>
        <v>1.4230271668822736E-2</v>
      </c>
      <c r="O566" s="13">
        <f t="shared" si="261"/>
        <v>5.7202036582515214E-2</v>
      </c>
      <c r="Q566" s="5">
        <f t="shared" si="248"/>
        <v>806.47012588830364</v>
      </c>
      <c r="R566" s="6">
        <f t="shared" si="249"/>
        <v>1031.7257422863468</v>
      </c>
      <c r="T566" s="11">
        <f t="shared" si="250"/>
        <v>0.78167103216900702</v>
      </c>
      <c r="V566" s="9">
        <v>42643</v>
      </c>
      <c r="W566">
        <v>29680</v>
      </c>
      <c r="X566">
        <v>41060.386599999998</v>
      </c>
      <c r="Y566" t="s">
        <v>33</v>
      </c>
      <c r="AC566" s="24">
        <f t="shared" si="251"/>
        <v>5.6565092106407582E-2</v>
      </c>
      <c r="AE566" s="5">
        <f t="shared" si="252"/>
        <v>679.04014598679316</v>
      </c>
      <c r="AF566" s="6">
        <f t="shared" si="253"/>
        <v>1031.7257422863468</v>
      </c>
      <c r="AH566" s="1">
        <f t="shared" si="254"/>
        <v>42643</v>
      </c>
      <c r="AI566">
        <f t="shared" si="255"/>
        <v>0.65815954585179992</v>
      </c>
      <c r="AJ566">
        <f t="shared" ca="1" si="256"/>
        <v>0.61894377850827864</v>
      </c>
      <c r="AK566">
        <f t="shared" ca="1" si="257"/>
        <v>0.65549757075194304</v>
      </c>
      <c r="AL566">
        <f t="shared" ca="1" si="258"/>
        <v>0.6896621303557513</v>
      </c>
      <c r="AM566">
        <f t="shared" ca="1" si="259"/>
        <v>0.79070845923181898</v>
      </c>
      <c r="AN566">
        <f t="shared" ca="1" si="260"/>
        <v>0.87529443816292374</v>
      </c>
    </row>
    <row r="567" spans="2:40" x14ac:dyDescent="0.25">
      <c r="B567" s="1">
        <v>42650</v>
      </c>
      <c r="C567">
        <v>7.82</v>
      </c>
      <c r="D567">
        <v>6.2770000000000001</v>
      </c>
      <c r="E567" t="s">
        <v>33</v>
      </c>
      <c r="G567">
        <v>17136.22</v>
      </c>
      <c r="I567" s="14">
        <f t="shared" si="245"/>
        <v>5.6613971084988668E-2</v>
      </c>
      <c r="J567" s="15">
        <f t="shared" si="246"/>
        <v>1.2092873266688287E-2</v>
      </c>
      <c r="K567" s="15"/>
      <c r="L567" s="15"/>
      <c r="M567" s="16">
        <f t="shared" si="247"/>
        <v>2.761746447521185E-2</v>
      </c>
      <c r="O567" s="13">
        <f t="shared" si="261"/>
        <v>3.4353422175838477E-2</v>
      </c>
      <c r="Q567" s="5">
        <f t="shared" si="248"/>
        <v>834.17513459514623</v>
      </c>
      <c r="R567" s="6">
        <f t="shared" si="249"/>
        <v>1060.2193913221015</v>
      </c>
      <c r="T567" s="11">
        <f t="shared" si="250"/>
        <v>0.7867948289032175</v>
      </c>
      <c r="V567" s="9">
        <v>42650</v>
      </c>
      <c r="W567">
        <v>31360</v>
      </c>
      <c r="X567">
        <v>41557.267</v>
      </c>
      <c r="Y567" t="s">
        <v>33</v>
      </c>
      <c r="AC567" s="24">
        <f t="shared" si="251"/>
        <v>3.077224790339907E-2</v>
      </c>
      <c r="AE567" s="5">
        <f t="shared" si="252"/>
        <v>699.93573769545912</v>
      </c>
      <c r="AF567" s="6">
        <f t="shared" si="253"/>
        <v>1060.2193913221015</v>
      </c>
      <c r="AH567" s="1">
        <f t="shared" si="254"/>
        <v>42650</v>
      </c>
      <c r="AI567">
        <f t="shared" si="255"/>
        <v>0.6601800942563727</v>
      </c>
      <c r="AJ567">
        <f t="shared" ca="1" si="256"/>
        <v>0.61894377850827864</v>
      </c>
      <c r="AK567">
        <f t="shared" ca="1" si="257"/>
        <v>0.65549757075194304</v>
      </c>
      <c r="AL567">
        <f t="shared" ca="1" si="258"/>
        <v>0.68772936057476286</v>
      </c>
      <c r="AM567">
        <f t="shared" ca="1" si="259"/>
        <v>0.79070845923181898</v>
      </c>
      <c r="AN567">
        <f t="shared" ca="1" si="260"/>
        <v>0.87529443816292374</v>
      </c>
    </row>
    <row r="568" spans="2:40" x14ac:dyDescent="0.25">
      <c r="B568" s="1">
        <v>42657</v>
      </c>
      <c r="C568">
        <v>7.68</v>
      </c>
      <c r="D568">
        <v>6.2089999999999996</v>
      </c>
      <c r="E568" t="s">
        <v>33</v>
      </c>
      <c r="G568">
        <v>17414.89</v>
      </c>
      <c r="I568" s="14">
        <f t="shared" si="245"/>
        <v>-1.7902813299232823E-2</v>
      </c>
      <c r="J568" s="15">
        <f t="shared" si="246"/>
        <v>-1.0833200573522439E-2</v>
      </c>
      <c r="K568" s="15"/>
      <c r="L568" s="15"/>
      <c r="M568" s="16">
        <f t="shared" si="247"/>
        <v>1.6262046122190288E-2</v>
      </c>
      <c r="O568" s="13">
        <f t="shared" si="261"/>
        <v>-1.4368006936377631E-2</v>
      </c>
      <c r="Q568" s="5">
        <f t="shared" si="248"/>
        <v>822.18970047512948</v>
      </c>
      <c r="R568" s="6">
        <f t="shared" si="249"/>
        <v>1077.460727963422</v>
      </c>
      <c r="T568" s="11">
        <f t="shared" si="250"/>
        <v>0.76308089857641803</v>
      </c>
      <c r="V568" s="9">
        <v>42657</v>
      </c>
      <c r="W568">
        <v>30800</v>
      </c>
      <c r="X568">
        <v>41105.5576</v>
      </c>
      <c r="Y568" t="s">
        <v>33</v>
      </c>
      <c r="AC568" s="24">
        <f t="shared" si="251"/>
        <v>-1.3873674581939098E-2</v>
      </c>
      <c r="AE568" s="5">
        <f t="shared" si="252"/>
        <v>690.2250570424028</v>
      </c>
      <c r="AF568" s="6">
        <f t="shared" si="253"/>
        <v>1077.460727963422</v>
      </c>
      <c r="AH568" s="1">
        <f t="shared" si="254"/>
        <v>42657</v>
      </c>
      <c r="AI568">
        <f t="shared" si="255"/>
        <v>0.64060344765144406</v>
      </c>
      <c r="AJ568">
        <f t="shared" ca="1" si="256"/>
        <v>0.61894377850827864</v>
      </c>
      <c r="AK568">
        <f t="shared" ca="1" si="257"/>
        <v>0.65549757075194304</v>
      </c>
      <c r="AL568">
        <f t="shared" ca="1" si="258"/>
        <v>0.68772936057476286</v>
      </c>
      <c r="AM568">
        <f t="shared" ca="1" si="259"/>
        <v>0.79070845923181898</v>
      </c>
      <c r="AN568">
        <f t="shared" ca="1" si="260"/>
        <v>0.87529443816292374</v>
      </c>
    </row>
    <row r="569" spans="2:40" x14ac:dyDescent="0.25">
      <c r="B569" s="1">
        <v>42664</v>
      </c>
      <c r="C569">
        <v>7.7850000000000001</v>
      </c>
      <c r="D569">
        <v>6.6180000000000003</v>
      </c>
      <c r="E569" t="s">
        <v>33</v>
      </c>
      <c r="G569">
        <v>18257.28</v>
      </c>
      <c r="I569" s="14">
        <f t="shared" si="245"/>
        <v>1.3671875E-2</v>
      </c>
      <c r="J569" s="15">
        <f t="shared" si="246"/>
        <v>6.587212111451124E-2</v>
      </c>
      <c r="K569" s="15"/>
      <c r="L569" s="15"/>
      <c r="M569" s="16">
        <f t="shared" si="247"/>
        <v>4.8371824341124192E-2</v>
      </c>
      <c r="O569" s="13">
        <f t="shared" si="261"/>
        <v>3.977199805725562E-2</v>
      </c>
      <c r="Q569" s="5">
        <f t="shared" si="248"/>
        <v>854.88982764512184</v>
      </c>
      <c r="R569" s="6">
        <f t="shared" si="249"/>
        <v>1129.5794690309283</v>
      </c>
      <c r="T569" s="11">
        <f t="shared" si="250"/>
        <v>0.75682132252150081</v>
      </c>
      <c r="V569" s="9">
        <v>42664</v>
      </c>
      <c r="W569">
        <v>31220</v>
      </c>
      <c r="X569">
        <v>43815.814100000003</v>
      </c>
      <c r="Y569" t="s">
        <v>33</v>
      </c>
      <c r="AC569" s="24">
        <f t="shared" si="251"/>
        <v>4.351268696241524E-2</v>
      </c>
      <c r="AE569" s="5">
        <f t="shared" si="252"/>
        <v>720.258603883104</v>
      </c>
      <c r="AF569" s="6">
        <f t="shared" si="253"/>
        <v>1129.5794690309283</v>
      </c>
      <c r="AH569" s="1">
        <f t="shared" si="254"/>
        <v>42664</v>
      </c>
      <c r="AI569">
        <f t="shared" si="255"/>
        <v>0.63763429101718483</v>
      </c>
      <c r="AJ569">
        <f t="shared" ca="1" si="256"/>
        <v>0.61894377850827864</v>
      </c>
      <c r="AK569">
        <f t="shared" ca="1" si="257"/>
        <v>0.6532638369698851</v>
      </c>
      <c r="AL569">
        <f t="shared" ca="1" si="258"/>
        <v>0.68772936057476286</v>
      </c>
      <c r="AM569">
        <f t="shared" ca="1" si="259"/>
        <v>0.79070845923181898</v>
      </c>
      <c r="AN569">
        <f t="shared" ca="1" si="260"/>
        <v>0.87529443816292374</v>
      </c>
    </row>
    <row r="570" spans="2:40" x14ac:dyDescent="0.25">
      <c r="B570" s="1">
        <v>42671</v>
      </c>
      <c r="C570">
        <v>7.4009999999999998</v>
      </c>
      <c r="D570">
        <v>6.5359999999999996</v>
      </c>
      <c r="E570" t="s">
        <v>33</v>
      </c>
      <c r="G570">
        <v>17869.060000000001</v>
      </c>
      <c r="I570" s="14">
        <f t="shared" si="245"/>
        <v>-4.932562620423897E-2</v>
      </c>
      <c r="J570" s="15">
        <f t="shared" si="246"/>
        <v>-1.2390450287095955E-2</v>
      </c>
      <c r="K570" s="15"/>
      <c r="L570" s="15"/>
      <c r="M570" s="16">
        <f t="shared" si="247"/>
        <v>-2.1263846531356156E-2</v>
      </c>
      <c r="O570" s="13">
        <f t="shared" si="261"/>
        <v>-3.0858038245667463E-2</v>
      </c>
      <c r="Q570" s="5">
        <f t="shared" si="248"/>
        <v>828.50960464781656</v>
      </c>
      <c r="R570" s="6">
        <f t="shared" si="249"/>
        <v>1105.5602645564838</v>
      </c>
      <c r="T570" s="11">
        <f t="shared" si="250"/>
        <v>0.74940248054246839</v>
      </c>
      <c r="V570" s="9">
        <v>42671</v>
      </c>
      <c r="W570">
        <v>29680</v>
      </c>
      <c r="X570">
        <v>43273.762799999997</v>
      </c>
      <c r="Y570" t="s">
        <v>33</v>
      </c>
      <c r="AC570" s="24">
        <f t="shared" si="251"/>
        <v>-2.7757994518660505E-2</v>
      </c>
      <c r="AE570" s="5">
        <f t="shared" si="252"/>
        <v>700.26566950449876</v>
      </c>
      <c r="AF570" s="6">
        <f t="shared" si="253"/>
        <v>1105.5602645564838</v>
      </c>
      <c r="AH570" s="1">
        <f t="shared" si="254"/>
        <v>42671</v>
      </c>
      <c r="AI570">
        <f t="shared" si="255"/>
        <v>0.63340343530293519</v>
      </c>
      <c r="AJ570">
        <f t="shared" ca="1" si="256"/>
        <v>0.61894377850827864</v>
      </c>
      <c r="AK570">
        <f t="shared" ca="1" si="257"/>
        <v>0.647746742047274</v>
      </c>
      <c r="AL570">
        <f t="shared" ca="1" si="258"/>
        <v>0.68772936057476286</v>
      </c>
      <c r="AM570">
        <f t="shared" ca="1" si="259"/>
        <v>0.79070845923181898</v>
      </c>
      <c r="AN570">
        <f t="shared" ca="1" si="260"/>
        <v>0.87529443816292374</v>
      </c>
    </row>
    <row r="571" spans="2:40" x14ac:dyDescent="0.25">
      <c r="B571" s="1">
        <v>42678</v>
      </c>
      <c r="C571">
        <v>6.7030000000000003</v>
      </c>
      <c r="D571">
        <v>6.2359999999999998</v>
      </c>
      <c r="E571" t="s">
        <v>33</v>
      </c>
      <c r="G571">
        <v>16754.93</v>
      </c>
      <c r="I571" s="14">
        <f t="shared" si="245"/>
        <v>-9.4311579516281552E-2</v>
      </c>
      <c r="J571" s="15">
        <f t="shared" si="246"/>
        <v>-4.5899632802937518E-2</v>
      </c>
      <c r="K571" s="15"/>
      <c r="L571" s="15"/>
      <c r="M571" s="16">
        <f t="shared" si="247"/>
        <v>-6.2349670324012618E-2</v>
      </c>
      <c r="O571" s="13">
        <f t="shared" si="261"/>
        <v>-7.0105606159609535E-2</v>
      </c>
      <c r="Q571" s="5">
        <f t="shared" si="248"/>
        <v>770.42643660492297</v>
      </c>
      <c r="R571" s="6">
        <f t="shared" si="249"/>
        <v>1036.6289465380589</v>
      </c>
      <c r="T571" s="11">
        <f t="shared" si="250"/>
        <v>0.74320366914106561</v>
      </c>
      <c r="V571" s="9">
        <v>42678</v>
      </c>
      <c r="W571">
        <v>26880</v>
      </c>
      <c r="X571">
        <v>41286.241300000002</v>
      </c>
      <c r="Y571" t="s">
        <v>33</v>
      </c>
      <c r="AC571" s="24">
        <f t="shared" si="251"/>
        <v>-6.559521152711062E-2</v>
      </c>
      <c r="AE571" s="5">
        <f t="shared" si="252"/>
        <v>654.33159478817743</v>
      </c>
      <c r="AF571" s="6">
        <f t="shared" si="253"/>
        <v>1036.6289465380589</v>
      </c>
      <c r="AH571" s="1">
        <f t="shared" si="254"/>
        <v>42678</v>
      </c>
      <c r="AI571">
        <f t="shared" si="255"/>
        <v>0.631211000786147</v>
      </c>
      <c r="AJ571">
        <f t="shared" ca="1" si="256"/>
        <v>0.61894377850827864</v>
      </c>
      <c r="AK571">
        <f t="shared" ca="1" si="257"/>
        <v>0.64363120422749964</v>
      </c>
      <c r="AL571">
        <f t="shared" ca="1" si="258"/>
        <v>0.68481912220317742</v>
      </c>
      <c r="AM571">
        <f t="shared" ca="1" si="259"/>
        <v>0.79070845923181898</v>
      </c>
      <c r="AN571">
        <f t="shared" ca="1" si="260"/>
        <v>0.87529443816292374</v>
      </c>
    </row>
    <row r="572" spans="2:40" x14ac:dyDescent="0.25">
      <c r="B572" s="1">
        <v>42685</v>
      </c>
      <c r="C572">
        <v>6.5629999999999997</v>
      </c>
      <c r="D572">
        <v>5.5609999999999999</v>
      </c>
      <c r="E572" t="s">
        <v>33</v>
      </c>
      <c r="G572">
        <v>15659.74</v>
      </c>
      <c r="I572" s="14">
        <f t="shared" si="245"/>
        <v>-2.0886170371475554E-2</v>
      </c>
      <c r="J572" s="15">
        <f t="shared" si="246"/>
        <v>-0.10824246311738295</v>
      </c>
      <c r="K572" s="15"/>
      <c r="L572" s="15"/>
      <c r="M572" s="16">
        <f t="shared" si="247"/>
        <v>-6.5365238768529621E-2</v>
      </c>
      <c r="O572" s="13">
        <f t="shared" si="261"/>
        <v>-6.4564316744429251E-2</v>
      </c>
      <c r="Q572" s="5">
        <f t="shared" si="248"/>
        <v>720.68438012368085</v>
      </c>
      <c r="R572" s="6">
        <f t="shared" si="249"/>
        <v>968.86944793322937</v>
      </c>
      <c r="T572" s="11">
        <f t="shared" si="250"/>
        <v>0.74384054700148572</v>
      </c>
      <c r="V572" s="9">
        <v>42685</v>
      </c>
      <c r="W572">
        <v>26320</v>
      </c>
      <c r="X572">
        <v>36814.317999999999</v>
      </c>
      <c r="Y572" t="s">
        <v>33</v>
      </c>
      <c r="AC572" s="24">
        <f t="shared" si="251"/>
        <v>-7.3795248422416485E-2</v>
      </c>
      <c r="AE572" s="5">
        <f t="shared" si="252"/>
        <v>606.04503220014794</v>
      </c>
      <c r="AF572" s="6">
        <f t="shared" si="253"/>
        <v>968.86944793322937</v>
      </c>
      <c r="AH572" s="1">
        <f t="shared" si="254"/>
        <v>42685</v>
      </c>
      <c r="AI572">
        <f t="shared" si="255"/>
        <v>0.62551774492729606</v>
      </c>
      <c r="AJ572">
        <f t="shared" ca="1" si="256"/>
        <v>0.61894377850827864</v>
      </c>
      <c r="AK572">
        <f t="shared" ca="1" si="257"/>
        <v>0.64115881108861872</v>
      </c>
      <c r="AL572">
        <f t="shared" ca="1" si="258"/>
        <v>0.67970887372558852</v>
      </c>
      <c r="AM572">
        <f t="shared" ca="1" si="259"/>
        <v>0.78842783510271941</v>
      </c>
      <c r="AN572">
        <f t="shared" ca="1" si="260"/>
        <v>0.87529443816292374</v>
      </c>
    </row>
    <row r="573" spans="2:40" x14ac:dyDescent="0.25">
      <c r="B573" s="1">
        <v>42692</v>
      </c>
      <c r="C573">
        <v>6.9530000000000003</v>
      </c>
      <c r="D573">
        <v>5.875</v>
      </c>
      <c r="E573" t="s">
        <v>33</v>
      </c>
      <c r="G573">
        <v>16385.12</v>
      </c>
      <c r="I573" s="14">
        <f t="shared" si="245"/>
        <v>5.9424043882370992E-2</v>
      </c>
      <c r="J573" s="15">
        <f t="shared" si="246"/>
        <v>5.6464664628663952E-2</v>
      </c>
      <c r="K573" s="15"/>
      <c r="L573" s="15"/>
      <c r="M573" s="16">
        <f t="shared" si="247"/>
        <v>4.6321331005495514E-2</v>
      </c>
      <c r="O573" s="13">
        <f t="shared" si="261"/>
        <v>5.7944354255517472E-2</v>
      </c>
      <c r="Q573" s="5">
        <f t="shared" si="248"/>
        <v>762.44397115198535</v>
      </c>
      <c r="R573" s="6">
        <f t="shared" si="249"/>
        <v>1013.7487703320562</v>
      </c>
      <c r="T573" s="11">
        <f t="shared" si="250"/>
        <v>0.75210347323256899</v>
      </c>
      <c r="V573" s="9">
        <v>42692</v>
      </c>
      <c r="W573">
        <v>27216</v>
      </c>
      <c r="X573">
        <v>38892.181400000001</v>
      </c>
      <c r="Y573" t="s">
        <v>33</v>
      </c>
      <c r="AC573" s="24">
        <f t="shared" si="251"/>
        <v>5.7698397159956512E-2</v>
      </c>
      <c r="AE573" s="5">
        <f t="shared" si="252"/>
        <v>641.01285916485074</v>
      </c>
      <c r="AF573" s="6">
        <f t="shared" si="253"/>
        <v>1013.7487703320562</v>
      </c>
      <c r="AH573" s="1">
        <f t="shared" si="254"/>
        <v>42692</v>
      </c>
      <c r="AI573">
        <f t="shared" si="255"/>
        <v>0.63231924706047749</v>
      </c>
      <c r="AJ573">
        <f t="shared" ca="1" si="256"/>
        <v>0.61894377850827864</v>
      </c>
      <c r="AK573">
        <f t="shared" ca="1" si="257"/>
        <v>0.63986115849287928</v>
      </c>
      <c r="AL573">
        <f t="shared" ca="1" si="258"/>
        <v>0.67184580946173378</v>
      </c>
      <c r="AM573">
        <f t="shared" ca="1" si="259"/>
        <v>0.77001629561813778</v>
      </c>
      <c r="AN573">
        <f t="shared" ca="1" si="260"/>
        <v>0.87529443816292374</v>
      </c>
    </row>
    <row r="574" spans="2:40" x14ac:dyDescent="0.25">
      <c r="B574" s="1">
        <v>42699</v>
      </c>
      <c r="C574">
        <v>7.5110000000000001</v>
      </c>
      <c r="D574">
        <v>6.6050000000000004</v>
      </c>
      <c r="E574" t="s">
        <v>33</v>
      </c>
      <c r="G574">
        <v>17168.64</v>
      </c>
      <c r="I574" s="14">
        <f t="shared" si="245"/>
        <v>8.0253128146123842E-2</v>
      </c>
      <c r="J574" s="15">
        <f t="shared" si="246"/>
        <v>0.12425531914893617</v>
      </c>
      <c r="K574" s="15"/>
      <c r="L574" s="15"/>
      <c r="M574" s="16">
        <f t="shared" si="247"/>
        <v>4.7818996748269171E-2</v>
      </c>
      <c r="O574" s="13">
        <f t="shared" si="261"/>
        <v>0.10225422364753001</v>
      </c>
      <c r="Q574" s="5">
        <f t="shared" si="248"/>
        <v>840.40708749687144</v>
      </c>
      <c r="R574" s="6">
        <f t="shared" si="249"/>
        <v>1062.2252194841267</v>
      </c>
      <c r="T574" s="11">
        <f t="shared" si="250"/>
        <v>0.79117598799341071</v>
      </c>
      <c r="V574" s="9">
        <v>42699</v>
      </c>
      <c r="W574">
        <v>29400</v>
      </c>
      <c r="X574">
        <v>43725.472199999997</v>
      </c>
      <c r="Y574" t="s">
        <v>33</v>
      </c>
      <c r="AC574" s="24">
        <f t="shared" si="251"/>
        <v>0.1061401085203688</v>
      </c>
      <c r="AE574" s="5">
        <f t="shared" si="252"/>
        <v>709.05003359955992</v>
      </c>
      <c r="AF574" s="6">
        <f t="shared" si="253"/>
        <v>1062.2252194841267</v>
      </c>
      <c r="AH574" s="1">
        <f t="shared" si="254"/>
        <v>42699</v>
      </c>
      <c r="AI574">
        <f t="shared" si="255"/>
        <v>0.66751383849077928</v>
      </c>
      <c r="AJ574">
        <f t="shared" ca="1" si="256"/>
        <v>0.61894377850827864</v>
      </c>
      <c r="AK574">
        <f t="shared" ca="1" si="257"/>
        <v>0.63657657708862248</v>
      </c>
      <c r="AL574">
        <f t="shared" ca="1" si="258"/>
        <v>0.66750826470420477</v>
      </c>
      <c r="AM574">
        <f t="shared" ca="1" si="259"/>
        <v>0.76337922388446633</v>
      </c>
      <c r="AN574">
        <f t="shared" ca="1" si="260"/>
        <v>0.87529443816292374</v>
      </c>
    </row>
    <row r="575" spans="2:40" x14ac:dyDescent="0.25">
      <c r="B575" s="1">
        <v>42706</v>
      </c>
      <c r="C575">
        <v>7.0460000000000003</v>
      </c>
      <c r="D575">
        <v>6.3040000000000003</v>
      </c>
      <c r="E575" t="s">
        <v>33</v>
      </c>
      <c r="G575">
        <v>16947.759999999998</v>
      </c>
      <c r="I575" s="14">
        <f t="shared" si="245"/>
        <v>-6.1909199840234352E-2</v>
      </c>
      <c r="J575" s="15">
        <f t="shared" si="246"/>
        <v>-4.5571536714610117E-2</v>
      </c>
      <c r="K575" s="15"/>
      <c r="L575" s="15"/>
      <c r="M575" s="16">
        <f t="shared" si="247"/>
        <v>-1.286531722955353E-2</v>
      </c>
      <c r="O575" s="13">
        <f t="shared" si="261"/>
        <v>-5.3740368277422235E-2</v>
      </c>
      <c r="Q575" s="5">
        <f t="shared" si="248"/>
        <v>795.24330111183372</v>
      </c>
      <c r="R575" s="6">
        <f t="shared" si="249"/>
        <v>1048.5593550662313</v>
      </c>
      <c r="T575" s="11">
        <f t="shared" si="250"/>
        <v>0.75841515052965491</v>
      </c>
      <c r="V575" s="9">
        <v>42706</v>
      </c>
      <c r="W575">
        <v>27580</v>
      </c>
      <c r="X575">
        <v>41737.950799999999</v>
      </c>
      <c r="Y575" t="s">
        <v>33</v>
      </c>
      <c r="AC575" s="24">
        <f t="shared" si="251"/>
        <v>-5.2140072704089206E-2</v>
      </c>
      <c r="AE575" s="5">
        <f t="shared" si="252"/>
        <v>672.080113296842</v>
      </c>
      <c r="AF575" s="6">
        <f t="shared" si="253"/>
        <v>1048.5593550662313</v>
      </c>
      <c r="AH575" s="1">
        <f t="shared" si="254"/>
        <v>42706</v>
      </c>
      <c r="AI575">
        <f t="shared" si="255"/>
        <v>0.64095571705083942</v>
      </c>
      <c r="AJ575">
        <f t="shared" ca="1" si="256"/>
        <v>0.61894377850827864</v>
      </c>
      <c r="AK575">
        <f t="shared" ca="1" si="257"/>
        <v>0.63657657708862248</v>
      </c>
      <c r="AL575">
        <f t="shared" ca="1" si="258"/>
        <v>0.66729166833444908</v>
      </c>
      <c r="AM575">
        <f t="shared" ca="1" si="259"/>
        <v>0.74834119380250275</v>
      </c>
      <c r="AN575">
        <f t="shared" ca="1" si="260"/>
        <v>0.85300306962237082</v>
      </c>
    </row>
    <row r="576" spans="2:40" x14ac:dyDescent="0.25">
      <c r="B576" s="1">
        <v>42713</v>
      </c>
      <c r="C576">
        <v>7.0819999999999999</v>
      </c>
      <c r="D576">
        <v>6.3040000000000003</v>
      </c>
      <c r="E576" t="s">
        <v>33</v>
      </c>
      <c r="G576">
        <v>17196.77</v>
      </c>
      <c r="I576" s="14">
        <f t="shared" ref="I576:I639" si="262">+C576/C575-1</f>
        <v>5.1092818620492864E-3</v>
      </c>
      <c r="J576" s="15">
        <f t="shared" ref="J576:J639" si="263">+D576/D575-1</f>
        <v>0</v>
      </c>
      <c r="K576" s="15"/>
      <c r="L576" s="15"/>
      <c r="M576" s="16">
        <f t="shared" ref="M576:M639" si="264">+G576/G575-1</f>
        <v>1.4692797160214877E-2</v>
      </c>
      <c r="O576" s="13">
        <f t="shared" si="261"/>
        <v>2.5546409310246432E-3</v>
      </c>
      <c r="Q576" s="5">
        <f t="shared" ref="Q576:Q639" si="265">+Q575*(1+O576)</f>
        <v>797.27486219897719</v>
      </c>
      <c r="R576" s="6">
        <f t="shared" ref="R576:R639" si="266">+R575*(1+M576)</f>
        <v>1063.9656249806651</v>
      </c>
      <c r="T576" s="11">
        <f t="shared" ref="T576:T639" si="267">+Q576/R576</f>
        <v>0.74934268878608334</v>
      </c>
      <c r="V576" s="9">
        <v>42713</v>
      </c>
      <c r="W576">
        <v>27720</v>
      </c>
      <c r="X576">
        <v>41737.950799999999</v>
      </c>
      <c r="Y576" t="s">
        <v>33</v>
      </c>
      <c r="AC576" s="24">
        <f t="shared" ref="AC576:AC639" si="268">+SUMPRODUCT(I576:L576,W575:Z575)/SUM(W575:AA575)</f>
        <v>2.0328643898013116E-3</v>
      </c>
      <c r="AE576" s="5">
        <f t="shared" ref="AE576:AE639" si="269">+AE575*(1+AC576)</f>
        <v>673.4463610262568</v>
      </c>
      <c r="AF576" s="6">
        <f t="shared" ref="AF576:AF639" si="270">+AF575*(1+M576)</f>
        <v>1063.9656249806651</v>
      </c>
      <c r="AH576" s="1">
        <f t="shared" ref="AH576:AH639" si="271">+B576</f>
        <v>42713</v>
      </c>
      <c r="AI576">
        <f t="shared" ref="AI576:AI639" si="272">+(AE576/$AE$6)/(AF576/$AF$6)</f>
        <v>0.63295875845471516</v>
      </c>
      <c r="AJ576">
        <f t="shared" ref="AJ576:AJ639" ca="1" si="273">+_xlfn.PERCENTILE.INC(OFFSET(AI576,-52,0,52,1),0.1)</f>
        <v>0.61894377850827864</v>
      </c>
      <c r="AK576">
        <f t="shared" ref="AK576:AK639" ca="1" si="274">+_xlfn.PERCENTILE.INC(OFFSET(AI576,-52,0,52,1),0.25)</f>
        <v>0.63657657708862248</v>
      </c>
      <c r="AL576">
        <f t="shared" ref="AL576:AL639" ca="1" si="275">+_xlfn.PERCENTILE.INC(OFFSET(AI576,-52,0,52,1),0.5)</f>
        <v>0.66703487100891767</v>
      </c>
      <c r="AM576">
        <f t="shared" ref="AM576:AM639" ca="1" si="276">+_xlfn.PERCENTILE.INC(OFFSET(AI576,-52,0,52,1),0.75)</f>
        <v>0.74178780980720316</v>
      </c>
      <c r="AN576">
        <f t="shared" ref="AN576:AN639" ca="1" si="277">+_xlfn.PERCENTILE.INC(OFFSET(AI576,-52,0,52,1),0.9)</f>
        <v>0.8239136931984018</v>
      </c>
    </row>
    <row r="577" spans="2:40" x14ac:dyDescent="0.25">
      <c r="B577" s="1">
        <v>42720</v>
      </c>
      <c r="C577">
        <v>7.0819999999999999</v>
      </c>
      <c r="D577">
        <v>6.202</v>
      </c>
      <c r="E577" t="s">
        <v>33</v>
      </c>
      <c r="G577">
        <v>16563.5</v>
      </c>
      <c r="I577" s="14">
        <f t="shared" si="262"/>
        <v>0</v>
      </c>
      <c r="J577" s="15">
        <f t="shared" si="263"/>
        <v>-1.6180203045685349E-2</v>
      </c>
      <c r="K577" s="15"/>
      <c r="L577" s="15"/>
      <c r="M577" s="16">
        <f t="shared" si="264"/>
        <v>-3.6824938636732418E-2</v>
      </c>
      <c r="O577" s="13">
        <f t="shared" si="261"/>
        <v>-8.0901015228426743E-3</v>
      </c>
      <c r="Q577" s="5">
        <f t="shared" si="265"/>
        <v>790.82482762217705</v>
      </c>
      <c r="R577" s="6">
        <f t="shared" si="266"/>
        <v>1024.7851561291595</v>
      </c>
      <c r="T577" s="11">
        <f t="shared" si="267"/>
        <v>0.77169816804265345</v>
      </c>
      <c r="V577" s="9">
        <v>42720</v>
      </c>
      <c r="W577">
        <v>27720</v>
      </c>
      <c r="X577">
        <v>41060.386599999998</v>
      </c>
      <c r="Y577" t="s">
        <v>33</v>
      </c>
      <c r="AC577" s="24">
        <f t="shared" si="268"/>
        <v>-9.7228396587655339E-3</v>
      </c>
      <c r="AE577" s="5">
        <f t="shared" si="269"/>
        <v>666.89855003921934</v>
      </c>
      <c r="AF577" s="6">
        <f t="shared" si="270"/>
        <v>1024.7851561291595</v>
      </c>
      <c r="AH577" s="1">
        <f t="shared" si="271"/>
        <v>42720</v>
      </c>
      <c r="AI577">
        <f t="shared" si="272"/>
        <v>0.65076913541394654</v>
      </c>
      <c r="AJ577">
        <f t="shared" ca="1" si="273"/>
        <v>0.61894377850827864</v>
      </c>
      <c r="AK577">
        <f t="shared" ca="1" si="274"/>
        <v>0.63329226609088018</v>
      </c>
      <c r="AL577">
        <f t="shared" ca="1" si="275"/>
        <v>0.66426226085771434</v>
      </c>
      <c r="AM577">
        <f t="shared" ca="1" si="276"/>
        <v>0.73862153957322818</v>
      </c>
      <c r="AN577">
        <f t="shared" ca="1" si="277"/>
        <v>0.81393536869939975</v>
      </c>
    </row>
    <row r="578" spans="2:40" x14ac:dyDescent="0.25">
      <c r="B578" s="1">
        <v>42727</v>
      </c>
      <c r="C578">
        <v>6.8390000000000004</v>
      </c>
      <c r="D578">
        <v>6.2430000000000003</v>
      </c>
      <c r="E578" t="s">
        <v>33</v>
      </c>
      <c r="G578">
        <v>16354.52</v>
      </c>
      <c r="I578" s="14">
        <f t="shared" si="262"/>
        <v>-3.431234114656867E-2</v>
      </c>
      <c r="J578" s="15">
        <f t="shared" si="263"/>
        <v>6.6107707191229714E-3</v>
      </c>
      <c r="K578" s="15"/>
      <c r="L578" s="15"/>
      <c r="M578" s="16">
        <f t="shared" si="264"/>
        <v>-1.2616898602348492E-2</v>
      </c>
      <c r="O578" s="13">
        <f t="shared" si="261"/>
        <v>-1.3850785213722849E-2</v>
      </c>
      <c r="Q578" s="5">
        <f t="shared" si="265"/>
        <v>779.87128279310286</v>
      </c>
      <c r="R578" s="6">
        <f t="shared" si="266"/>
        <v>1011.855545725086</v>
      </c>
      <c r="T578" s="11">
        <f t="shared" si="267"/>
        <v>0.77073381283318909</v>
      </c>
      <c r="V578" s="9">
        <v>42727</v>
      </c>
      <c r="W578">
        <v>26768</v>
      </c>
      <c r="X578">
        <v>41331.412300000004</v>
      </c>
      <c r="Y578" t="s">
        <v>33</v>
      </c>
      <c r="AC578" s="24">
        <f t="shared" si="268"/>
        <v>-9.882138335229048E-3</v>
      </c>
      <c r="AE578" s="5">
        <f t="shared" si="269"/>
        <v>660.30816631216817</v>
      </c>
      <c r="AF578" s="6">
        <f t="shared" si="270"/>
        <v>1011.855545725086</v>
      </c>
      <c r="AH578" s="1">
        <f t="shared" si="271"/>
        <v>42727</v>
      </c>
      <c r="AI578">
        <f t="shared" si="272"/>
        <v>0.65257157417563749</v>
      </c>
      <c r="AJ578">
        <f t="shared" ca="1" si="273"/>
        <v>0.61894377850827864</v>
      </c>
      <c r="AK578">
        <f t="shared" ca="1" si="274"/>
        <v>0.63329226609088018</v>
      </c>
      <c r="AL578">
        <f t="shared" ca="1" si="275"/>
        <v>0.66085218606604246</v>
      </c>
      <c r="AM578">
        <f t="shared" ca="1" si="276"/>
        <v>0.73746365822995585</v>
      </c>
      <c r="AN578">
        <f t="shared" ca="1" si="277"/>
        <v>0.80719838747031858</v>
      </c>
    </row>
    <row r="579" spans="2:40" x14ac:dyDescent="0.25">
      <c r="B579" s="1">
        <v>42734</v>
      </c>
      <c r="C579">
        <v>7.15</v>
      </c>
      <c r="D579">
        <v>6.38</v>
      </c>
      <c r="E579" t="s">
        <v>33</v>
      </c>
      <c r="G579">
        <v>16917.86</v>
      </c>
      <c r="I579" s="14">
        <f t="shared" si="262"/>
        <v>4.5474484573768015E-2</v>
      </c>
      <c r="J579" s="15">
        <f t="shared" si="263"/>
        <v>2.1944577927278441E-2</v>
      </c>
      <c r="K579" s="15"/>
      <c r="L579" s="15"/>
      <c r="M579" s="16">
        <f t="shared" si="264"/>
        <v>3.4445523317101268E-2</v>
      </c>
      <c r="O579" s="13">
        <f t="shared" si="261"/>
        <v>3.3709531250523228E-2</v>
      </c>
      <c r="Q579" s="5">
        <f t="shared" si="265"/>
        <v>806.16037817180256</v>
      </c>
      <c r="R579" s="6">
        <f t="shared" si="266"/>
        <v>1046.7094395188976</v>
      </c>
      <c r="T579" s="11">
        <f t="shared" si="267"/>
        <v>0.7701854475892953</v>
      </c>
      <c r="V579" s="9">
        <v>42734</v>
      </c>
      <c r="W579">
        <v>27944</v>
      </c>
      <c r="X579">
        <v>42234.831100000003</v>
      </c>
      <c r="Y579" t="s">
        <v>33</v>
      </c>
      <c r="AC579" s="24">
        <f t="shared" si="268"/>
        <v>3.1193535001071467E-2</v>
      </c>
      <c r="AE579" s="5">
        <f t="shared" si="269"/>
        <v>680.90551220952011</v>
      </c>
      <c r="AF579" s="6">
        <f t="shared" si="270"/>
        <v>1046.7094395188976</v>
      </c>
      <c r="AH579" s="1">
        <f t="shared" si="271"/>
        <v>42734</v>
      </c>
      <c r="AI579">
        <f t="shared" si="272"/>
        <v>0.65052008370392356</v>
      </c>
      <c r="AJ579">
        <f t="shared" ca="1" si="273"/>
        <v>0.61894377850827864</v>
      </c>
      <c r="AK579">
        <f t="shared" ca="1" si="274"/>
        <v>0.63329226609088018</v>
      </c>
      <c r="AL579">
        <f t="shared" ca="1" si="275"/>
        <v>0.65916982005408631</v>
      </c>
      <c r="AM579">
        <f t="shared" ca="1" si="276"/>
        <v>0.72416653243862994</v>
      </c>
      <c r="AN579">
        <f t="shared" ca="1" si="277"/>
        <v>0.80141023729697591</v>
      </c>
    </row>
    <row r="580" spans="2:40" x14ac:dyDescent="0.25">
      <c r="B580" s="1">
        <v>42741</v>
      </c>
      <c r="C580">
        <v>7.2009999999999996</v>
      </c>
      <c r="D580">
        <v>6.673</v>
      </c>
      <c r="E580" t="s">
        <v>33</v>
      </c>
      <c r="G580">
        <v>18284.28</v>
      </c>
      <c r="I580" s="14">
        <f t="shared" si="262"/>
        <v>7.1328671328669824E-3</v>
      </c>
      <c r="J580" s="15">
        <f t="shared" si="263"/>
        <v>4.5924764890282077E-2</v>
      </c>
      <c r="K580" s="15"/>
      <c r="L580" s="15"/>
      <c r="M580" s="16">
        <f t="shared" si="264"/>
        <v>8.076789854035904E-2</v>
      </c>
      <c r="O580" s="13">
        <f t="shared" si="261"/>
        <v>2.652881601157453E-2</v>
      </c>
      <c r="Q580" s="5">
        <f t="shared" si="265"/>
        <v>827.5468585201437</v>
      </c>
      <c r="R580" s="6">
        <f t="shared" si="266"/>
        <v>1131.2499613311961</v>
      </c>
      <c r="T580" s="11">
        <f t="shared" si="267"/>
        <v>0.73153315960897769</v>
      </c>
      <c r="V580" s="9">
        <v>42741</v>
      </c>
      <c r="W580">
        <v>28140</v>
      </c>
      <c r="X580">
        <v>44177.181700000001</v>
      </c>
      <c r="Y580" t="s">
        <v>33</v>
      </c>
      <c r="AC580" s="24">
        <f t="shared" si="268"/>
        <v>3.0478500340954069E-2</v>
      </c>
      <c r="AE580" s="5">
        <f t="shared" si="269"/>
        <v>701.65849109555541</v>
      </c>
      <c r="AF580" s="6">
        <f t="shared" si="270"/>
        <v>1131.2499613311961</v>
      </c>
      <c r="AH580" s="1">
        <f t="shared" si="271"/>
        <v>42741</v>
      </c>
      <c r="AI580">
        <f t="shared" si="272"/>
        <v>0.62025062106510942</v>
      </c>
      <c r="AJ580">
        <f t="shared" ca="1" si="273"/>
        <v>0.61894377850827864</v>
      </c>
      <c r="AK580">
        <f t="shared" ca="1" si="274"/>
        <v>0.63329226609088018</v>
      </c>
      <c r="AL580">
        <f t="shared" ca="1" si="275"/>
        <v>0.65777440656647423</v>
      </c>
      <c r="AM580">
        <f t="shared" ca="1" si="276"/>
        <v>0.70861309312926357</v>
      </c>
      <c r="AN580">
        <f t="shared" ca="1" si="277"/>
        <v>0.78521007078007443</v>
      </c>
    </row>
    <row r="581" spans="2:40" x14ac:dyDescent="0.25">
      <c r="B581" s="1">
        <v>42748</v>
      </c>
      <c r="C581">
        <v>7.1429999999999998</v>
      </c>
      <c r="D581">
        <v>6.7409999999999997</v>
      </c>
      <c r="E581" t="s">
        <v>33</v>
      </c>
      <c r="G581">
        <v>18885.09</v>
      </c>
      <c r="I581" s="14">
        <f t="shared" si="262"/>
        <v>-8.0544368837661695E-3</v>
      </c>
      <c r="J581" s="15">
        <f t="shared" si="263"/>
        <v>1.0190319196762943E-2</v>
      </c>
      <c r="K581" s="15"/>
      <c r="L581" s="15"/>
      <c r="M581" s="16">
        <f t="shared" si="264"/>
        <v>3.2859374282170339E-2</v>
      </c>
      <c r="O581" s="13">
        <f t="shared" si="261"/>
        <v>1.0679411564983865E-3</v>
      </c>
      <c r="Q581" s="5">
        <f t="shared" si="265"/>
        <v>828.4306298692884</v>
      </c>
      <c r="R581" s="6">
        <f t="shared" si="266"/>
        <v>1168.4221272172686</v>
      </c>
      <c r="T581" s="11">
        <f t="shared" si="267"/>
        <v>0.70901655366822869</v>
      </c>
      <c r="V581" s="9">
        <v>42748</v>
      </c>
      <c r="W581">
        <v>27916</v>
      </c>
      <c r="X581">
        <v>44628.891100000001</v>
      </c>
      <c r="Y581" t="s">
        <v>33</v>
      </c>
      <c r="AC581" s="24">
        <f t="shared" si="268"/>
        <v>3.090935287750775E-3</v>
      </c>
      <c r="AE581" s="5">
        <f t="shared" si="269"/>
        <v>703.82727208563267</v>
      </c>
      <c r="AF581" s="6">
        <f t="shared" si="270"/>
        <v>1168.4221272172686</v>
      </c>
      <c r="AH581" s="1">
        <f t="shared" si="271"/>
        <v>42748</v>
      </c>
      <c r="AI581">
        <f t="shared" si="272"/>
        <v>0.60237413832779607</v>
      </c>
      <c r="AJ581">
        <f t="shared" ca="1" si="273"/>
        <v>0.61886850964095508</v>
      </c>
      <c r="AK581">
        <f t="shared" ca="1" si="274"/>
        <v>0.63279888060615574</v>
      </c>
      <c r="AL581">
        <f t="shared" ca="1" si="275"/>
        <v>0.65657129740715225</v>
      </c>
      <c r="AM581">
        <f t="shared" ca="1" si="276"/>
        <v>0.69359686164359768</v>
      </c>
      <c r="AN581">
        <f t="shared" ca="1" si="277"/>
        <v>0.7640667609996693</v>
      </c>
    </row>
    <row r="582" spans="2:40" x14ac:dyDescent="0.25">
      <c r="B582" s="1">
        <v>42755</v>
      </c>
      <c r="C582">
        <v>7.165</v>
      </c>
      <c r="D582">
        <v>7.3010000000000002</v>
      </c>
      <c r="E582" t="s">
        <v>33</v>
      </c>
      <c r="G582">
        <v>19039.490000000002</v>
      </c>
      <c r="I582" s="14">
        <f t="shared" si="262"/>
        <v>3.0799384012321074E-3</v>
      </c>
      <c r="J582" s="15">
        <f t="shared" si="263"/>
        <v>8.3073727933541175E-2</v>
      </c>
      <c r="K582" s="15"/>
      <c r="L582" s="15"/>
      <c r="M582" s="16">
        <f t="shared" si="264"/>
        <v>8.1757619370625978E-3</v>
      </c>
      <c r="O582" s="13">
        <f t="shared" si="261"/>
        <v>4.3076833167386641E-2</v>
      </c>
      <c r="Q582" s="5">
        <f t="shared" si="265"/>
        <v>864.11679790292089</v>
      </c>
      <c r="R582" s="6">
        <f t="shared" si="266"/>
        <v>1177.9748683713933</v>
      </c>
      <c r="T582" s="11">
        <f t="shared" si="267"/>
        <v>0.73356131875513075</v>
      </c>
      <c r="V582" s="9">
        <v>42755</v>
      </c>
      <c r="W582">
        <v>28000</v>
      </c>
      <c r="X582">
        <v>48332.908300000003</v>
      </c>
      <c r="Y582" t="s">
        <v>33</v>
      </c>
      <c r="AC582" s="24">
        <f t="shared" si="268"/>
        <v>5.2291317281001913E-2</v>
      </c>
      <c r="AE582" s="5">
        <f t="shared" si="269"/>
        <v>740.6313272812846</v>
      </c>
      <c r="AF582" s="6">
        <f t="shared" si="270"/>
        <v>1177.9748683713933</v>
      </c>
      <c r="AH582" s="1">
        <f t="shared" si="271"/>
        <v>42755</v>
      </c>
      <c r="AI582">
        <f t="shared" si="272"/>
        <v>0.62873270658587388</v>
      </c>
      <c r="AJ582">
        <f t="shared" ca="1" si="273"/>
        <v>0.61568445688824813</v>
      </c>
      <c r="AK582">
        <f t="shared" ca="1" si="274"/>
        <v>0.63218647991612453</v>
      </c>
      <c r="AL582">
        <f t="shared" ca="1" si="275"/>
        <v>0.65524181397073034</v>
      </c>
      <c r="AM582">
        <f t="shared" ca="1" si="276"/>
        <v>0.68957788342846116</v>
      </c>
      <c r="AN582">
        <f t="shared" ca="1" si="277"/>
        <v>0.76114497416847016</v>
      </c>
    </row>
    <row r="583" spans="2:40" x14ac:dyDescent="0.25">
      <c r="B583" s="1">
        <v>42762</v>
      </c>
      <c r="C583">
        <v>7.5949999999999998</v>
      </c>
      <c r="D583">
        <v>7.335</v>
      </c>
      <c r="E583" t="s">
        <v>33</v>
      </c>
      <c r="G583">
        <v>19215.78</v>
      </c>
      <c r="I583" s="14">
        <f t="shared" si="262"/>
        <v>6.0013956734124241E-2</v>
      </c>
      <c r="J583" s="15">
        <f t="shared" si="263"/>
        <v>4.6568963155730891E-3</v>
      </c>
      <c r="K583" s="15"/>
      <c r="L583" s="15"/>
      <c r="M583" s="16">
        <f t="shared" si="264"/>
        <v>9.2591765850869034E-3</v>
      </c>
      <c r="O583" s="13">
        <f t="shared" si="261"/>
        <v>3.2335426524848665E-2</v>
      </c>
      <c r="Q583" s="5">
        <f t="shared" si="265"/>
        <v>892.05838313039817</v>
      </c>
      <c r="R583" s="6">
        <f t="shared" si="266"/>
        <v>1188.8819456904384</v>
      </c>
      <c r="T583" s="11">
        <f t="shared" si="267"/>
        <v>0.75033386314260064</v>
      </c>
      <c r="V583" s="9">
        <v>42762</v>
      </c>
      <c r="W583">
        <v>29680</v>
      </c>
      <c r="X583">
        <v>48558.763099999996</v>
      </c>
      <c r="Y583" t="s">
        <v>33</v>
      </c>
      <c r="AC583" s="24">
        <f t="shared" si="268"/>
        <v>2.4962655996937571E-2</v>
      </c>
      <c r="AE583" s="5">
        <f t="shared" si="269"/>
        <v>759.11945232476262</v>
      </c>
      <c r="AF583" s="6">
        <f t="shared" si="270"/>
        <v>1188.8819456904384</v>
      </c>
      <c r="AH583" s="1">
        <f t="shared" si="271"/>
        <v>42762</v>
      </c>
      <c r="AI583">
        <f t="shared" si="272"/>
        <v>0.63851541784824317</v>
      </c>
      <c r="AJ583">
        <f t="shared" ca="1" si="273"/>
        <v>0.61568445688824813</v>
      </c>
      <c r="AK583">
        <f t="shared" ca="1" si="274"/>
        <v>0.6316438840588362</v>
      </c>
      <c r="AL583">
        <f t="shared" ca="1" si="275"/>
        <v>0.65365093729197121</v>
      </c>
      <c r="AM583">
        <f t="shared" ca="1" si="276"/>
        <v>0.68684722261155873</v>
      </c>
      <c r="AN583">
        <f t="shared" ca="1" si="277"/>
        <v>0.74319948248114032</v>
      </c>
    </row>
    <row r="584" spans="2:40" x14ac:dyDescent="0.25">
      <c r="B584" s="1">
        <v>42769</v>
      </c>
      <c r="C584">
        <v>7.3440000000000003</v>
      </c>
      <c r="D584">
        <v>7.0960000000000001</v>
      </c>
      <c r="E584" t="s">
        <v>33</v>
      </c>
      <c r="G584">
        <v>19200.5</v>
      </c>
      <c r="I584" s="14">
        <f t="shared" si="262"/>
        <v>-3.3048057932850483E-2</v>
      </c>
      <c r="J584" s="15">
        <f t="shared" si="263"/>
        <v>-3.2583503749147869E-2</v>
      </c>
      <c r="K584" s="15"/>
      <c r="L584" s="15"/>
      <c r="M584" s="16">
        <f t="shared" si="264"/>
        <v>-7.9517979493926028E-4</v>
      </c>
      <c r="O584" s="13">
        <f t="shared" ref="O584:O623" si="278">+AVERAGE(I584:J584)</f>
        <v>-3.2815780840999176E-2</v>
      </c>
      <c r="Q584" s="5">
        <f t="shared" si="265"/>
        <v>862.7847907322149</v>
      </c>
      <c r="R584" s="6">
        <f t="shared" si="266"/>
        <v>1187.9365707886573</v>
      </c>
      <c r="T584" s="11">
        <f t="shared" si="267"/>
        <v>0.72628860155338271</v>
      </c>
      <c r="V584" s="9">
        <v>42769</v>
      </c>
      <c r="W584">
        <v>28700</v>
      </c>
      <c r="X584">
        <v>46977.780100000004</v>
      </c>
      <c r="Y584" t="s">
        <v>33</v>
      </c>
      <c r="AC584" s="24">
        <f t="shared" si="268"/>
        <v>-3.2759733122235873E-2</v>
      </c>
      <c r="AE584" s="5">
        <f t="shared" si="269"/>
        <v>734.25090165870552</v>
      </c>
      <c r="AF584" s="6">
        <f t="shared" si="270"/>
        <v>1187.9365707886573</v>
      </c>
      <c r="AH584" s="1">
        <f t="shared" si="271"/>
        <v>42769</v>
      </c>
      <c r="AI584">
        <f t="shared" si="272"/>
        <v>0.61808931530009625</v>
      </c>
      <c r="AJ584">
        <f t="shared" ca="1" si="273"/>
        <v>0.61568445688824813</v>
      </c>
      <c r="AK584">
        <f t="shared" ca="1" si="274"/>
        <v>0.6316438840588362</v>
      </c>
      <c r="AL584">
        <f t="shared" ca="1" si="275"/>
        <v>0.65167035479479196</v>
      </c>
      <c r="AM584">
        <f t="shared" ca="1" si="276"/>
        <v>0.68424614098058889</v>
      </c>
      <c r="AN584">
        <f t="shared" ca="1" si="277"/>
        <v>0.74089508288469408</v>
      </c>
    </row>
    <row r="585" spans="2:40" x14ac:dyDescent="0.25">
      <c r="B585" s="1">
        <v>42776</v>
      </c>
      <c r="C585">
        <v>7.4870000000000001</v>
      </c>
      <c r="D585">
        <v>6.96</v>
      </c>
      <c r="E585" t="s">
        <v>33</v>
      </c>
      <c r="G585">
        <v>19502.93</v>
      </c>
      <c r="I585" s="14">
        <f t="shared" si="262"/>
        <v>1.9471677559912859E-2</v>
      </c>
      <c r="J585" s="15">
        <f t="shared" si="263"/>
        <v>-1.916572717023679E-2</v>
      </c>
      <c r="K585" s="15"/>
      <c r="L585" s="15"/>
      <c r="M585" s="16">
        <f t="shared" si="264"/>
        <v>1.5751152313741912E-2</v>
      </c>
      <c r="O585" s="13">
        <f t="shared" si="278"/>
        <v>1.5297519483803423E-4</v>
      </c>
      <c r="Q585" s="5">
        <f t="shared" si="265"/>
        <v>862.9167754036805</v>
      </c>
      <c r="R585" s="6">
        <f t="shared" si="266"/>
        <v>1206.6479406542137</v>
      </c>
      <c r="T585" s="11">
        <f t="shared" si="267"/>
        <v>0.71513549754688932</v>
      </c>
      <c r="V585" s="9">
        <v>42776</v>
      </c>
      <c r="W585">
        <v>29260</v>
      </c>
      <c r="X585">
        <v>46074.361199999999</v>
      </c>
      <c r="Y585" t="s">
        <v>33</v>
      </c>
      <c r="AC585" s="24">
        <f t="shared" si="268"/>
        <v>-4.5128988989792031E-3</v>
      </c>
      <c r="AE585" s="5">
        <f t="shared" si="269"/>
        <v>730.93730157303548</v>
      </c>
      <c r="AF585" s="6">
        <f t="shared" si="270"/>
        <v>1206.6479406542137</v>
      </c>
      <c r="AH585" s="1">
        <f t="shared" si="271"/>
        <v>42776</v>
      </c>
      <c r="AI585">
        <f t="shared" si="272"/>
        <v>0.60575854559262743</v>
      </c>
      <c r="AJ585">
        <f t="shared" ca="1" si="273"/>
        <v>0.61562189424776403</v>
      </c>
      <c r="AK585">
        <f t="shared" ca="1" si="274"/>
        <v>0.63059142723607875</v>
      </c>
      <c r="AL585">
        <f t="shared" ca="1" si="275"/>
        <v>0.65064460955893511</v>
      </c>
      <c r="AM585">
        <f t="shared" ca="1" si="276"/>
        <v>0.67772673070938261</v>
      </c>
      <c r="AN585">
        <f t="shared" ca="1" si="277"/>
        <v>0.73770930762363651</v>
      </c>
    </row>
    <row r="586" spans="2:40" x14ac:dyDescent="0.25">
      <c r="B586" s="1">
        <v>42783</v>
      </c>
      <c r="C586">
        <v>7.5949999999999998</v>
      </c>
      <c r="D586">
        <v>7.335</v>
      </c>
      <c r="E586" t="s">
        <v>33</v>
      </c>
      <c r="G586">
        <v>19681.34</v>
      </c>
      <c r="I586" s="14">
        <f t="shared" si="262"/>
        <v>1.4425003339121112E-2</v>
      </c>
      <c r="J586" s="15">
        <f t="shared" si="263"/>
        <v>5.3879310344827624E-2</v>
      </c>
      <c r="K586" s="15"/>
      <c r="L586" s="15"/>
      <c r="M586" s="16">
        <f t="shared" si="264"/>
        <v>9.1478562451898782E-3</v>
      </c>
      <c r="O586" s="13">
        <f t="shared" si="278"/>
        <v>3.4152156841974368E-2</v>
      </c>
      <c r="Q586" s="5">
        <f t="shared" si="265"/>
        <v>892.3872444588377</v>
      </c>
      <c r="R586" s="6">
        <f t="shared" si="266"/>
        <v>1217.6861825538729</v>
      </c>
      <c r="T586" s="11">
        <f t="shared" si="267"/>
        <v>0.7328548662572647</v>
      </c>
      <c r="V586" s="9">
        <v>42783</v>
      </c>
      <c r="W586">
        <v>29680</v>
      </c>
      <c r="X586">
        <v>48558.763099999996</v>
      </c>
      <c r="Y586" t="s">
        <v>33</v>
      </c>
      <c r="AC586" s="24">
        <f t="shared" si="268"/>
        <v>3.8555187267416142E-2</v>
      </c>
      <c r="AE586" s="5">
        <f t="shared" si="269"/>
        <v>759.11872611592366</v>
      </c>
      <c r="AF586" s="6">
        <f t="shared" si="270"/>
        <v>1217.6861825538729</v>
      </c>
      <c r="AH586" s="1">
        <f t="shared" si="271"/>
        <v>42783</v>
      </c>
      <c r="AI586">
        <f t="shared" si="272"/>
        <v>0.62341080730982079</v>
      </c>
      <c r="AJ586">
        <f t="shared" ca="1" si="273"/>
        <v>0.61181534337810684</v>
      </c>
      <c r="AK586">
        <f t="shared" ca="1" si="274"/>
        <v>0.62847937004435428</v>
      </c>
      <c r="AL586">
        <f t="shared" ca="1" si="275"/>
        <v>0.6496922651792747</v>
      </c>
      <c r="AM586">
        <f t="shared" ca="1" si="276"/>
        <v>0.66989642034601227</v>
      </c>
      <c r="AN586">
        <f t="shared" ca="1" si="277"/>
        <v>0.73560882499321878</v>
      </c>
    </row>
    <row r="587" spans="2:40" x14ac:dyDescent="0.25">
      <c r="B587" s="1">
        <v>42790</v>
      </c>
      <c r="C587">
        <v>7.2359999999999998</v>
      </c>
      <c r="D587">
        <v>7.2320000000000002</v>
      </c>
      <c r="E587" t="s">
        <v>33</v>
      </c>
      <c r="G587">
        <v>19117.45</v>
      </c>
      <c r="I587" s="14">
        <f t="shared" si="262"/>
        <v>-4.7267939433838002E-2</v>
      </c>
      <c r="J587" s="15">
        <f t="shared" si="263"/>
        <v>-1.4042263122017729E-2</v>
      </c>
      <c r="K587" s="15"/>
      <c r="L587" s="15"/>
      <c r="M587" s="16">
        <f t="shared" si="264"/>
        <v>-2.8650996324437239E-2</v>
      </c>
      <c r="O587" s="13">
        <f t="shared" si="278"/>
        <v>-3.0655101277927865E-2</v>
      </c>
      <c r="Q587" s="5">
        <f t="shared" si="265"/>
        <v>865.03102310082102</v>
      </c>
      <c r="R587" s="6">
        <f t="shared" si="266"/>
        <v>1182.7982602132038</v>
      </c>
      <c r="T587" s="11">
        <f t="shared" si="267"/>
        <v>0.73134282675128048</v>
      </c>
      <c r="V587" s="9">
        <v>42790</v>
      </c>
      <c r="W587">
        <v>28280</v>
      </c>
      <c r="X587">
        <v>47881.198900000003</v>
      </c>
      <c r="Y587" t="s">
        <v>33</v>
      </c>
      <c r="AC587" s="24">
        <f t="shared" si="268"/>
        <v>-2.6646476607274445E-2</v>
      </c>
      <c r="AE587" s="5">
        <f t="shared" si="269"/>
        <v>738.89088673833169</v>
      </c>
      <c r="AF587" s="6">
        <f t="shared" si="270"/>
        <v>1182.7982602132038</v>
      </c>
      <c r="AH587" s="1">
        <f t="shared" si="271"/>
        <v>42790</v>
      </c>
      <c r="AI587">
        <f t="shared" si="272"/>
        <v>0.62469730603521845</v>
      </c>
      <c r="AJ587">
        <f t="shared" ca="1" si="273"/>
        <v>0.61181534337810684</v>
      </c>
      <c r="AK587">
        <f t="shared" ca="1" si="274"/>
        <v>0.6271689565466706</v>
      </c>
      <c r="AL587">
        <f t="shared" ca="1" si="275"/>
        <v>0.64662903743992217</v>
      </c>
      <c r="AM587">
        <f t="shared" ca="1" si="276"/>
        <v>0.66762213667565717</v>
      </c>
      <c r="AN587">
        <f t="shared" ca="1" si="277"/>
        <v>0.71827864301251809</v>
      </c>
    </row>
    <row r="588" spans="2:40" x14ac:dyDescent="0.25">
      <c r="B588" s="1">
        <v>42797</v>
      </c>
      <c r="C588">
        <v>7.3079999999999998</v>
      </c>
      <c r="D588">
        <v>7.335</v>
      </c>
      <c r="E588" t="s">
        <v>33</v>
      </c>
      <c r="G588">
        <v>19265.45</v>
      </c>
      <c r="I588" s="14">
        <f t="shared" si="262"/>
        <v>9.9502487562188602E-3</v>
      </c>
      <c r="J588" s="15">
        <f t="shared" si="263"/>
        <v>1.4242256637168049E-2</v>
      </c>
      <c r="K588" s="15"/>
      <c r="L588" s="15"/>
      <c r="M588" s="16">
        <f t="shared" si="264"/>
        <v>7.7416182597573879E-3</v>
      </c>
      <c r="O588" s="13">
        <f t="shared" si="278"/>
        <v>1.2096252696693455E-2</v>
      </c>
      <c r="Q588" s="5">
        <f t="shared" si="265"/>
        <v>875.49465694672779</v>
      </c>
      <c r="R588" s="6">
        <f t="shared" si="266"/>
        <v>1191.9550328220796</v>
      </c>
      <c r="T588" s="11">
        <f t="shared" si="267"/>
        <v>0.73450309184391094</v>
      </c>
      <c r="V588" s="9">
        <v>42797</v>
      </c>
      <c r="W588">
        <v>28560</v>
      </c>
      <c r="X588">
        <v>48558.763099999996</v>
      </c>
      <c r="Y588" t="s">
        <v>33</v>
      </c>
      <c r="AC588" s="24">
        <f t="shared" si="268"/>
        <v>1.2648558210327199E-2</v>
      </c>
      <c r="AE588" s="5">
        <f t="shared" si="269"/>
        <v>748.23679113032188</v>
      </c>
      <c r="AF588" s="6">
        <f t="shared" si="270"/>
        <v>1191.9550328220796</v>
      </c>
      <c r="AH588" s="1">
        <f t="shared" si="271"/>
        <v>42797</v>
      </c>
      <c r="AI588">
        <f t="shared" si="272"/>
        <v>0.62773910972026536</v>
      </c>
      <c r="AJ588">
        <f t="shared" ca="1" si="273"/>
        <v>0.61181534337810684</v>
      </c>
      <c r="AK588">
        <f t="shared" ca="1" si="274"/>
        <v>0.6253126352042766</v>
      </c>
      <c r="AL588">
        <f t="shared" ca="1" si="275"/>
        <v>0.642868780229781</v>
      </c>
      <c r="AM588">
        <f t="shared" ca="1" si="276"/>
        <v>0.66718058325628404</v>
      </c>
      <c r="AN588">
        <f t="shared" ca="1" si="277"/>
        <v>0.70338907897008995</v>
      </c>
    </row>
    <row r="589" spans="2:40" x14ac:dyDescent="0.25">
      <c r="B589" s="1">
        <v>42804</v>
      </c>
      <c r="C589">
        <v>7.0209999999999999</v>
      </c>
      <c r="D589">
        <v>7.0960000000000001</v>
      </c>
      <c r="E589" t="s">
        <v>33</v>
      </c>
      <c r="G589">
        <v>18895.91</v>
      </c>
      <c r="I589" s="14">
        <f t="shared" si="262"/>
        <v>-3.9272030651340994E-2</v>
      </c>
      <c r="J589" s="15">
        <f t="shared" si="263"/>
        <v>-3.2583503749147869E-2</v>
      </c>
      <c r="K589" s="15"/>
      <c r="L589" s="15"/>
      <c r="M589" s="16">
        <f t="shared" si="264"/>
        <v>-1.9181488104352606E-2</v>
      </c>
      <c r="O589" s="13">
        <f t="shared" si="278"/>
        <v>-3.5927767200244431E-2</v>
      </c>
      <c r="Q589" s="5">
        <f t="shared" si="265"/>
        <v>844.0400887268878</v>
      </c>
      <c r="R589" s="6">
        <f t="shared" si="266"/>
        <v>1169.0915615390797</v>
      </c>
      <c r="T589" s="11">
        <f t="shared" si="267"/>
        <v>0.72196234794110581</v>
      </c>
      <c r="V589" s="9">
        <v>42804</v>
      </c>
      <c r="W589">
        <v>27440</v>
      </c>
      <c r="X589">
        <v>46977.780100000004</v>
      </c>
      <c r="Y589" t="s">
        <v>33</v>
      </c>
      <c r="AC589" s="24">
        <f t="shared" si="268"/>
        <v>-3.5060518688805734E-2</v>
      </c>
      <c r="AE589" s="5">
        <f t="shared" si="269"/>
        <v>722.00322113124514</v>
      </c>
      <c r="AF589" s="6">
        <f t="shared" si="270"/>
        <v>1169.0915615390797</v>
      </c>
      <c r="AH589" s="1">
        <f t="shared" si="271"/>
        <v>42804</v>
      </c>
      <c r="AI589">
        <f t="shared" si="272"/>
        <v>0.61757628305925494</v>
      </c>
      <c r="AJ589">
        <f t="shared" ca="1" si="273"/>
        <v>0.61181534337810684</v>
      </c>
      <c r="AK589">
        <f t="shared" ca="1" si="274"/>
        <v>0.6253126352042766</v>
      </c>
      <c r="AL589">
        <f t="shared" ca="1" si="275"/>
        <v>0.64114982464259151</v>
      </c>
      <c r="AM589">
        <f t="shared" ca="1" si="276"/>
        <v>0.66701755742431712</v>
      </c>
      <c r="AN589">
        <f t="shared" ca="1" si="277"/>
        <v>0.6897969254394154</v>
      </c>
    </row>
    <row r="590" spans="2:40" x14ac:dyDescent="0.25">
      <c r="B590" s="1">
        <v>42811</v>
      </c>
      <c r="C590">
        <v>7.6660000000000004</v>
      </c>
      <c r="D590">
        <v>7.2670000000000003</v>
      </c>
      <c r="E590" t="s">
        <v>33</v>
      </c>
      <c r="G590">
        <v>19434</v>
      </c>
      <c r="I590" s="14">
        <f t="shared" si="262"/>
        <v>9.1867255376727019E-2</v>
      </c>
      <c r="J590" s="15">
        <f t="shared" si="263"/>
        <v>2.4098083427283035E-2</v>
      </c>
      <c r="K590" s="15"/>
      <c r="L590" s="15"/>
      <c r="M590" s="16">
        <f t="shared" si="264"/>
        <v>2.8476532752325756E-2</v>
      </c>
      <c r="O590" s="13">
        <f t="shared" si="278"/>
        <v>5.7982669402005027E-2</v>
      </c>
      <c r="Q590" s="5">
        <f t="shared" si="265"/>
        <v>892.97978615357783</v>
      </c>
      <c r="R590" s="6">
        <f t="shared" si="266"/>
        <v>1202.383235681715</v>
      </c>
      <c r="T590" s="11">
        <f t="shared" si="267"/>
        <v>0.74267484746432388</v>
      </c>
      <c r="V590" s="9">
        <v>42811</v>
      </c>
      <c r="W590">
        <v>29960</v>
      </c>
      <c r="X590">
        <v>48107.053599999999</v>
      </c>
      <c r="Y590" t="s">
        <v>33</v>
      </c>
      <c r="AC590" s="24">
        <f t="shared" si="268"/>
        <v>4.908654822418905E-2</v>
      </c>
      <c r="AE590" s="5">
        <f t="shared" si="269"/>
        <v>757.44386706332386</v>
      </c>
      <c r="AF590" s="6">
        <f t="shared" si="270"/>
        <v>1202.383235681715</v>
      </c>
      <c r="AH590" s="1">
        <f t="shared" si="271"/>
        <v>42811</v>
      </c>
      <c r="AI590">
        <f t="shared" si="272"/>
        <v>0.62995211891313185</v>
      </c>
      <c r="AJ590">
        <f t="shared" ca="1" si="273"/>
        <v>0.61181534337810684</v>
      </c>
      <c r="AK590">
        <f t="shared" ca="1" si="274"/>
        <v>0.62437568135386901</v>
      </c>
      <c r="AL590">
        <f t="shared" ca="1" si="275"/>
        <v>0.64077958235114174</v>
      </c>
      <c r="AM590">
        <f t="shared" ca="1" si="276"/>
        <v>0.66289326936671333</v>
      </c>
      <c r="AN590">
        <f t="shared" ca="1" si="277"/>
        <v>0.68914078131588941</v>
      </c>
    </row>
    <row r="591" spans="2:40" x14ac:dyDescent="0.25">
      <c r="B591" s="1">
        <v>42818</v>
      </c>
      <c r="C591">
        <v>7.6660000000000004</v>
      </c>
      <c r="D591">
        <v>7.2670000000000003</v>
      </c>
      <c r="E591" t="s">
        <v>33</v>
      </c>
      <c r="G591">
        <v>19705.099999999999</v>
      </c>
      <c r="I591" s="14">
        <f t="shared" si="262"/>
        <v>0</v>
      </c>
      <c r="J591" s="15">
        <f t="shared" si="263"/>
        <v>0</v>
      </c>
      <c r="K591" s="15"/>
      <c r="L591" s="15"/>
      <c r="M591" s="16">
        <f t="shared" si="264"/>
        <v>1.3949778738293617E-2</v>
      </c>
      <c r="O591" s="13">
        <f t="shared" si="278"/>
        <v>0</v>
      </c>
      <c r="Q591" s="5">
        <f t="shared" si="265"/>
        <v>892.97978615357783</v>
      </c>
      <c r="R591" s="6">
        <f t="shared" si="266"/>
        <v>1219.1562157781084</v>
      </c>
      <c r="T591" s="11">
        <f t="shared" si="267"/>
        <v>0.73245723115445605</v>
      </c>
      <c r="V591" s="9">
        <v>42818</v>
      </c>
      <c r="W591">
        <v>29960</v>
      </c>
      <c r="X591">
        <v>48107.053599999999</v>
      </c>
      <c r="Y591" t="s">
        <v>33</v>
      </c>
      <c r="AC591" s="24">
        <f t="shared" si="268"/>
        <v>0</v>
      </c>
      <c r="AE591" s="5">
        <f t="shared" si="269"/>
        <v>757.44386706332386</v>
      </c>
      <c r="AF591" s="6">
        <f t="shared" si="270"/>
        <v>1219.1562157781084</v>
      </c>
      <c r="AH591" s="1">
        <f t="shared" si="271"/>
        <v>42818</v>
      </c>
      <c r="AI591">
        <f t="shared" si="272"/>
        <v>0.62128532608095388</v>
      </c>
      <c r="AJ591">
        <f t="shared" ca="1" si="273"/>
        <v>0.61181534337810684</v>
      </c>
      <c r="AK591">
        <f t="shared" ca="1" si="274"/>
        <v>0.62437568135386901</v>
      </c>
      <c r="AL591">
        <f t="shared" ca="1" si="275"/>
        <v>0.63955943274984361</v>
      </c>
      <c r="AM591">
        <f t="shared" ca="1" si="276"/>
        <v>0.66051614016120763</v>
      </c>
      <c r="AN591">
        <f t="shared" ca="1" si="277"/>
        <v>0.68573589215931929</v>
      </c>
    </row>
    <row r="592" spans="2:40" x14ac:dyDescent="0.25">
      <c r="B592" s="1">
        <v>42825</v>
      </c>
      <c r="C592">
        <v>7.63</v>
      </c>
      <c r="D592">
        <v>7.3010000000000002</v>
      </c>
      <c r="E592" t="s">
        <v>33</v>
      </c>
      <c r="G592">
        <v>20265.32</v>
      </c>
      <c r="I592" s="14">
        <f t="shared" si="262"/>
        <v>-4.6960605270024436E-3</v>
      </c>
      <c r="J592" s="15">
        <f t="shared" si="263"/>
        <v>4.6786844640154257E-3</v>
      </c>
      <c r="K592" s="15"/>
      <c r="L592" s="15"/>
      <c r="M592" s="16">
        <f t="shared" si="264"/>
        <v>2.8430203348371874E-2</v>
      </c>
      <c r="O592" s="13">
        <f t="shared" si="278"/>
        <v>-8.6880314935089409E-6</v>
      </c>
      <c r="Q592" s="5">
        <f t="shared" si="265"/>
        <v>892.97202791707264</v>
      </c>
      <c r="R592" s="6">
        <f t="shared" si="266"/>
        <v>1253.8170749061117</v>
      </c>
      <c r="T592" s="11">
        <f t="shared" si="267"/>
        <v>0.71220279719347435</v>
      </c>
      <c r="V592" s="9">
        <v>42825</v>
      </c>
      <c r="W592">
        <v>29820</v>
      </c>
      <c r="X592">
        <v>48332.908300000003</v>
      </c>
      <c r="Y592" t="s">
        <v>33</v>
      </c>
      <c r="AC592" s="24">
        <f t="shared" si="268"/>
        <v>1.0809137402731969E-3</v>
      </c>
      <c r="AE592" s="5">
        <f t="shared" si="269"/>
        <v>758.26259854671832</v>
      </c>
      <c r="AF592" s="6">
        <f t="shared" si="270"/>
        <v>1253.8170749061117</v>
      </c>
      <c r="AH592" s="1">
        <f t="shared" si="271"/>
        <v>42825</v>
      </c>
      <c r="AI592">
        <f t="shared" si="272"/>
        <v>0.60476333727031006</v>
      </c>
      <c r="AJ592">
        <f t="shared" ca="1" si="273"/>
        <v>0.61181534337810684</v>
      </c>
      <c r="AK592">
        <f t="shared" ca="1" si="274"/>
        <v>0.62287943700260406</v>
      </c>
      <c r="AL592">
        <f t="shared" ca="1" si="275"/>
        <v>0.63807485443271394</v>
      </c>
      <c r="AM592">
        <f t="shared" ca="1" si="276"/>
        <v>0.65866468295294311</v>
      </c>
      <c r="AN592">
        <f t="shared" ca="1" si="277"/>
        <v>0.68288030255151788</v>
      </c>
    </row>
    <row r="593" spans="2:40" x14ac:dyDescent="0.25">
      <c r="B593" s="1">
        <v>42832</v>
      </c>
      <c r="C593">
        <v>7.9889999999999999</v>
      </c>
      <c r="D593">
        <v>7.5739999999999998</v>
      </c>
      <c r="E593" t="s">
        <v>33</v>
      </c>
      <c r="G593">
        <v>20727.560000000001</v>
      </c>
      <c r="I593" s="14">
        <f t="shared" si="262"/>
        <v>4.705111402359119E-2</v>
      </c>
      <c r="J593" s="15">
        <f t="shared" si="263"/>
        <v>3.7392138063278901E-2</v>
      </c>
      <c r="K593" s="15"/>
      <c r="L593" s="15"/>
      <c r="M593" s="16">
        <f t="shared" si="264"/>
        <v>2.2809410362135907E-2</v>
      </c>
      <c r="O593" s="13">
        <f t="shared" si="278"/>
        <v>4.2221626043435045E-2</v>
      </c>
      <c r="Q593" s="5">
        <f t="shared" si="265"/>
        <v>930.674758947035</v>
      </c>
      <c r="R593" s="6">
        <f t="shared" si="266"/>
        <v>1282.4159030866981</v>
      </c>
      <c r="T593" s="11">
        <f t="shared" si="267"/>
        <v>0.72571991403643443</v>
      </c>
      <c r="V593" s="9">
        <v>42832</v>
      </c>
      <c r="W593">
        <v>31220</v>
      </c>
      <c r="X593">
        <v>50139.745999999999</v>
      </c>
      <c r="Y593" t="s">
        <v>33</v>
      </c>
      <c r="AC593" s="24">
        <f t="shared" si="268"/>
        <v>4.10776140027138E-2</v>
      </c>
      <c r="AE593" s="5">
        <f t="shared" si="269"/>
        <v>789.41021688251521</v>
      </c>
      <c r="AF593" s="6">
        <f t="shared" si="270"/>
        <v>1282.4159030866981</v>
      </c>
      <c r="AH593" s="1">
        <f t="shared" si="271"/>
        <v>42832</v>
      </c>
      <c r="AI593">
        <f t="shared" si="272"/>
        <v>0.61556489979768048</v>
      </c>
      <c r="AJ593">
        <f t="shared" ca="1" si="273"/>
        <v>0.60632497656034257</v>
      </c>
      <c r="AK593">
        <f t="shared" ca="1" si="274"/>
        <v>0.62121482199530187</v>
      </c>
      <c r="AL593">
        <f t="shared" ca="1" si="275"/>
        <v>0.63551886316006001</v>
      </c>
      <c r="AM593">
        <f t="shared" ca="1" si="276"/>
        <v>0.65758183692381134</v>
      </c>
      <c r="AN593">
        <f t="shared" ca="1" si="277"/>
        <v>0.67496483204688817</v>
      </c>
    </row>
    <row r="594" spans="2:40" x14ac:dyDescent="0.25">
      <c r="B594" s="1">
        <v>42839</v>
      </c>
      <c r="C594">
        <v>8.3469999999999995</v>
      </c>
      <c r="D594">
        <v>7.8120000000000003</v>
      </c>
      <c r="E594" t="s">
        <v>33</v>
      </c>
      <c r="G594">
        <v>20812.169999999998</v>
      </c>
      <c r="I594" s="14">
        <f t="shared" si="262"/>
        <v>4.4811615971961372E-2</v>
      </c>
      <c r="J594" s="15">
        <f t="shared" si="263"/>
        <v>3.1423290203327126E-2</v>
      </c>
      <c r="K594" s="15"/>
      <c r="L594" s="15"/>
      <c r="M594" s="16">
        <f t="shared" si="264"/>
        <v>4.08200482835408E-3</v>
      </c>
      <c r="O594" s="13">
        <f t="shared" si="278"/>
        <v>3.8117453087644249E-2</v>
      </c>
      <c r="Q594" s="5">
        <f t="shared" si="265"/>
        <v>966.14971041105321</v>
      </c>
      <c r="R594" s="6">
        <f t="shared" si="266"/>
        <v>1287.6507309950562</v>
      </c>
      <c r="T594" s="11">
        <f t="shared" si="267"/>
        <v>0.7503197001755616</v>
      </c>
      <c r="V594" s="9">
        <v>42839</v>
      </c>
      <c r="W594">
        <v>32620</v>
      </c>
      <c r="X594">
        <v>51720.728999999999</v>
      </c>
      <c r="Y594" t="s">
        <v>33</v>
      </c>
      <c r="AC594" s="24">
        <f t="shared" si="268"/>
        <v>3.6560763598300128E-2</v>
      </c>
      <c r="AE594" s="5">
        <f t="shared" si="269"/>
        <v>818.27165720403968</v>
      </c>
      <c r="AF594" s="6">
        <f t="shared" si="270"/>
        <v>1287.6507309950562</v>
      </c>
      <c r="AH594" s="1">
        <f t="shared" si="271"/>
        <v>42839</v>
      </c>
      <c r="AI594">
        <f t="shared" si="272"/>
        <v>0.63547640482579071</v>
      </c>
      <c r="AJ594">
        <f t="shared" ca="1" si="273"/>
        <v>0.60632497656034257</v>
      </c>
      <c r="AK594">
        <f t="shared" ca="1" si="274"/>
        <v>0.62081513757003659</v>
      </c>
      <c r="AL594">
        <f t="shared" ca="1" si="275"/>
        <v>0.63318109687882518</v>
      </c>
      <c r="AM594">
        <f t="shared" ca="1" si="276"/>
        <v>0.656162312470154</v>
      </c>
      <c r="AN594">
        <f t="shared" ca="1" si="277"/>
        <v>0.66790371195633957</v>
      </c>
    </row>
    <row r="595" spans="2:40" x14ac:dyDescent="0.25">
      <c r="B595" s="1">
        <v>42846</v>
      </c>
      <c r="C595">
        <v>8.1319999999999997</v>
      </c>
      <c r="D595">
        <v>7.4740000000000002</v>
      </c>
      <c r="E595" t="s">
        <v>33</v>
      </c>
      <c r="G595">
        <v>20768.98</v>
      </c>
      <c r="I595" s="14">
        <f t="shared" si="262"/>
        <v>-2.5757757278063953E-2</v>
      </c>
      <c r="J595" s="15">
        <f t="shared" si="263"/>
        <v>-4.326676907322069E-2</v>
      </c>
      <c r="K595" s="15"/>
      <c r="L595" s="15"/>
      <c r="M595" s="16">
        <f t="shared" si="264"/>
        <v>-2.0752280997127226E-3</v>
      </c>
      <c r="O595" s="13">
        <f t="shared" si="278"/>
        <v>-3.4512263175642321E-2</v>
      </c>
      <c r="Q595" s="5">
        <f t="shared" si="265"/>
        <v>932.80569733827633</v>
      </c>
      <c r="R595" s="6">
        <f t="shared" si="266"/>
        <v>1284.9785620154796</v>
      </c>
      <c r="T595" s="11">
        <f t="shared" si="267"/>
        <v>0.72593094150549664</v>
      </c>
      <c r="V595" s="9">
        <v>42846</v>
      </c>
      <c r="W595">
        <v>31780</v>
      </c>
      <c r="X595">
        <v>48332.908300000003</v>
      </c>
      <c r="Y595" t="s">
        <v>33</v>
      </c>
      <c r="AC595" s="24">
        <f t="shared" si="268"/>
        <v>-3.6494904856135109E-2</v>
      </c>
      <c r="AE595" s="5">
        <f t="shared" si="269"/>
        <v>788.40891092790616</v>
      </c>
      <c r="AF595" s="6">
        <f t="shared" si="270"/>
        <v>1284.9785620154796</v>
      </c>
      <c r="AH595" s="1">
        <f t="shared" si="271"/>
        <v>42846</v>
      </c>
      <c r="AI595">
        <f t="shared" si="272"/>
        <v>0.61355802675127313</v>
      </c>
      <c r="AJ595">
        <f t="shared" ca="1" si="273"/>
        <v>0.60632497656034257</v>
      </c>
      <c r="AK595">
        <f t="shared" ca="1" si="274"/>
        <v>0.62081513757003659</v>
      </c>
      <c r="AL595">
        <f t="shared" ca="1" si="275"/>
        <v>0.63318109687882518</v>
      </c>
      <c r="AM595">
        <f t="shared" ca="1" si="276"/>
        <v>0.65498605718951763</v>
      </c>
      <c r="AN595">
        <f t="shared" ca="1" si="277"/>
        <v>0.66746940445951319</v>
      </c>
    </row>
    <row r="596" spans="2:40" x14ac:dyDescent="0.25">
      <c r="B596" s="1">
        <v>42853</v>
      </c>
      <c r="C596">
        <v>8.2390000000000008</v>
      </c>
      <c r="D596">
        <v>8.1379999999999999</v>
      </c>
      <c r="E596" t="s">
        <v>33</v>
      </c>
      <c r="G596">
        <v>21019.91</v>
      </c>
      <c r="I596" s="14">
        <f t="shared" si="262"/>
        <v>1.3157894736842257E-2</v>
      </c>
      <c r="J596" s="15">
        <f t="shared" si="263"/>
        <v>8.884131656408889E-2</v>
      </c>
      <c r="K596" s="15"/>
      <c r="L596" s="15"/>
      <c r="M596" s="16">
        <f t="shared" si="264"/>
        <v>1.208196069330314E-2</v>
      </c>
      <c r="O596" s="13">
        <f t="shared" si="278"/>
        <v>5.0999605650465574E-2</v>
      </c>
      <c r="Q596" s="5">
        <f t="shared" si="265"/>
        <v>980.37842005103596</v>
      </c>
      <c r="R596" s="6">
        <f t="shared" si="266"/>
        <v>1300.5036224934879</v>
      </c>
      <c r="T596" s="11">
        <f t="shared" si="267"/>
        <v>0.75384520511471709</v>
      </c>
      <c r="V596" s="9">
        <v>42853</v>
      </c>
      <c r="W596">
        <v>32200</v>
      </c>
      <c r="X596">
        <v>52624.147900000004</v>
      </c>
      <c r="Y596" t="s">
        <v>33</v>
      </c>
      <c r="AC596" s="24">
        <f t="shared" si="268"/>
        <v>5.8818450128344996E-2</v>
      </c>
      <c r="AE596" s="5">
        <f t="shared" si="269"/>
        <v>834.78190113606206</v>
      </c>
      <c r="AF596" s="6">
        <f t="shared" si="270"/>
        <v>1300.5036224934879</v>
      </c>
      <c r="AH596" s="1">
        <f t="shared" si="271"/>
        <v>42853</v>
      </c>
      <c r="AI596">
        <f t="shared" si="272"/>
        <v>0.641891254047808</v>
      </c>
      <c r="AJ596">
        <f t="shared" ca="1" si="273"/>
        <v>0.60632497656034257</v>
      </c>
      <c r="AK596">
        <f t="shared" ca="1" si="274"/>
        <v>0.61986670122506649</v>
      </c>
      <c r="AL596">
        <f t="shared" ca="1" si="275"/>
        <v>0.63263900275759632</v>
      </c>
      <c r="AM596">
        <f t="shared" ca="1" si="276"/>
        <v>0.65311125573380435</v>
      </c>
      <c r="AN596">
        <f t="shared" ca="1" si="277"/>
        <v>0.6670625727442786</v>
      </c>
    </row>
    <row r="597" spans="2:40" x14ac:dyDescent="0.25">
      <c r="B597" s="1">
        <v>42860</v>
      </c>
      <c r="C597">
        <v>8.0960000000000001</v>
      </c>
      <c r="D597">
        <v>8.2080000000000002</v>
      </c>
      <c r="E597" t="s">
        <v>33</v>
      </c>
      <c r="G597">
        <v>21169.68</v>
      </c>
      <c r="I597" s="14">
        <f t="shared" si="262"/>
        <v>-1.7356475300400631E-2</v>
      </c>
      <c r="J597" s="15">
        <f t="shared" si="263"/>
        <v>8.6016220201523552E-3</v>
      </c>
      <c r="K597" s="15"/>
      <c r="L597" s="15"/>
      <c r="M597" s="16">
        <f t="shared" si="264"/>
        <v>7.1251494416484373E-3</v>
      </c>
      <c r="O597" s="13">
        <f t="shared" si="278"/>
        <v>-4.377426640124138E-3</v>
      </c>
      <c r="Q597" s="5">
        <f t="shared" si="265"/>
        <v>976.08688543770165</v>
      </c>
      <c r="R597" s="6">
        <f t="shared" si="266"/>
        <v>1309.7699051531592</v>
      </c>
      <c r="T597" s="11">
        <f t="shared" si="267"/>
        <v>0.74523538951184098</v>
      </c>
      <c r="V597" s="9">
        <v>42860</v>
      </c>
      <c r="W597">
        <v>31640</v>
      </c>
      <c r="X597">
        <v>53075.857300000003</v>
      </c>
      <c r="Y597" t="s">
        <v>33</v>
      </c>
      <c r="AC597" s="24">
        <f t="shared" si="268"/>
        <v>-1.2523022975690391E-3</v>
      </c>
      <c r="AE597" s="5">
        <f t="shared" si="269"/>
        <v>833.7365018433004</v>
      </c>
      <c r="AF597" s="6">
        <f t="shared" si="270"/>
        <v>1309.7699051531592</v>
      </c>
      <c r="AH597" s="1">
        <f t="shared" si="271"/>
        <v>42860</v>
      </c>
      <c r="AI597">
        <f t="shared" si="272"/>
        <v>0.63655188484866487</v>
      </c>
      <c r="AJ597">
        <f t="shared" ca="1" si="273"/>
        <v>0.60632497656034257</v>
      </c>
      <c r="AK597">
        <f t="shared" ca="1" si="274"/>
        <v>0.61986670122506649</v>
      </c>
      <c r="AL597">
        <f t="shared" ca="1" si="275"/>
        <v>0.63263900275759632</v>
      </c>
      <c r="AM597">
        <f t="shared" ca="1" si="276"/>
        <v>0.65121974510436931</v>
      </c>
      <c r="AN597">
        <f t="shared" ca="1" si="277"/>
        <v>0.66645264724331599</v>
      </c>
    </row>
    <row r="598" spans="2:40" x14ac:dyDescent="0.25">
      <c r="B598" s="1">
        <v>42867</v>
      </c>
      <c r="C598">
        <v>7.7380000000000004</v>
      </c>
      <c r="D598">
        <v>7.9630000000000001</v>
      </c>
      <c r="E598" t="s">
        <v>33</v>
      </c>
      <c r="G598">
        <v>21502.41</v>
      </c>
      <c r="I598" s="14">
        <f t="shared" si="262"/>
        <v>-4.4219367588932745E-2</v>
      </c>
      <c r="J598" s="15">
        <f t="shared" si="263"/>
        <v>-2.9848927875243625E-2</v>
      </c>
      <c r="K598" s="15"/>
      <c r="L598" s="15"/>
      <c r="M598" s="16">
        <f t="shared" si="264"/>
        <v>1.5717290010996754E-2</v>
      </c>
      <c r="O598" s="13">
        <f t="shared" si="278"/>
        <v>-3.7034147732088185E-2</v>
      </c>
      <c r="Q598" s="5">
        <f t="shared" si="265"/>
        <v>939.93833952304806</v>
      </c>
      <c r="R598" s="6">
        <f t="shared" si="266"/>
        <v>1330.355938600127</v>
      </c>
      <c r="T598" s="11">
        <f t="shared" si="267"/>
        <v>0.70653147195486821</v>
      </c>
      <c r="V598" s="9">
        <v>42867</v>
      </c>
      <c r="W598">
        <v>30240</v>
      </c>
      <c r="X598">
        <v>51494.874300000003</v>
      </c>
      <c r="Y598" t="s">
        <v>33</v>
      </c>
      <c r="AC598" s="24">
        <f t="shared" si="268"/>
        <v>-3.5216054255503053E-2</v>
      </c>
      <c r="AE598" s="5">
        <f t="shared" si="269"/>
        <v>804.37559195959341</v>
      </c>
      <c r="AF598" s="6">
        <f t="shared" si="270"/>
        <v>1330.355938600127</v>
      </c>
      <c r="AH598" s="1">
        <f t="shared" si="271"/>
        <v>42867</v>
      </c>
      <c r="AI598">
        <f t="shared" si="272"/>
        <v>0.60463186476695951</v>
      </c>
      <c r="AJ598">
        <f t="shared" ca="1" si="273"/>
        <v>0.60632497656034257</v>
      </c>
      <c r="AK598">
        <f t="shared" ca="1" si="274"/>
        <v>0.61986670122506649</v>
      </c>
      <c r="AL598">
        <f t="shared" ca="1" si="275"/>
        <v>0.63263900275759632</v>
      </c>
      <c r="AM598">
        <f t="shared" ca="1" si="276"/>
        <v>0.65058234663142933</v>
      </c>
      <c r="AN598">
        <f t="shared" ca="1" si="277"/>
        <v>0.66138985951377827</v>
      </c>
    </row>
    <row r="599" spans="2:40" x14ac:dyDescent="0.25">
      <c r="B599" s="1">
        <v>42874</v>
      </c>
      <c r="C599">
        <v>7.415</v>
      </c>
      <c r="D599">
        <v>7.9279999999999999</v>
      </c>
      <c r="E599" t="s">
        <v>33</v>
      </c>
      <c r="G599">
        <v>21614.87</v>
      </c>
      <c r="I599" s="14">
        <f t="shared" si="262"/>
        <v>-4.174205220987337E-2</v>
      </c>
      <c r="J599" s="15">
        <f t="shared" si="263"/>
        <v>-4.3953283938213961E-3</v>
      </c>
      <c r="K599" s="15"/>
      <c r="L599" s="15"/>
      <c r="M599" s="16">
        <f t="shared" si="264"/>
        <v>5.2301114154180706E-3</v>
      </c>
      <c r="O599" s="13">
        <f t="shared" si="278"/>
        <v>-2.3068690301847383E-2</v>
      </c>
      <c r="Q599" s="5">
        <f t="shared" si="265"/>
        <v>918.25519306575825</v>
      </c>
      <c r="R599" s="6">
        <f t="shared" si="266"/>
        <v>1337.3138483811688</v>
      </c>
      <c r="T599" s="11">
        <f t="shared" si="267"/>
        <v>0.68664150466796925</v>
      </c>
      <c r="V599" s="9">
        <v>42874</v>
      </c>
      <c r="W599">
        <v>28980</v>
      </c>
      <c r="X599">
        <v>51269.0196</v>
      </c>
      <c r="Y599" t="s">
        <v>33</v>
      </c>
      <c r="AC599" s="24">
        <f t="shared" si="268"/>
        <v>-1.8212746452754065E-2</v>
      </c>
      <c r="AE599" s="5">
        <f t="shared" si="269"/>
        <v>789.72570325044933</v>
      </c>
      <c r="AF599" s="6">
        <f t="shared" si="270"/>
        <v>1337.3138483811688</v>
      </c>
      <c r="AH599" s="1">
        <f t="shared" si="271"/>
        <v>42874</v>
      </c>
      <c r="AI599">
        <f t="shared" si="272"/>
        <v>0.59053131335357056</v>
      </c>
      <c r="AJ599">
        <f t="shared" ca="1" si="273"/>
        <v>0.60486285810254181</v>
      </c>
      <c r="AK599">
        <f t="shared" ca="1" si="274"/>
        <v>0.61855853510372749</v>
      </c>
      <c r="AL599">
        <f t="shared" ca="1" si="275"/>
        <v>0.63205371277177169</v>
      </c>
      <c r="AM599">
        <f t="shared" ca="1" si="276"/>
        <v>0.65058234663142933</v>
      </c>
      <c r="AN599">
        <f t="shared" ca="1" si="277"/>
        <v>0.66138985951377827</v>
      </c>
    </row>
    <row r="600" spans="2:40" x14ac:dyDescent="0.25">
      <c r="B600" s="1">
        <v>42881</v>
      </c>
      <c r="C600">
        <v>7.81</v>
      </c>
      <c r="D600">
        <v>7.9630000000000001</v>
      </c>
      <c r="E600" t="s">
        <v>33</v>
      </c>
      <c r="G600">
        <v>22141.71</v>
      </c>
      <c r="I600" s="14">
        <f t="shared" si="262"/>
        <v>5.327039784221177E-2</v>
      </c>
      <c r="J600" s="15">
        <f t="shared" si="263"/>
        <v>4.4147325933401316E-3</v>
      </c>
      <c r="K600" s="15"/>
      <c r="L600" s="15"/>
      <c r="M600" s="16">
        <f t="shared" si="264"/>
        <v>2.4373961074019901E-2</v>
      </c>
      <c r="O600" s="13">
        <f t="shared" si="278"/>
        <v>2.8842565217775951E-2</v>
      </c>
      <c r="Q600" s="5">
        <f t="shared" si="265"/>
        <v>944.7400283583188</v>
      </c>
      <c r="R600" s="6">
        <f t="shared" si="266"/>
        <v>1369.909484065359</v>
      </c>
      <c r="T600" s="11">
        <f t="shared" si="267"/>
        <v>0.68963682589793995</v>
      </c>
      <c r="V600" s="9">
        <v>42881</v>
      </c>
      <c r="W600">
        <v>30520</v>
      </c>
      <c r="X600">
        <v>51494.874300000003</v>
      </c>
      <c r="Y600" t="s">
        <v>33</v>
      </c>
      <c r="AC600" s="24">
        <f t="shared" si="268"/>
        <v>2.2057779025178411E-2</v>
      </c>
      <c r="AE600" s="5">
        <f t="shared" si="269"/>
        <v>807.14529830325137</v>
      </c>
      <c r="AF600" s="6">
        <f t="shared" si="270"/>
        <v>1369.909484065359</v>
      </c>
      <c r="AH600" s="1">
        <f t="shared" si="271"/>
        <v>42881</v>
      </c>
      <c r="AI600">
        <f t="shared" si="272"/>
        <v>0.58919608024608872</v>
      </c>
      <c r="AJ600">
        <f t="shared" ca="1" si="273"/>
        <v>0.60464501201729459</v>
      </c>
      <c r="AK600">
        <f t="shared" ca="1" si="274"/>
        <v>0.61796105723988592</v>
      </c>
      <c r="AL600">
        <f t="shared" ca="1" si="275"/>
        <v>0.63149958963460651</v>
      </c>
      <c r="AM600">
        <f t="shared" ca="1" si="276"/>
        <v>0.64592524209489466</v>
      </c>
      <c r="AN600">
        <f t="shared" ca="1" si="277"/>
        <v>0.66138985951377827</v>
      </c>
    </row>
    <row r="601" spans="2:40" x14ac:dyDescent="0.25">
      <c r="B601" s="1">
        <v>42888</v>
      </c>
      <c r="C601">
        <v>8.2390000000000008</v>
      </c>
      <c r="D601">
        <v>7.9630000000000001</v>
      </c>
      <c r="E601" t="s">
        <v>33</v>
      </c>
      <c r="G601">
        <v>22518.99</v>
      </c>
      <c r="I601" s="14">
        <f t="shared" si="262"/>
        <v>5.4929577464788881E-2</v>
      </c>
      <c r="J601" s="15">
        <f t="shared" si="263"/>
        <v>0</v>
      </c>
      <c r="K601" s="15"/>
      <c r="L601" s="15"/>
      <c r="M601" s="16">
        <f t="shared" si="264"/>
        <v>1.7039334360354319E-2</v>
      </c>
      <c r="O601" s="13">
        <f t="shared" si="278"/>
        <v>2.7464788732394441E-2</v>
      </c>
      <c r="Q601" s="5">
        <f t="shared" si="265"/>
        <v>970.68711364421631</v>
      </c>
      <c r="R601" s="6">
        <f t="shared" si="266"/>
        <v>1393.2518298077691</v>
      </c>
      <c r="T601" s="11">
        <f t="shared" si="267"/>
        <v>0.69670614663979646</v>
      </c>
      <c r="V601" s="9">
        <v>42888</v>
      </c>
      <c r="W601">
        <v>32200</v>
      </c>
      <c r="X601">
        <v>51494.874300000003</v>
      </c>
      <c r="Y601" t="s">
        <v>33</v>
      </c>
      <c r="AC601" s="24">
        <f t="shared" si="268"/>
        <v>2.0440812944407048E-2</v>
      </c>
      <c r="AE601" s="5">
        <f t="shared" si="269"/>
        <v>823.64400436482583</v>
      </c>
      <c r="AF601" s="6">
        <f t="shared" si="270"/>
        <v>1393.2518298077691</v>
      </c>
      <c r="AH601" s="1">
        <f t="shared" si="271"/>
        <v>42888</v>
      </c>
      <c r="AI601">
        <f t="shared" si="272"/>
        <v>0.59116664105043115</v>
      </c>
      <c r="AJ601">
        <f t="shared" ca="1" si="273"/>
        <v>0.60454097365144643</v>
      </c>
      <c r="AK601">
        <f t="shared" ca="1" si="274"/>
        <v>0.61707343724386132</v>
      </c>
      <c r="AL601">
        <f t="shared" ca="1" si="275"/>
        <v>0.63058155984963937</v>
      </c>
      <c r="AM601">
        <f t="shared" ca="1" si="276"/>
        <v>0.64251684759216054</v>
      </c>
      <c r="AN601">
        <f t="shared" ca="1" si="277"/>
        <v>0.65997803941591537</v>
      </c>
    </row>
    <row r="602" spans="2:40" x14ac:dyDescent="0.25">
      <c r="B602" s="1">
        <v>42895</v>
      </c>
      <c r="C602">
        <v>8.0239999999999991</v>
      </c>
      <c r="D602">
        <v>7.7539999999999996</v>
      </c>
      <c r="E602" t="s">
        <v>33</v>
      </c>
      <c r="G602">
        <v>21614.25</v>
      </c>
      <c r="I602" s="14">
        <f t="shared" si="262"/>
        <v>-2.60953999271758E-2</v>
      </c>
      <c r="J602" s="15">
        <f t="shared" si="263"/>
        <v>-2.6246389551676574E-2</v>
      </c>
      <c r="K602" s="15"/>
      <c r="L602" s="15"/>
      <c r="M602" s="16">
        <f t="shared" si="264"/>
        <v>-4.0176757483350811E-2</v>
      </c>
      <c r="O602" s="13">
        <f t="shared" si="278"/>
        <v>-2.6170894739426187E-2</v>
      </c>
      <c r="Q602" s="5">
        <f t="shared" si="265"/>
        <v>945.28336336811617</v>
      </c>
      <c r="R602" s="6">
        <f t="shared" si="266"/>
        <v>1337.2754889283476</v>
      </c>
      <c r="T602" s="11">
        <f t="shared" si="267"/>
        <v>0.70687257127971281</v>
      </c>
      <c r="V602" s="9">
        <v>42895</v>
      </c>
      <c r="W602">
        <v>31360</v>
      </c>
      <c r="X602">
        <v>50139.745999999999</v>
      </c>
      <c r="Y602" t="s">
        <v>33</v>
      </c>
      <c r="AC602" s="24">
        <f t="shared" si="268"/>
        <v>-2.6188299185335887E-2</v>
      </c>
      <c r="AE602" s="5">
        <f t="shared" si="269"/>
        <v>802.07416875631168</v>
      </c>
      <c r="AF602" s="6">
        <f t="shared" si="270"/>
        <v>1337.2754889283476</v>
      </c>
      <c r="AH602" s="1">
        <f t="shared" si="271"/>
        <v>42895</v>
      </c>
      <c r="AI602">
        <f t="shared" si="272"/>
        <v>0.59978230020432799</v>
      </c>
      <c r="AJ602">
        <f t="shared" ca="1" si="273"/>
        <v>0.60318966360052417</v>
      </c>
      <c r="AK602">
        <f t="shared" ca="1" si="274"/>
        <v>0.61551060893652543</v>
      </c>
      <c r="AL602">
        <f t="shared" ca="1" si="275"/>
        <v>0.62934241274950287</v>
      </c>
      <c r="AM602">
        <f t="shared" ca="1" si="276"/>
        <v>0.6414807626877097</v>
      </c>
      <c r="AN602">
        <f t="shared" ca="1" si="277"/>
        <v>0.65791892401993546</v>
      </c>
    </row>
    <row r="603" spans="2:40" x14ac:dyDescent="0.25">
      <c r="B603" s="1">
        <v>42902</v>
      </c>
      <c r="C603">
        <v>7.702</v>
      </c>
      <c r="D603">
        <v>7.6840000000000002</v>
      </c>
      <c r="E603" t="s">
        <v>33</v>
      </c>
      <c r="G603">
        <v>21291.38</v>
      </c>
      <c r="I603" s="14">
        <f t="shared" si="262"/>
        <v>-4.0129611166500379E-2</v>
      </c>
      <c r="J603" s="15">
        <f t="shared" si="263"/>
        <v>-9.0275986587566859E-3</v>
      </c>
      <c r="K603" s="15"/>
      <c r="L603" s="15"/>
      <c r="M603" s="16">
        <f t="shared" si="264"/>
        <v>-1.4937830366540505E-2</v>
      </c>
      <c r="O603" s="13">
        <f t="shared" si="278"/>
        <v>-2.4578604912628532E-2</v>
      </c>
      <c r="Q603" s="5">
        <f t="shared" si="265"/>
        <v>922.04961704941059</v>
      </c>
      <c r="R603" s="6">
        <f t="shared" si="266"/>
        <v>1317.2994945214034</v>
      </c>
      <c r="T603" s="11">
        <f t="shared" si="267"/>
        <v>0.6999544301688253</v>
      </c>
      <c r="V603" s="9">
        <v>42902</v>
      </c>
      <c r="W603">
        <v>30100</v>
      </c>
      <c r="X603">
        <v>49688.034299999999</v>
      </c>
      <c r="Y603" t="s">
        <v>33</v>
      </c>
      <c r="AC603" s="24">
        <f t="shared" si="268"/>
        <v>-2.0995232425895571E-2</v>
      </c>
      <c r="AE603" s="5">
        <f t="shared" si="269"/>
        <v>785.23443516046598</v>
      </c>
      <c r="AF603" s="6">
        <f t="shared" si="270"/>
        <v>1317.2994945214034</v>
      </c>
      <c r="AH603" s="1">
        <f t="shared" si="271"/>
        <v>42902</v>
      </c>
      <c r="AI603">
        <f t="shared" si="272"/>
        <v>0.5960940837115819</v>
      </c>
      <c r="AJ603">
        <f t="shared" ca="1" si="273"/>
        <v>0.60244078851020122</v>
      </c>
      <c r="AK603">
        <f t="shared" ca="1" si="274"/>
        <v>0.61490030895261361</v>
      </c>
      <c r="AL603">
        <f t="shared" ca="1" si="275"/>
        <v>0.62823590815306962</v>
      </c>
      <c r="AM603">
        <f t="shared" ca="1" si="276"/>
        <v>0.64105277084671553</v>
      </c>
      <c r="AN603">
        <f t="shared" ca="1" si="277"/>
        <v>0.65565102482067072</v>
      </c>
    </row>
    <row r="604" spans="2:40" x14ac:dyDescent="0.25">
      <c r="B604" s="1">
        <v>42909</v>
      </c>
      <c r="C604">
        <v>7.702</v>
      </c>
      <c r="D604">
        <v>7.4039999999999999</v>
      </c>
      <c r="E604" t="s">
        <v>33</v>
      </c>
      <c r="G604">
        <v>21066.14</v>
      </c>
      <c r="I604" s="14">
        <f t="shared" si="262"/>
        <v>0</v>
      </c>
      <c r="J604" s="15">
        <f t="shared" si="263"/>
        <v>-3.6439354502863175E-2</v>
      </c>
      <c r="K604" s="15"/>
      <c r="L604" s="15"/>
      <c r="M604" s="16">
        <f t="shared" si="264"/>
        <v>-1.0578929125308112E-2</v>
      </c>
      <c r="O604" s="13">
        <f t="shared" si="278"/>
        <v>-1.8219677251431587E-2</v>
      </c>
      <c r="Q604" s="5">
        <f t="shared" si="265"/>
        <v>905.25017061696428</v>
      </c>
      <c r="R604" s="6">
        <f t="shared" si="266"/>
        <v>1303.3638765320572</v>
      </c>
      <c r="T604" s="11">
        <f t="shared" si="267"/>
        <v>0.69454907176468683</v>
      </c>
      <c r="V604" s="9">
        <v>42909</v>
      </c>
      <c r="W604">
        <v>30100</v>
      </c>
      <c r="X604">
        <v>47881.196600000003</v>
      </c>
      <c r="Y604" t="s">
        <v>33</v>
      </c>
      <c r="AC604" s="24">
        <f t="shared" si="268"/>
        <v>-2.2692624430379341E-2</v>
      </c>
      <c r="AE604" s="5">
        <f t="shared" si="269"/>
        <v>767.4154050335685</v>
      </c>
      <c r="AF604" s="6">
        <f t="shared" si="270"/>
        <v>1303.3638765320572</v>
      </c>
      <c r="AH604" s="1">
        <f t="shared" si="271"/>
        <v>42909</v>
      </c>
      <c r="AI604">
        <f t="shared" si="272"/>
        <v>0.58879597543817097</v>
      </c>
      <c r="AJ604">
        <f t="shared" ca="1" si="273"/>
        <v>0.60004148401667479</v>
      </c>
      <c r="AK604">
        <f t="shared" ca="1" si="274"/>
        <v>0.61302423388089955</v>
      </c>
      <c r="AL604">
        <f t="shared" ca="1" si="275"/>
        <v>0.62772923507003042</v>
      </c>
      <c r="AM604">
        <f t="shared" ca="1" si="276"/>
        <v>0.64069151500129284</v>
      </c>
      <c r="AN604">
        <f t="shared" ca="1" si="277"/>
        <v>0.6545144277850381</v>
      </c>
    </row>
    <row r="605" spans="2:40" x14ac:dyDescent="0.25">
      <c r="B605" s="1">
        <v>42916</v>
      </c>
      <c r="C605">
        <v>7.6660000000000004</v>
      </c>
      <c r="D605">
        <v>7.4039999999999999</v>
      </c>
      <c r="E605" t="s">
        <v>33</v>
      </c>
      <c r="G605">
        <v>21912.63</v>
      </c>
      <c r="I605" s="14">
        <f t="shared" si="262"/>
        <v>-4.674110620617955E-3</v>
      </c>
      <c r="J605" s="15">
        <f t="shared" si="263"/>
        <v>0</v>
      </c>
      <c r="K605" s="15"/>
      <c r="L605" s="15"/>
      <c r="M605" s="16">
        <f t="shared" si="264"/>
        <v>4.0182491904069861E-2</v>
      </c>
      <c r="O605" s="13">
        <f t="shared" si="278"/>
        <v>-2.3370553103089775E-3</v>
      </c>
      <c r="Q605" s="5">
        <f t="shared" si="265"/>
        <v>903.13455089856575</v>
      </c>
      <c r="R605" s="6">
        <f t="shared" si="266"/>
        <v>1355.7362849488638</v>
      </c>
      <c r="T605" s="11">
        <f t="shared" si="267"/>
        <v>0.66615798435506979</v>
      </c>
      <c r="V605" s="9">
        <v>42916</v>
      </c>
      <c r="W605">
        <v>29960</v>
      </c>
      <c r="X605">
        <v>47881.196600000003</v>
      </c>
      <c r="Y605" t="s">
        <v>33</v>
      </c>
      <c r="AC605" s="24">
        <f t="shared" si="268"/>
        <v>-1.8041622315987961E-3</v>
      </c>
      <c r="AE605" s="5">
        <f t="shared" si="269"/>
        <v>766.03086314385985</v>
      </c>
      <c r="AF605" s="6">
        <f t="shared" si="270"/>
        <v>1355.7362849488638</v>
      </c>
      <c r="AH605" s="1">
        <f t="shared" si="271"/>
        <v>42916</v>
      </c>
      <c r="AI605">
        <f t="shared" si="272"/>
        <v>0.56502940258234169</v>
      </c>
      <c r="AJ605">
        <f t="shared" ca="1" si="273"/>
        <v>0.59971762743920831</v>
      </c>
      <c r="AK605">
        <f t="shared" ca="1" si="274"/>
        <v>0.61000677785049084</v>
      </c>
      <c r="AL605">
        <f t="shared" ca="1" si="275"/>
        <v>0.62661855267354571</v>
      </c>
      <c r="AM605">
        <f t="shared" ca="1" si="276"/>
        <v>0.63903742529904339</v>
      </c>
      <c r="AN605">
        <f t="shared" ca="1" si="277"/>
        <v>0.65239133029946839</v>
      </c>
    </row>
    <row r="606" spans="2:40" x14ac:dyDescent="0.25">
      <c r="B606" s="1">
        <v>42923</v>
      </c>
      <c r="C606">
        <v>8.2040000000000006</v>
      </c>
      <c r="D606">
        <v>7.5439999999999996</v>
      </c>
      <c r="E606" t="s">
        <v>33</v>
      </c>
      <c r="G606">
        <v>22027.84</v>
      </c>
      <c r="I606" s="14">
        <f t="shared" si="262"/>
        <v>7.0180015653535044E-2</v>
      </c>
      <c r="J606" s="15">
        <f t="shared" si="263"/>
        <v>1.8908698001080415E-2</v>
      </c>
      <c r="K606" s="15"/>
      <c r="L606" s="15"/>
      <c r="M606" s="16">
        <f t="shared" si="264"/>
        <v>5.2576984141108341E-3</v>
      </c>
      <c r="O606" s="13">
        <f t="shared" si="278"/>
        <v>4.4544356827307729E-2</v>
      </c>
      <c r="Q606" s="5">
        <f t="shared" si="265"/>
        <v>943.36409859686182</v>
      </c>
      <c r="R606" s="6">
        <f t="shared" si="266"/>
        <v>1362.864337464192</v>
      </c>
      <c r="T606" s="11">
        <f t="shared" si="267"/>
        <v>0.69219222534806979</v>
      </c>
      <c r="V606" s="9">
        <v>42923</v>
      </c>
      <c r="W606">
        <v>32060</v>
      </c>
      <c r="X606">
        <v>48784.615400000002</v>
      </c>
      <c r="Y606" t="s">
        <v>33</v>
      </c>
      <c r="AC606" s="24">
        <f t="shared" si="268"/>
        <v>3.8642319065013815E-2</v>
      </c>
      <c r="AE606" s="5">
        <f t="shared" si="269"/>
        <v>795.63207217111278</v>
      </c>
      <c r="AF606" s="6">
        <f t="shared" si="270"/>
        <v>1362.864337464192</v>
      </c>
      <c r="AH606" s="1">
        <f t="shared" si="271"/>
        <v>42923</v>
      </c>
      <c r="AI606">
        <f t="shared" si="272"/>
        <v>0.58379403606048008</v>
      </c>
      <c r="AJ606">
        <f t="shared" ca="1" si="273"/>
        <v>0.59645571949806542</v>
      </c>
      <c r="AK606">
        <f t="shared" ca="1" si="274"/>
        <v>0.60550974351204812</v>
      </c>
      <c r="AL606">
        <f t="shared" ca="1" si="275"/>
        <v>0.62510752548125725</v>
      </c>
      <c r="AM606">
        <f t="shared" ca="1" si="276"/>
        <v>0.63785457272494939</v>
      </c>
      <c r="AN606">
        <f t="shared" ca="1" si="277"/>
        <v>0.65239133029946839</v>
      </c>
    </row>
    <row r="607" spans="2:40" x14ac:dyDescent="0.25">
      <c r="B607" s="1">
        <v>42930</v>
      </c>
      <c r="C607">
        <v>8.0239999999999991</v>
      </c>
      <c r="D607">
        <v>7.5789999999999997</v>
      </c>
      <c r="E607" t="s">
        <v>33</v>
      </c>
      <c r="G607">
        <v>21880.16</v>
      </c>
      <c r="I607" s="14">
        <f t="shared" si="262"/>
        <v>-2.1940516821063127E-2</v>
      </c>
      <c r="J607" s="15">
        <f t="shared" si="263"/>
        <v>4.6394485683987075E-3</v>
      </c>
      <c r="K607" s="15"/>
      <c r="L607" s="15"/>
      <c r="M607" s="16">
        <f t="shared" si="264"/>
        <v>-6.704243357496753E-3</v>
      </c>
      <c r="O607" s="13">
        <f t="shared" si="278"/>
        <v>-8.65053412633221E-3</v>
      </c>
      <c r="Q607" s="5">
        <f t="shared" si="265"/>
        <v>935.203495268393</v>
      </c>
      <c r="R607" s="6">
        <f t="shared" si="266"/>
        <v>1353.7273632825784</v>
      </c>
      <c r="T607" s="11">
        <f t="shared" si="267"/>
        <v>0.6908359250422994</v>
      </c>
      <c r="V607" s="9">
        <v>42930</v>
      </c>
      <c r="W607">
        <v>31360</v>
      </c>
      <c r="X607">
        <v>49010.470099999999</v>
      </c>
      <c r="Y607" t="s">
        <v>33</v>
      </c>
      <c r="AC607" s="24">
        <f t="shared" si="268"/>
        <v>-5.9011877642734419E-3</v>
      </c>
      <c r="AE607" s="5">
        <f t="shared" si="269"/>
        <v>790.93689792195312</v>
      </c>
      <c r="AF607" s="6">
        <f t="shared" si="270"/>
        <v>1353.7273632825784</v>
      </c>
      <c r="AH607" s="1">
        <f t="shared" si="271"/>
        <v>42930</v>
      </c>
      <c r="AI607">
        <f t="shared" si="272"/>
        <v>0.5842660194177165</v>
      </c>
      <c r="AJ607">
        <f t="shared" ca="1" si="273"/>
        <v>0.59165938531654627</v>
      </c>
      <c r="AK607">
        <f t="shared" ca="1" si="274"/>
        <v>0.60473046914447237</v>
      </c>
      <c r="AL607">
        <f t="shared" ca="1" si="275"/>
        <v>0.62405405667251967</v>
      </c>
      <c r="AM607">
        <f t="shared" ca="1" si="276"/>
        <v>0.63682248639079486</v>
      </c>
      <c r="AN607">
        <f t="shared" ca="1" si="277"/>
        <v>0.65074423024294425</v>
      </c>
    </row>
    <row r="608" spans="2:40" x14ac:dyDescent="0.25">
      <c r="B608" s="1">
        <v>42937</v>
      </c>
      <c r="C608">
        <v>8.0239999999999991</v>
      </c>
      <c r="D608">
        <v>7.09</v>
      </c>
      <c r="E608" t="s">
        <v>33</v>
      </c>
      <c r="G608">
        <v>21498.58</v>
      </c>
      <c r="I608" s="14">
        <f t="shared" si="262"/>
        <v>0</v>
      </c>
      <c r="J608" s="15">
        <f t="shared" si="263"/>
        <v>-6.4520385275102288E-2</v>
      </c>
      <c r="K608" s="15"/>
      <c r="L608" s="15"/>
      <c r="M608" s="16">
        <f t="shared" si="264"/>
        <v>-1.7439543403704461E-2</v>
      </c>
      <c r="O608" s="13">
        <f t="shared" si="278"/>
        <v>-3.2260192637551144E-2</v>
      </c>
      <c r="Q608" s="5">
        <f t="shared" si="265"/>
        <v>905.03365035572347</v>
      </c>
      <c r="R608" s="6">
        <f t="shared" si="266"/>
        <v>1330.1189761738294</v>
      </c>
      <c r="T608" s="11">
        <f t="shared" si="267"/>
        <v>0.68041556174103268</v>
      </c>
      <c r="V608" s="9">
        <v>42937</v>
      </c>
      <c r="W608">
        <v>31360</v>
      </c>
      <c r="X608">
        <v>45848.504300000001</v>
      </c>
      <c r="Y608" t="s">
        <v>33</v>
      </c>
      <c r="AC608" s="24">
        <f t="shared" si="268"/>
        <v>-3.9344978440854987E-2</v>
      </c>
      <c r="AE608" s="5">
        <f t="shared" si="269"/>
        <v>759.81750272513716</v>
      </c>
      <c r="AF608" s="6">
        <f t="shared" si="270"/>
        <v>1330.1189761738294</v>
      </c>
      <c r="AH608" s="1">
        <f t="shared" si="271"/>
        <v>42937</v>
      </c>
      <c r="AI608">
        <f t="shared" si="272"/>
        <v>0.57124025469571138</v>
      </c>
      <c r="AJ608">
        <f t="shared" ca="1" si="273"/>
        <v>0.59059484612325663</v>
      </c>
      <c r="AK608">
        <f t="shared" ca="1" si="274"/>
        <v>0.60473046914447237</v>
      </c>
      <c r="AL608">
        <f t="shared" ca="1" si="275"/>
        <v>0.62405405667251967</v>
      </c>
      <c r="AM608">
        <f t="shared" ca="1" si="276"/>
        <v>0.63682248639079486</v>
      </c>
      <c r="AN608">
        <f t="shared" ca="1" si="277"/>
        <v>0.65074423024294425</v>
      </c>
    </row>
    <row r="609" spans="2:40" x14ac:dyDescent="0.25">
      <c r="B609" s="1">
        <v>42944</v>
      </c>
      <c r="C609">
        <v>8.1530000000000005</v>
      </c>
      <c r="D609">
        <v>7.4039999999999999</v>
      </c>
      <c r="E609" t="s">
        <v>33</v>
      </c>
      <c r="G609">
        <v>21689.22</v>
      </c>
      <c r="I609" s="14">
        <f t="shared" si="262"/>
        <v>1.6076769690927417E-2</v>
      </c>
      <c r="J609" s="15">
        <f t="shared" si="263"/>
        <v>4.428772919605084E-2</v>
      </c>
      <c r="K609" s="15"/>
      <c r="L609" s="15"/>
      <c r="M609" s="16">
        <f t="shared" si="264"/>
        <v>8.867562415750152E-3</v>
      </c>
      <c r="O609" s="13">
        <f t="shared" si="278"/>
        <v>3.0182249443489129E-2</v>
      </c>
      <c r="Q609" s="5">
        <f t="shared" si="265"/>
        <v>932.34960174551145</v>
      </c>
      <c r="R609" s="6">
        <f t="shared" si="266"/>
        <v>1341.9138892154244</v>
      </c>
      <c r="T609" s="11">
        <f t="shared" si="267"/>
        <v>0.69479093199536623</v>
      </c>
      <c r="V609" s="9">
        <v>42944</v>
      </c>
      <c r="W609">
        <v>30800</v>
      </c>
      <c r="X609">
        <v>47881.196600000003</v>
      </c>
      <c r="Y609" t="s">
        <v>33</v>
      </c>
      <c r="AC609" s="24">
        <f t="shared" si="268"/>
        <v>3.282920272799348E-2</v>
      </c>
      <c r="AE609" s="5">
        <f t="shared" si="269"/>
        <v>784.76170555837848</v>
      </c>
      <c r="AF609" s="6">
        <f t="shared" si="270"/>
        <v>1341.9138892154244</v>
      </c>
      <c r="AH609" s="1">
        <f t="shared" si="271"/>
        <v>42944</v>
      </c>
      <c r="AI609">
        <f t="shared" si="272"/>
        <v>0.58480779718078968</v>
      </c>
      <c r="AJ609">
        <f t="shared" ca="1" si="273"/>
        <v>0.58932960355683695</v>
      </c>
      <c r="AK609">
        <f t="shared" ca="1" si="274"/>
        <v>0.60460661723487252</v>
      </c>
      <c r="AL609">
        <f t="shared" ca="1" si="275"/>
        <v>0.62234806669538734</v>
      </c>
      <c r="AM609">
        <f t="shared" ca="1" si="276"/>
        <v>0.63574527483150922</v>
      </c>
      <c r="AN609">
        <f t="shared" ca="1" si="277"/>
        <v>0.64965720073831201</v>
      </c>
    </row>
    <row r="610" spans="2:40" x14ac:dyDescent="0.25">
      <c r="B610" s="1">
        <v>42951</v>
      </c>
      <c r="C610">
        <v>8.4120000000000008</v>
      </c>
      <c r="D610">
        <v>7.5439999999999996</v>
      </c>
      <c r="E610" t="s">
        <v>33</v>
      </c>
      <c r="G610">
        <v>21703.9</v>
      </c>
      <c r="I610" s="14">
        <f t="shared" si="262"/>
        <v>3.1767447565313356E-2</v>
      </c>
      <c r="J610" s="15">
        <f t="shared" si="263"/>
        <v>1.8908698001080415E-2</v>
      </c>
      <c r="K610" s="15"/>
      <c r="L610" s="15"/>
      <c r="M610" s="16">
        <f t="shared" si="264"/>
        <v>6.7683392948203469E-4</v>
      </c>
      <c r="O610" s="13">
        <f t="shared" si="278"/>
        <v>2.5338072783196885E-2</v>
      </c>
      <c r="Q610" s="5">
        <f t="shared" si="265"/>
        <v>955.97354381392381</v>
      </c>
      <c r="R610" s="6">
        <f t="shared" si="266"/>
        <v>1342.8221420660886</v>
      </c>
      <c r="T610" s="11">
        <f t="shared" si="267"/>
        <v>0.71191374781998074</v>
      </c>
      <c r="V610" s="9">
        <v>42951</v>
      </c>
      <c r="W610">
        <v>31780</v>
      </c>
      <c r="X610">
        <v>48784.615400000002</v>
      </c>
      <c r="Y610" t="s">
        <v>33</v>
      </c>
      <c r="AC610" s="24">
        <f t="shared" si="268"/>
        <v>2.3942295654555537E-2</v>
      </c>
      <c r="AE610" s="5">
        <f t="shared" si="269"/>
        <v>803.55070233123047</v>
      </c>
      <c r="AF610" s="6">
        <f t="shared" si="270"/>
        <v>1342.8221420660886</v>
      </c>
      <c r="AH610" s="1">
        <f t="shared" si="271"/>
        <v>42951</v>
      </c>
      <c r="AI610">
        <f t="shared" si="272"/>
        <v>0.59840441794836197</v>
      </c>
      <c r="AJ610">
        <f t="shared" ca="1" si="273"/>
        <v>0.5888359859189628</v>
      </c>
      <c r="AK610">
        <f t="shared" ca="1" si="274"/>
        <v>0.60399169056090773</v>
      </c>
      <c r="AL610">
        <f t="shared" ca="1" si="275"/>
        <v>0.62114431790964986</v>
      </c>
      <c r="AM610">
        <f t="shared" ca="1" si="276"/>
        <v>0.63392167768364904</v>
      </c>
      <c r="AN610">
        <f t="shared" ca="1" si="277"/>
        <v>0.64965720073831201</v>
      </c>
    </row>
    <row r="611" spans="2:40" x14ac:dyDescent="0.25">
      <c r="B611" s="1">
        <v>42958</v>
      </c>
      <c r="C611">
        <v>8.1530000000000005</v>
      </c>
      <c r="D611">
        <v>7.5439999999999996</v>
      </c>
      <c r="E611" t="s">
        <v>33</v>
      </c>
      <c r="G611">
        <v>21632.98</v>
      </c>
      <c r="I611" s="14">
        <f t="shared" si="262"/>
        <v>-3.0789348549690954E-2</v>
      </c>
      <c r="J611" s="15">
        <f t="shared" si="263"/>
        <v>0</v>
      </c>
      <c r="K611" s="15"/>
      <c r="L611" s="15"/>
      <c r="M611" s="16">
        <f t="shared" si="264"/>
        <v>-3.2676154976756244E-3</v>
      </c>
      <c r="O611" s="13">
        <f t="shared" si="278"/>
        <v>-1.5394674274845477E-2</v>
      </c>
      <c r="Q611" s="5">
        <f t="shared" si="265"/>
        <v>941.25664249153874</v>
      </c>
      <c r="R611" s="6">
        <f t="shared" si="266"/>
        <v>1338.4343156240516</v>
      </c>
      <c r="T611" s="11">
        <f t="shared" si="267"/>
        <v>0.70325202477543558</v>
      </c>
      <c r="V611" s="9">
        <v>42958</v>
      </c>
      <c r="W611">
        <v>30800</v>
      </c>
      <c r="X611">
        <v>48784.615400000002</v>
      </c>
      <c r="Y611" t="s">
        <v>33</v>
      </c>
      <c r="AC611" s="24">
        <f t="shared" si="268"/>
        <v>-1.2145350561794881E-2</v>
      </c>
      <c r="AE611" s="5">
        <f t="shared" si="269"/>
        <v>793.79129735724121</v>
      </c>
      <c r="AF611" s="6">
        <f t="shared" si="270"/>
        <v>1338.4343156240516</v>
      </c>
      <c r="AH611" s="1">
        <f t="shared" si="271"/>
        <v>42958</v>
      </c>
      <c r="AI611">
        <f t="shared" si="272"/>
        <v>0.59307452602717536</v>
      </c>
      <c r="AJ611">
        <f t="shared" ca="1" si="273"/>
        <v>0.5888359859189628</v>
      </c>
      <c r="AK611">
        <f t="shared" ca="1" si="274"/>
        <v>0.60172617879692902</v>
      </c>
      <c r="AL611">
        <f t="shared" ca="1" si="275"/>
        <v>0.62062696540172757</v>
      </c>
      <c r="AM611">
        <f t="shared" ca="1" si="276"/>
        <v>0.63392167768364904</v>
      </c>
      <c r="AN611">
        <f t="shared" ca="1" si="277"/>
        <v>0.64965720073831201</v>
      </c>
    </row>
    <row r="612" spans="2:40" x14ac:dyDescent="0.25">
      <c r="B612" s="1">
        <v>42965</v>
      </c>
      <c r="C612">
        <v>8.6720000000000006</v>
      </c>
      <c r="D612">
        <v>8.3130000000000006</v>
      </c>
      <c r="E612" t="s">
        <v>33</v>
      </c>
      <c r="G612">
        <v>22967.35</v>
      </c>
      <c r="I612" s="14">
        <f t="shared" si="262"/>
        <v>6.3657549368330679E-2</v>
      </c>
      <c r="J612" s="15">
        <f t="shared" si="263"/>
        <v>0.10193531283138935</v>
      </c>
      <c r="K612" s="15"/>
      <c r="L612" s="15"/>
      <c r="M612" s="16">
        <f t="shared" si="264"/>
        <v>6.1682209293402845E-2</v>
      </c>
      <c r="O612" s="13">
        <f t="shared" si="278"/>
        <v>8.2796431099860013E-2</v>
      </c>
      <c r="Q612" s="5">
        <f t="shared" si="265"/>
        <v>1019.1893332388748</v>
      </c>
      <c r="R612" s="6">
        <f t="shared" si="266"/>
        <v>1420.9919012058467</v>
      </c>
      <c r="T612" s="11">
        <f t="shared" si="267"/>
        <v>0.71723796059217215</v>
      </c>
      <c r="V612" s="9">
        <v>42965</v>
      </c>
      <c r="W612">
        <v>32760</v>
      </c>
      <c r="X612">
        <v>53753.418899999997</v>
      </c>
      <c r="Y612" t="s">
        <v>33</v>
      </c>
      <c r="AC612" s="24">
        <f t="shared" si="268"/>
        <v>8.7121455797128836E-2</v>
      </c>
      <c r="AE612" s="5">
        <f t="shared" si="269"/>
        <v>862.94755078209573</v>
      </c>
      <c r="AF612" s="6">
        <f t="shared" si="270"/>
        <v>1420.9919012058467</v>
      </c>
      <c r="AH612" s="1">
        <f t="shared" si="271"/>
        <v>42965</v>
      </c>
      <c r="AI612">
        <f t="shared" si="272"/>
        <v>0.60728534064817874</v>
      </c>
      <c r="AJ612">
        <f t="shared" ca="1" si="273"/>
        <v>0.5888359859189628</v>
      </c>
      <c r="AK612">
        <f t="shared" ca="1" si="274"/>
        <v>0.59976433554735031</v>
      </c>
      <c r="AL612">
        <f t="shared" ca="1" si="275"/>
        <v>0.61948278138502366</v>
      </c>
      <c r="AM612">
        <f t="shared" ca="1" si="276"/>
        <v>0.63392167768364904</v>
      </c>
      <c r="AN612">
        <f t="shared" ca="1" si="277"/>
        <v>0.64965720073831201</v>
      </c>
    </row>
    <row r="613" spans="2:40" x14ac:dyDescent="0.25">
      <c r="B613" s="1">
        <v>42972</v>
      </c>
      <c r="C613">
        <v>8.6720000000000006</v>
      </c>
      <c r="D613">
        <v>8.3130000000000006</v>
      </c>
      <c r="E613" t="s">
        <v>33</v>
      </c>
      <c r="G613">
        <v>23500.95</v>
      </c>
      <c r="I613" s="14">
        <f t="shared" si="262"/>
        <v>0</v>
      </c>
      <c r="J613" s="15">
        <f t="shared" si="263"/>
        <v>0</v>
      </c>
      <c r="K613" s="15"/>
      <c r="L613" s="15"/>
      <c r="M613" s="16">
        <f t="shared" si="264"/>
        <v>2.3232980731342723E-2</v>
      </c>
      <c r="O613" s="13">
        <f t="shared" si="278"/>
        <v>0</v>
      </c>
      <c r="Q613" s="5">
        <f t="shared" si="265"/>
        <v>1019.1893332388748</v>
      </c>
      <c r="R613" s="6">
        <f t="shared" si="266"/>
        <v>1454.0057786659563</v>
      </c>
      <c r="T613" s="11">
        <f t="shared" si="267"/>
        <v>0.70095273911082834</v>
      </c>
      <c r="V613" s="9">
        <v>42972</v>
      </c>
      <c r="W613">
        <v>32760</v>
      </c>
      <c r="X613">
        <v>53753.418899999997</v>
      </c>
      <c r="Y613" t="s">
        <v>33</v>
      </c>
      <c r="AC613" s="24">
        <f t="shared" si="268"/>
        <v>0</v>
      </c>
      <c r="AE613" s="5">
        <f t="shared" si="269"/>
        <v>862.94755078209573</v>
      </c>
      <c r="AF613" s="6">
        <f t="shared" si="270"/>
        <v>1454.0057786659563</v>
      </c>
      <c r="AH613" s="1">
        <f t="shared" si="271"/>
        <v>42972</v>
      </c>
      <c r="AI613">
        <f t="shared" si="272"/>
        <v>0.59349664454143103</v>
      </c>
      <c r="AJ613">
        <f t="shared" ca="1" si="273"/>
        <v>0.5888359859189628</v>
      </c>
      <c r="AK613">
        <f t="shared" ca="1" si="274"/>
        <v>0.59976433554735031</v>
      </c>
      <c r="AL613">
        <f t="shared" ca="1" si="275"/>
        <v>0.61948278138502366</v>
      </c>
      <c r="AM613">
        <f t="shared" ca="1" si="276"/>
        <v>0.63392167768364904</v>
      </c>
      <c r="AN613">
        <f t="shared" ca="1" si="277"/>
        <v>0.64965720073831201</v>
      </c>
    </row>
    <row r="614" spans="2:40" x14ac:dyDescent="0.25">
      <c r="B614" s="1">
        <v>42979</v>
      </c>
      <c r="C614">
        <v>8.6720000000000006</v>
      </c>
      <c r="D614">
        <v>8.2430000000000003</v>
      </c>
      <c r="E614" t="s">
        <v>33</v>
      </c>
      <c r="G614">
        <v>23657.64</v>
      </c>
      <c r="I614" s="14">
        <f t="shared" si="262"/>
        <v>0</v>
      </c>
      <c r="J614" s="15">
        <f t="shared" si="263"/>
        <v>-8.4205461325634889E-3</v>
      </c>
      <c r="K614" s="15"/>
      <c r="L614" s="15"/>
      <c r="M614" s="16">
        <f t="shared" si="264"/>
        <v>6.6673900416791554E-3</v>
      </c>
      <c r="O614" s="13">
        <f t="shared" si="278"/>
        <v>-4.2102730662817445E-3</v>
      </c>
      <c r="Q614" s="5">
        <f t="shared" si="265"/>
        <v>1014.8982678396976</v>
      </c>
      <c r="R614" s="6">
        <f t="shared" si="266"/>
        <v>1463.7002023151776</v>
      </c>
      <c r="T614" s="11">
        <f t="shared" si="267"/>
        <v>0.69337851168866627</v>
      </c>
      <c r="V614" s="9">
        <v>42979</v>
      </c>
      <c r="W614">
        <v>32760</v>
      </c>
      <c r="X614">
        <v>53301.709499999997</v>
      </c>
      <c r="Y614" t="s">
        <v>33</v>
      </c>
      <c r="AC614" s="24">
        <f t="shared" si="268"/>
        <v>-5.2319414650998175E-3</v>
      </c>
      <c r="AE614" s="5">
        <f t="shared" si="269"/>
        <v>858.43265970895254</v>
      </c>
      <c r="AF614" s="6">
        <f t="shared" si="270"/>
        <v>1463.7002023151776</v>
      </c>
      <c r="AH614" s="1">
        <f t="shared" si="271"/>
        <v>42979</v>
      </c>
      <c r="AI614">
        <f t="shared" si="272"/>
        <v>0.58648120588570274</v>
      </c>
      <c r="AJ614">
        <f t="shared" ca="1" si="273"/>
        <v>0.5888359859189628</v>
      </c>
      <c r="AK614">
        <f t="shared" ca="1" si="274"/>
        <v>0.59943782964033643</v>
      </c>
      <c r="AL614">
        <f t="shared" ca="1" si="275"/>
        <v>0.61948278138502366</v>
      </c>
      <c r="AM614">
        <f t="shared" ca="1" si="276"/>
        <v>0.63392167768364904</v>
      </c>
      <c r="AN614">
        <f t="shared" ca="1" si="277"/>
        <v>0.64965720073831201</v>
      </c>
    </row>
    <row r="615" spans="2:40" x14ac:dyDescent="0.25">
      <c r="B615" s="1">
        <v>42986</v>
      </c>
      <c r="C615">
        <v>9.4130000000000003</v>
      </c>
      <c r="D615">
        <v>8.6620000000000008</v>
      </c>
      <c r="E615" t="s">
        <v>33</v>
      </c>
      <c r="G615">
        <v>24018.13</v>
      </c>
      <c r="I615" s="14">
        <f t="shared" si="262"/>
        <v>8.5447416974169688E-2</v>
      </c>
      <c r="J615" s="15">
        <f t="shared" si="263"/>
        <v>5.0831008128108701E-2</v>
      </c>
      <c r="K615" s="15"/>
      <c r="L615" s="15"/>
      <c r="M615" s="16">
        <f t="shared" si="264"/>
        <v>1.5237783650440262E-2</v>
      </c>
      <c r="O615" s="13">
        <f t="shared" si="278"/>
        <v>6.8139212551139194E-2</v>
      </c>
      <c r="Q615" s="5">
        <f t="shared" si="265"/>
        <v>1084.05263662981</v>
      </c>
      <c r="R615" s="6">
        <f t="shared" si="266"/>
        <v>1486.003749327162</v>
      </c>
      <c r="T615" s="11">
        <f t="shared" si="267"/>
        <v>0.72950868200746544</v>
      </c>
      <c r="V615" s="9">
        <v>42986</v>
      </c>
      <c r="W615">
        <v>35560</v>
      </c>
      <c r="X615">
        <v>56011.965900000003</v>
      </c>
      <c r="Y615" t="s">
        <v>33</v>
      </c>
      <c r="AC615" s="24">
        <f t="shared" si="268"/>
        <v>6.4007989626448075E-2</v>
      </c>
      <c r="AE615" s="5">
        <f t="shared" si="269"/>
        <v>913.37920848660735</v>
      </c>
      <c r="AF615" s="6">
        <f t="shared" si="270"/>
        <v>1486.003749327162</v>
      </c>
      <c r="AH615" s="1">
        <f t="shared" si="271"/>
        <v>42986</v>
      </c>
      <c r="AI615">
        <f t="shared" si="272"/>
        <v>0.61465471328734556</v>
      </c>
      <c r="AJ615">
        <f t="shared" ca="1" si="273"/>
        <v>0.58671268284094957</v>
      </c>
      <c r="AK615">
        <f t="shared" ca="1" si="274"/>
        <v>0.59782683438916695</v>
      </c>
      <c r="AL615">
        <f t="shared" ca="1" si="275"/>
        <v>0.61948278138502366</v>
      </c>
      <c r="AM615">
        <f t="shared" ca="1" si="276"/>
        <v>0.63392167768364904</v>
      </c>
      <c r="AN615">
        <f t="shared" ca="1" si="277"/>
        <v>0.64965720073831201</v>
      </c>
    </row>
    <row r="616" spans="2:40" x14ac:dyDescent="0.25">
      <c r="B616" s="1">
        <v>42993</v>
      </c>
      <c r="C616">
        <v>9.2650000000000006</v>
      </c>
      <c r="D616">
        <v>8.3469999999999995</v>
      </c>
      <c r="E616" t="s">
        <v>33</v>
      </c>
      <c r="G616">
        <v>23715.54</v>
      </c>
      <c r="I616" s="14">
        <f t="shared" si="262"/>
        <v>-1.5722936364602091E-2</v>
      </c>
      <c r="J616" s="15">
        <f t="shared" si="263"/>
        <v>-3.6365735395982646E-2</v>
      </c>
      <c r="K616" s="15"/>
      <c r="L616" s="15"/>
      <c r="M616" s="16">
        <f t="shared" si="264"/>
        <v>-1.2598399625616152E-2</v>
      </c>
      <c r="O616" s="13">
        <f t="shared" si="278"/>
        <v>-2.6044335880292369E-2</v>
      </c>
      <c r="Q616" s="5">
        <f t="shared" si="265"/>
        <v>1055.8192056495066</v>
      </c>
      <c r="R616" s="6">
        <f t="shared" si="266"/>
        <v>1467.2824802479745</v>
      </c>
      <c r="T616" s="11">
        <f t="shared" si="267"/>
        <v>0.71957460125269834</v>
      </c>
      <c r="V616" s="9">
        <v>42993</v>
      </c>
      <c r="W616">
        <v>35000</v>
      </c>
      <c r="X616">
        <v>53979.2736</v>
      </c>
      <c r="Y616" t="s">
        <v>33</v>
      </c>
      <c r="AC616" s="24">
        <f t="shared" si="268"/>
        <v>-2.8349549150101329E-2</v>
      </c>
      <c r="AE616" s="5">
        <f t="shared" si="269"/>
        <v>887.48531972293563</v>
      </c>
      <c r="AF616" s="6">
        <f t="shared" si="270"/>
        <v>1467.2824802479745</v>
      </c>
      <c r="AH616" s="1">
        <f t="shared" si="271"/>
        <v>42993</v>
      </c>
      <c r="AI616">
        <f t="shared" si="272"/>
        <v>0.60484966710223942</v>
      </c>
      <c r="AJ616">
        <f t="shared" ca="1" si="273"/>
        <v>0.58671268284094957</v>
      </c>
      <c r="AK616">
        <f t="shared" ca="1" si="274"/>
        <v>0.59782683438916695</v>
      </c>
      <c r="AL616">
        <f t="shared" ca="1" si="275"/>
        <v>0.61916996818260284</v>
      </c>
      <c r="AM616">
        <f t="shared" ca="1" si="276"/>
        <v>0.63392167768364904</v>
      </c>
      <c r="AN616">
        <f t="shared" ca="1" si="277"/>
        <v>0.64965720073831201</v>
      </c>
    </row>
    <row r="617" spans="2:40" x14ac:dyDescent="0.25">
      <c r="B617" s="1">
        <v>43000</v>
      </c>
      <c r="C617">
        <v>9.3390000000000004</v>
      </c>
      <c r="D617">
        <v>9.0459999999999994</v>
      </c>
      <c r="E617" t="s">
        <v>33</v>
      </c>
      <c r="G617">
        <v>24994.48</v>
      </c>
      <c r="I617" s="14">
        <f t="shared" si="262"/>
        <v>7.987048030221322E-3</v>
      </c>
      <c r="J617" s="15">
        <f t="shared" si="263"/>
        <v>8.3742662034263837E-2</v>
      </c>
      <c r="K617" s="15"/>
      <c r="L617" s="15"/>
      <c r="M617" s="16">
        <f t="shared" si="264"/>
        <v>5.3928352464249096E-2</v>
      </c>
      <c r="O617" s="13">
        <f t="shared" si="278"/>
        <v>4.586485503224258E-2</v>
      </c>
      <c r="Q617" s="5">
        <f t="shared" si="265"/>
        <v>1104.2442004568788</v>
      </c>
      <c r="R617" s="6">
        <f t="shared" si="266"/>
        <v>1546.4106070074049</v>
      </c>
      <c r="T617" s="11">
        <f t="shared" si="267"/>
        <v>0.71406920998414447</v>
      </c>
      <c r="V617" s="9">
        <v>43000</v>
      </c>
      <c r="W617">
        <v>35280</v>
      </c>
      <c r="X617">
        <v>58496.367599999998</v>
      </c>
      <c r="Y617" t="s">
        <v>33</v>
      </c>
      <c r="AC617" s="24">
        <f t="shared" si="268"/>
        <v>5.394418894196959E-2</v>
      </c>
      <c r="AE617" s="5">
        <f t="shared" si="269"/>
        <v>935.35999549329404</v>
      </c>
      <c r="AF617" s="6">
        <f t="shared" si="270"/>
        <v>1546.4106070074049</v>
      </c>
      <c r="AH617" s="1">
        <f t="shared" si="271"/>
        <v>43000</v>
      </c>
      <c r="AI617">
        <f t="shared" si="272"/>
        <v>0.60485875565959257</v>
      </c>
      <c r="AJ617">
        <f t="shared" ca="1" si="273"/>
        <v>0.58671268284094957</v>
      </c>
      <c r="AK617">
        <f t="shared" ca="1" si="274"/>
        <v>0.59782683438916695</v>
      </c>
      <c r="AL617">
        <f t="shared" ca="1" si="275"/>
        <v>0.61916996818260284</v>
      </c>
      <c r="AM617">
        <f t="shared" ca="1" si="276"/>
        <v>0.63392167768364904</v>
      </c>
      <c r="AN617">
        <f t="shared" ca="1" si="277"/>
        <v>0.64965720073831201</v>
      </c>
    </row>
    <row r="618" spans="2:40" x14ac:dyDescent="0.25">
      <c r="B618" s="1">
        <v>43007</v>
      </c>
      <c r="C618">
        <v>9.6720000000000006</v>
      </c>
      <c r="D618">
        <v>8.9760000000000009</v>
      </c>
      <c r="E618" t="s">
        <v>33</v>
      </c>
      <c r="G618">
        <v>26078.29</v>
      </c>
      <c r="I618" s="14">
        <f t="shared" si="262"/>
        <v>3.5656922582717687E-2</v>
      </c>
      <c r="J618" s="15">
        <f t="shared" si="263"/>
        <v>-7.7382268405923327E-3</v>
      </c>
      <c r="K618" s="15"/>
      <c r="L618" s="15"/>
      <c r="M618" s="16">
        <f t="shared" si="264"/>
        <v>4.3361974323930852E-2</v>
      </c>
      <c r="O618" s="13">
        <f t="shared" si="278"/>
        <v>1.3959347871062677E-2</v>
      </c>
      <c r="Q618" s="5">
        <f t="shared" si="265"/>
        <v>1119.6587293856599</v>
      </c>
      <c r="R618" s="6">
        <f t="shared" si="266"/>
        <v>1613.4660240427143</v>
      </c>
      <c r="T618" s="11">
        <f t="shared" si="267"/>
        <v>0.69394627014223287</v>
      </c>
      <c r="V618" s="9">
        <v>43007</v>
      </c>
      <c r="W618">
        <v>36540</v>
      </c>
      <c r="X618">
        <v>58044.658199999998</v>
      </c>
      <c r="Y618" t="s">
        <v>33</v>
      </c>
      <c r="AC618" s="24">
        <f t="shared" si="268"/>
        <v>8.5876440673610006E-3</v>
      </c>
      <c r="AE618" s="5">
        <f t="shared" si="269"/>
        <v>943.39253420943874</v>
      </c>
      <c r="AF618" s="6">
        <f t="shared" si="270"/>
        <v>1613.4660240427143</v>
      </c>
      <c r="AH618" s="1">
        <f t="shared" si="271"/>
        <v>43007</v>
      </c>
      <c r="AI618">
        <f t="shared" si="272"/>
        <v>0.5846993491971193</v>
      </c>
      <c r="AJ618">
        <f t="shared" ca="1" si="273"/>
        <v>0.58671268284094957</v>
      </c>
      <c r="AK618">
        <f t="shared" ca="1" si="274"/>
        <v>0.59782683438916695</v>
      </c>
      <c r="AL618">
        <f t="shared" ca="1" si="275"/>
        <v>0.6178327991796756</v>
      </c>
      <c r="AM618">
        <f t="shared" ca="1" si="276"/>
        <v>0.63392167768364904</v>
      </c>
      <c r="AN618">
        <f t="shared" ca="1" si="277"/>
        <v>0.64965720073831201</v>
      </c>
    </row>
    <row r="619" spans="2:40" x14ac:dyDescent="0.25">
      <c r="B619" s="1">
        <v>43014</v>
      </c>
      <c r="C619">
        <v>9.4130000000000003</v>
      </c>
      <c r="D619">
        <v>9.0809999999999995</v>
      </c>
      <c r="E619" t="s">
        <v>33</v>
      </c>
      <c r="G619">
        <v>26797.79</v>
      </c>
      <c r="I619" s="14">
        <f t="shared" si="262"/>
        <v>-2.6778329197684081E-2</v>
      </c>
      <c r="J619" s="15">
        <f t="shared" si="263"/>
        <v>1.1697860962566642E-2</v>
      </c>
      <c r="K619" s="15"/>
      <c r="L619" s="15"/>
      <c r="M619" s="16">
        <f t="shared" si="264"/>
        <v>2.7589999190897885E-2</v>
      </c>
      <c r="O619" s="13">
        <f t="shared" si="278"/>
        <v>-7.5402341175587195E-3</v>
      </c>
      <c r="Q619" s="5">
        <f t="shared" si="265"/>
        <v>1111.2162404343235</v>
      </c>
      <c r="R619" s="6">
        <f t="shared" si="266"/>
        <v>1657.9815503405939</v>
      </c>
      <c r="T619" s="11">
        <f t="shared" si="267"/>
        <v>0.67022231954634826</v>
      </c>
      <c r="V619" s="9">
        <v>43014</v>
      </c>
      <c r="W619">
        <v>35560</v>
      </c>
      <c r="X619">
        <v>58722.222300000001</v>
      </c>
      <c r="Y619" t="s">
        <v>33</v>
      </c>
      <c r="AC619" s="24">
        <f t="shared" si="268"/>
        <v>-3.1662831302600464E-3</v>
      </c>
      <c r="AE619" s="5">
        <f t="shared" si="269"/>
        <v>940.40548634315815</v>
      </c>
      <c r="AF619" s="6">
        <f t="shared" si="270"/>
        <v>1657.9815503405939</v>
      </c>
      <c r="AH619" s="1">
        <f t="shared" si="271"/>
        <v>43014</v>
      </c>
      <c r="AI619">
        <f t="shared" si="272"/>
        <v>0.56719900541111179</v>
      </c>
      <c r="AJ619">
        <f t="shared" ca="1" si="273"/>
        <v>0.58497513805128099</v>
      </c>
      <c r="AK619">
        <f t="shared" ca="1" si="274"/>
        <v>0.59544472391904413</v>
      </c>
      <c r="AL619">
        <f t="shared" ca="1" si="275"/>
        <v>0.61657059142846771</v>
      </c>
      <c r="AM619">
        <f t="shared" ca="1" si="276"/>
        <v>0.63306992766677017</v>
      </c>
      <c r="AN619">
        <f t="shared" ca="1" si="277"/>
        <v>0.64179770034811112</v>
      </c>
    </row>
    <row r="620" spans="2:40" x14ac:dyDescent="0.25">
      <c r="B620" s="1">
        <v>43021</v>
      </c>
      <c r="C620">
        <v>9.5609999999999999</v>
      </c>
      <c r="D620">
        <v>9.3949999999999996</v>
      </c>
      <c r="E620" t="s">
        <v>33</v>
      </c>
      <c r="G620">
        <v>27140.799999999999</v>
      </c>
      <c r="I620" s="14">
        <f t="shared" si="262"/>
        <v>1.5722936364602091E-2</v>
      </c>
      <c r="J620" s="15">
        <f t="shared" si="263"/>
        <v>3.4577689681753121E-2</v>
      </c>
      <c r="K620" s="15"/>
      <c r="L620" s="15"/>
      <c r="M620" s="16">
        <f t="shared" si="264"/>
        <v>1.2799936114134658E-2</v>
      </c>
      <c r="O620" s="13">
        <f t="shared" si="278"/>
        <v>2.5150313023177606E-2</v>
      </c>
      <c r="Q620" s="5">
        <f t="shared" si="265"/>
        <v>1139.1636767176853</v>
      </c>
      <c r="R620" s="6">
        <f t="shared" si="266"/>
        <v>1679.2036082633674</v>
      </c>
      <c r="T620" s="11">
        <f t="shared" si="267"/>
        <v>0.67839520538894538</v>
      </c>
      <c r="V620" s="9">
        <v>43021</v>
      </c>
      <c r="W620">
        <v>36120</v>
      </c>
      <c r="X620">
        <v>60754.914599999996</v>
      </c>
      <c r="Y620" t="s">
        <v>33</v>
      </c>
      <c r="AC620" s="24">
        <f t="shared" si="268"/>
        <v>2.7466327522464151E-2</v>
      </c>
      <c r="AE620" s="5">
        <f t="shared" si="269"/>
        <v>966.23497143498162</v>
      </c>
      <c r="AF620" s="6">
        <f t="shared" si="270"/>
        <v>1679.2036082633674</v>
      </c>
      <c r="AH620" s="1">
        <f t="shared" si="271"/>
        <v>43021</v>
      </c>
      <c r="AI620">
        <f t="shared" si="272"/>
        <v>0.57541263410829724</v>
      </c>
      <c r="AJ620">
        <f t="shared" ca="1" si="273"/>
        <v>0.58471019399548629</v>
      </c>
      <c r="AK620">
        <f t="shared" ca="1" si="274"/>
        <v>0.59339111491286711</v>
      </c>
      <c r="AL620">
        <f t="shared" ca="1" si="275"/>
        <v>0.61510980654251302</v>
      </c>
      <c r="AM620">
        <f t="shared" ca="1" si="276"/>
        <v>0.6324791249090369</v>
      </c>
      <c r="AN620">
        <f t="shared" ca="1" si="277"/>
        <v>0.64092049011089991</v>
      </c>
    </row>
    <row r="621" spans="2:40" x14ac:dyDescent="0.25">
      <c r="B621" s="1">
        <v>43028</v>
      </c>
      <c r="C621">
        <v>9.8209999999999997</v>
      </c>
      <c r="D621">
        <v>9.3249999999999993</v>
      </c>
      <c r="E621" t="s">
        <v>33</v>
      </c>
      <c r="G621">
        <v>26978.98</v>
      </c>
      <c r="I621" s="14">
        <f t="shared" si="262"/>
        <v>2.7193808179060808E-2</v>
      </c>
      <c r="J621" s="15">
        <f t="shared" si="263"/>
        <v>-7.4507716870676477E-3</v>
      </c>
      <c r="K621" s="15"/>
      <c r="L621" s="15"/>
      <c r="M621" s="16">
        <f t="shared" si="264"/>
        <v>-5.9622413488179538E-3</v>
      </c>
      <c r="O621" s="13">
        <f t="shared" si="278"/>
        <v>9.87151824599658E-3</v>
      </c>
      <c r="Q621" s="5">
        <f t="shared" si="265"/>
        <v>1150.4089517375805</v>
      </c>
      <c r="R621" s="6">
        <f t="shared" si="266"/>
        <v>1669.1917910770953</v>
      </c>
      <c r="T621" s="11">
        <f t="shared" si="267"/>
        <v>0.68920117980884943</v>
      </c>
      <c r="V621" s="9">
        <v>43028</v>
      </c>
      <c r="W621">
        <v>37100</v>
      </c>
      <c r="X621">
        <v>60303.205199999997</v>
      </c>
      <c r="Y621" t="s">
        <v>33</v>
      </c>
      <c r="AC621" s="24">
        <f t="shared" si="268"/>
        <v>5.4665271815969542E-3</v>
      </c>
      <c r="AE621" s="5">
        <f t="shared" si="269"/>
        <v>971.51692117014056</v>
      </c>
      <c r="AF621" s="6">
        <f t="shared" si="270"/>
        <v>1669.1917910770953</v>
      </c>
      <c r="AH621" s="1">
        <f t="shared" si="271"/>
        <v>43028</v>
      </c>
      <c r="AI621">
        <f t="shared" si="272"/>
        <v>0.58202833632631312</v>
      </c>
      <c r="AJ621">
        <f t="shared" ca="1" si="273"/>
        <v>0.58430935239565673</v>
      </c>
      <c r="AK621">
        <f t="shared" ca="1" si="274"/>
        <v>0.59259755478298937</v>
      </c>
      <c r="AL621">
        <f t="shared" ca="1" si="275"/>
        <v>0.61410637001930934</v>
      </c>
      <c r="AM621">
        <f t="shared" ca="1" si="276"/>
        <v>0.63148806235472965</v>
      </c>
      <c r="AN621">
        <f t="shared" ca="1" si="277"/>
        <v>0.6407116871305798</v>
      </c>
    </row>
    <row r="622" spans="2:40" x14ac:dyDescent="0.25">
      <c r="B622" s="1">
        <v>43035</v>
      </c>
      <c r="C622">
        <v>9.8379999999999992</v>
      </c>
      <c r="D622">
        <v>9.0809999999999995</v>
      </c>
      <c r="E622" t="s">
        <v>33</v>
      </c>
      <c r="G622">
        <v>27479.39</v>
      </c>
      <c r="I622" s="14">
        <f t="shared" si="262"/>
        <v>1.7309846247834937E-3</v>
      </c>
      <c r="J622" s="15">
        <f t="shared" si="263"/>
        <v>-2.6166219839142024E-2</v>
      </c>
      <c r="K622" s="15"/>
      <c r="L622" s="15"/>
      <c r="M622" s="16">
        <f t="shared" si="264"/>
        <v>1.854814377711822E-2</v>
      </c>
      <c r="O622" s="13">
        <f t="shared" si="278"/>
        <v>-1.2217617607179265E-2</v>
      </c>
      <c r="Q622" s="5">
        <f t="shared" si="265"/>
        <v>1136.3536950733749</v>
      </c>
      <c r="R622" s="6">
        <f t="shared" si="266"/>
        <v>1700.1522004095789</v>
      </c>
      <c r="T622" s="11">
        <f t="shared" si="267"/>
        <v>0.66838350989965434</v>
      </c>
      <c r="V622" s="9">
        <v>43035</v>
      </c>
      <c r="W622">
        <v>36120</v>
      </c>
      <c r="X622">
        <v>58722.222300000001</v>
      </c>
      <c r="Y622" t="s">
        <v>33</v>
      </c>
      <c r="AC622" s="24">
        <f t="shared" si="268"/>
        <v>-1.5540426945710249E-2</v>
      </c>
      <c r="AE622" s="5">
        <f t="shared" si="269"/>
        <v>956.41913343017472</v>
      </c>
      <c r="AF622" s="6">
        <f t="shared" si="270"/>
        <v>1700.1522004095789</v>
      </c>
      <c r="AH622" s="1">
        <f t="shared" si="271"/>
        <v>43035</v>
      </c>
      <c r="AI622">
        <f t="shared" si="272"/>
        <v>0.56254912542522151</v>
      </c>
      <c r="AJ622">
        <f t="shared" ca="1" si="273"/>
        <v>0.58384123439620372</v>
      </c>
      <c r="AK622">
        <f t="shared" ca="1" si="274"/>
        <v>0.59100780912621598</v>
      </c>
      <c r="AL622">
        <f t="shared" ca="1" si="275"/>
        <v>0.61042168369972594</v>
      </c>
      <c r="AM622">
        <f t="shared" ca="1" si="276"/>
        <v>0.63026683938138561</v>
      </c>
      <c r="AN622">
        <f t="shared" ca="1" si="277"/>
        <v>0.6407116871305798</v>
      </c>
    </row>
    <row r="623" spans="2:40" x14ac:dyDescent="0.25">
      <c r="B623" s="1">
        <v>43042</v>
      </c>
      <c r="C623">
        <v>11.058</v>
      </c>
      <c r="D623">
        <v>10.058999999999999</v>
      </c>
      <c r="E623">
        <v>64.022999999999996</v>
      </c>
      <c r="G623">
        <v>27978.33</v>
      </c>
      <c r="I623" s="14">
        <f t="shared" si="262"/>
        <v>0.12400894490750169</v>
      </c>
      <c r="J623" s="15">
        <f t="shared" si="263"/>
        <v>0.10769739015526913</v>
      </c>
      <c r="K623" s="15"/>
      <c r="L623" s="15"/>
      <c r="M623" s="16">
        <f t="shared" si="264"/>
        <v>1.8156880483882754E-2</v>
      </c>
      <c r="O623" s="13">
        <f t="shared" si="278"/>
        <v>0.11585316753138541</v>
      </c>
      <c r="Q623" s="5">
        <f t="shared" si="265"/>
        <v>1268.0038700836194</v>
      </c>
      <c r="R623" s="6">
        <f t="shared" si="266"/>
        <v>1731.0216607168259</v>
      </c>
      <c r="T623" s="11">
        <f t="shared" si="267"/>
        <v>0.73251762173705659</v>
      </c>
      <c r="V623" s="9">
        <v>43042</v>
      </c>
      <c r="W623">
        <v>40600</v>
      </c>
      <c r="X623">
        <v>65046.153899999998</v>
      </c>
      <c r="Y623">
        <v>45149.006600000001</v>
      </c>
      <c r="AC623" s="24">
        <f t="shared" si="268"/>
        <v>0.11390953220933235</v>
      </c>
      <c r="AE623" s="5">
        <f t="shared" si="269"/>
        <v>1065.3643895152611</v>
      </c>
      <c r="AF623" s="6">
        <f t="shared" si="270"/>
        <v>1731.0216607168259</v>
      </c>
      <c r="AH623" s="1">
        <f t="shared" si="271"/>
        <v>43042</v>
      </c>
      <c r="AI623">
        <f t="shared" si="272"/>
        <v>0.61545410649228249</v>
      </c>
      <c r="AJ623">
        <f t="shared" ca="1" si="273"/>
        <v>0.58220490629972987</v>
      </c>
      <c r="AK623">
        <f t="shared" ca="1" si="274"/>
        <v>0.5901975050767001</v>
      </c>
      <c r="AL623">
        <f t="shared" ca="1" si="275"/>
        <v>0.60652194312040308</v>
      </c>
      <c r="AM623">
        <f t="shared" ca="1" si="276"/>
        <v>0.62903755966768837</v>
      </c>
      <c r="AN623">
        <f t="shared" ca="1" si="277"/>
        <v>0.6407116871305798</v>
      </c>
    </row>
    <row r="624" spans="2:40" x14ac:dyDescent="0.25">
      <c r="B624" s="1">
        <v>43049</v>
      </c>
      <c r="C624">
        <v>10.829000000000001</v>
      </c>
      <c r="D624">
        <v>9.7449999999999992</v>
      </c>
      <c r="E624">
        <v>62.628999999999998</v>
      </c>
      <c r="G624">
        <v>27080.55</v>
      </c>
      <c r="I624" s="14">
        <f t="shared" si="262"/>
        <v>-2.0708988967263475E-2</v>
      </c>
      <c r="J624" s="15">
        <f t="shared" si="263"/>
        <v>-3.1215826622924769E-2</v>
      </c>
      <c r="K624" s="15">
        <f t="shared" ref="K576:K639" si="279">+E624/E623-1</f>
        <v>-2.1773425175327543E-2</v>
      </c>
      <c r="L624" s="15"/>
      <c r="M624" s="16">
        <f t="shared" si="264"/>
        <v>-3.2088405562447853E-2</v>
      </c>
      <c r="O624" s="13">
        <f t="shared" ref="O576:O639" si="280">+AVERAGE(I624:L624)</f>
        <v>-2.4566080255171929E-2</v>
      </c>
      <c r="Q624" s="5">
        <f t="shared" si="265"/>
        <v>1236.8539852472766</v>
      </c>
      <c r="R624" s="6">
        <f t="shared" si="266"/>
        <v>1675.4759356303623</v>
      </c>
      <c r="T624" s="11">
        <f t="shared" si="267"/>
        <v>0.73821053406054227</v>
      </c>
      <c r="V624" s="9">
        <v>43049</v>
      </c>
      <c r="W624">
        <v>39760</v>
      </c>
      <c r="X624">
        <v>63013.461600000002</v>
      </c>
      <c r="Y624">
        <v>44165.562899999997</v>
      </c>
      <c r="AC624" s="24">
        <f t="shared" si="268"/>
        <v>-2.5559858279714808E-2</v>
      </c>
      <c r="AE624" s="5">
        <f t="shared" si="269"/>
        <v>1038.1338267029962</v>
      </c>
      <c r="AF624" s="6">
        <f t="shared" si="270"/>
        <v>1675.4759356303623</v>
      </c>
      <c r="AH624" s="1">
        <f t="shared" si="271"/>
        <v>43049</v>
      </c>
      <c r="AI624">
        <f t="shared" si="272"/>
        <v>0.61960533399867679</v>
      </c>
      <c r="AJ624">
        <f t="shared" ca="1" si="273"/>
        <v>0.58220490629972987</v>
      </c>
      <c r="AK624">
        <f t="shared" ca="1" si="274"/>
        <v>0.5901975050767001</v>
      </c>
      <c r="AL624">
        <f t="shared" ca="1" si="275"/>
        <v>0.60652194312040308</v>
      </c>
      <c r="AM624">
        <f t="shared" ca="1" si="276"/>
        <v>0.62798750893666755</v>
      </c>
      <c r="AN624">
        <f t="shared" ca="1" si="277"/>
        <v>0.6407116871305798</v>
      </c>
    </row>
    <row r="625" spans="2:40" x14ac:dyDescent="0.25">
      <c r="B625" s="1">
        <v>43056</v>
      </c>
      <c r="C625">
        <v>10.41</v>
      </c>
      <c r="D625">
        <v>9.64</v>
      </c>
      <c r="E625">
        <v>65.08</v>
      </c>
      <c r="G625">
        <v>27128.5</v>
      </c>
      <c r="I625" s="14">
        <f t="shared" si="262"/>
        <v>-3.8692400036937857E-2</v>
      </c>
      <c r="J625" s="15">
        <f t="shared" si="263"/>
        <v>-1.0774756285274356E-2</v>
      </c>
      <c r="K625" s="15">
        <f t="shared" si="279"/>
        <v>3.9135224895815002E-2</v>
      </c>
      <c r="L625" s="15"/>
      <c r="M625" s="16">
        <f t="shared" si="264"/>
        <v>1.770643506132652E-3</v>
      </c>
      <c r="O625" s="13">
        <f t="shared" si="280"/>
        <v>-3.4439771421324039E-3</v>
      </c>
      <c r="Q625" s="5">
        <f t="shared" si="265"/>
        <v>1232.5942883939297</v>
      </c>
      <c r="R625" s="6">
        <f t="shared" si="266"/>
        <v>1678.4426062154678</v>
      </c>
      <c r="T625" s="11">
        <f t="shared" si="267"/>
        <v>0.73436785019010475</v>
      </c>
      <c r="V625" s="9">
        <v>43056</v>
      </c>
      <c r="W625">
        <v>38220</v>
      </c>
      <c r="X625">
        <v>62335.897499999999</v>
      </c>
      <c r="Y625">
        <v>45894.039700000001</v>
      </c>
      <c r="AC625" s="24">
        <f t="shared" si="268"/>
        <v>-3.3274705737438731E-3</v>
      </c>
      <c r="AE625" s="5">
        <f t="shared" si="269"/>
        <v>1034.679466943034</v>
      </c>
      <c r="AF625" s="6">
        <f t="shared" si="270"/>
        <v>1678.4426062154678</v>
      </c>
      <c r="AH625" s="1">
        <f t="shared" si="271"/>
        <v>43056</v>
      </c>
      <c r="AI625">
        <f t="shared" si="272"/>
        <v>0.61645209857727379</v>
      </c>
      <c r="AJ625">
        <f t="shared" ca="1" si="273"/>
        <v>0.58220490629972987</v>
      </c>
      <c r="AK625">
        <f t="shared" ca="1" si="274"/>
        <v>0.5901975050767001</v>
      </c>
      <c r="AL625">
        <f t="shared" ca="1" si="275"/>
        <v>0.60652194312040308</v>
      </c>
      <c r="AM625">
        <f t="shared" ca="1" si="276"/>
        <v>0.62798750893666755</v>
      </c>
      <c r="AN625">
        <f t="shared" ca="1" si="277"/>
        <v>0.6407116871305798</v>
      </c>
    </row>
    <row r="626" spans="2:40" x14ac:dyDescent="0.25">
      <c r="B626" s="1">
        <v>43063</v>
      </c>
      <c r="C626">
        <v>10.295999999999999</v>
      </c>
      <c r="D626">
        <v>9.6050000000000004</v>
      </c>
      <c r="E626">
        <v>70.066000000000003</v>
      </c>
      <c r="G626">
        <v>27464.78</v>
      </c>
      <c r="I626" s="14">
        <f t="shared" si="262"/>
        <v>-1.0951008645533222E-2</v>
      </c>
      <c r="J626" s="15">
        <f t="shared" si="263"/>
        <v>-3.6307053941908585E-3</v>
      </c>
      <c r="K626" s="15">
        <f t="shared" si="279"/>
        <v>7.6613398893669471E-2</v>
      </c>
      <c r="L626" s="15"/>
      <c r="M626" s="16">
        <f t="shared" si="264"/>
        <v>1.2395819894207127E-2</v>
      </c>
      <c r="O626" s="13">
        <f t="shared" si="280"/>
        <v>2.0677228284648463E-2</v>
      </c>
      <c r="Q626" s="5">
        <f t="shared" si="265"/>
        <v>1258.080921877405</v>
      </c>
      <c r="R626" s="6">
        <f t="shared" si="266"/>
        <v>1699.2482784648782</v>
      </c>
      <c r="T626" s="11">
        <f t="shared" si="267"/>
        <v>0.74037498688182912</v>
      </c>
      <c r="V626" s="9">
        <v>43063</v>
      </c>
      <c r="W626">
        <v>37800</v>
      </c>
      <c r="X626">
        <v>62110.042800000003</v>
      </c>
      <c r="Y626">
        <v>49410.595999999998</v>
      </c>
      <c r="AC626" s="24">
        <f t="shared" si="268"/>
        <v>1.9605522511898659E-2</v>
      </c>
      <c r="AE626" s="5">
        <f t="shared" si="269"/>
        <v>1054.964898524785</v>
      </c>
      <c r="AF626" s="6">
        <f t="shared" si="270"/>
        <v>1699.2482784648782</v>
      </c>
      <c r="AH626" s="1">
        <f t="shared" si="271"/>
        <v>43063</v>
      </c>
      <c r="AI626">
        <f t="shared" si="272"/>
        <v>0.62084211700826508</v>
      </c>
      <c r="AJ626">
        <f t="shared" ca="1" si="273"/>
        <v>0.58220490629972987</v>
      </c>
      <c r="AK626">
        <f t="shared" ca="1" si="274"/>
        <v>0.5901975050767001</v>
      </c>
      <c r="AL626">
        <f t="shared" ca="1" si="275"/>
        <v>0.60652194312040308</v>
      </c>
      <c r="AM626">
        <f t="shared" ca="1" si="276"/>
        <v>0.6254577569564802</v>
      </c>
      <c r="AN626">
        <f t="shared" ca="1" si="277"/>
        <v>0.6407116871305798</v>
      </c>
    </row>
    <row r="627" spans="2:40" x14ac:dyDescent="0.25">
      <c r="B627" s="1">
        <v>43070</v>
      </c>
      <c r="C627">
        <v>10.105</v>
      </c>
      <c r="D627">
        <v>9.2210000000000001</v>
      </c>
      <c r="E627">
        <v>64.150000000000006</v>
      </c>
      <c r="G627">
        <v>26941.63</v>
      </c>
      <c r="I627" s="14">
        <f t="shared" si="262"/>
        <v>-1.8550893550893455E-2</v>
      </c>
      <c r="J627" s="15">
        <f t="shared" si="263"/>
        <v>-3.9979177511712649E-2</v>
      </c>
      <c r="K627" s="15">
        <f t="shared" si="279"/>
        <v>-8.443467587703013E-2</v>
      </c>
      <c r="L627" s="15"/>
      <c r="M627" s="16">
        <f t="shared" si="264"/>
        <v>-1.9048031697322831E-2</v>
      </c>
      <c r="O627" s="13">
        <f t="shared" si="280"/>
        <v>-4.7654915646545414E-2</v>
      </c>
      <c r="Q627" s="5">
        <f t="shared" si="265"/>
        <v>1198.127181668809</v>
      </c>
      <c r="R627" s="6">
        <f t="shared" si="266"/>
        <v>1666.880943395058</v>
      </c>
      <c r="T627" s="11">
        <f t="shared" si="267"/>
        <v>0.71878389780406038</v>
      </c>
      <c r="V627" s="9">
        <v>43070</v>
      </c>
      <c r="W627">
        <v>37100</v>
      </c>
      <c r="X627">
        <v>59625.641100000001</v>
      </c>
      <c r="Y627">
        <v>45238.410600000003</v>
      </c>
      <c r="AC627" s="24">
        <f t="shared" si="268"/>
        <v>-4.9265124498890936E-2</v>
      </c>
      <c r="AE627" s="5">
        <f t="shared" si="269"/>
        <v>1002.9919214570016</v>
      </c>
      <c r="AF627" s="6">
        <f t="shared" si="270"/>
        <v>1666.880943395058</v>
      </c>
      <c r="AH627" s="1">
        <f t="shared" si="271"/>
        <v>43070</v>
      </c>
      <c r="AI627">
        <f t="shared" si="272"/>
        <v>0.60171779240221845</v>
      </c>
      <c r="AJ627">
        <f t="shared" ca="1" si="273"/>
        <v>0.58220490629972987</v>
      </c>
      <c r="AK627">
        <f t="shared" ca="1" si="274"/>
        <v>0.5901975050767001</v>
      </c>
      <c r="AL627">
        <f t="shared" ca="1" si="275"/>
        <v>0.60652194312040308</v>
      </c>
      <c r="AM627">
        <f t="shared" ca="1" si="276"/>
        <v>0.62373243199117023</v>
      </c>
      <c r="AN627">
        <f t="shared" ca="1" si="277"/>
        <v>0.63831906454828535</v>
      </c>
    </row>
    <row r="628" spans="2:40" x14ac:dyDescent="0.25">
      <c r="B628" s="1">
        <v>43077</v>
      </c>
      <c r="C628">
        <v>10.067</v>
      </c>
      <c r="D628">
        <v>9.0459999999999994</v>
      </c>
      <c r="E628">
        <v>63.389000000000003</v>
      </c>
      <c r="G628">
        <v>26841.5</v>
      </c>
      <c r="I628" s="14">
        <f t="shared" si="262"/>
        <v>-3.7605145967343212E-3</v>
      </c>
      <c r="J628" s="15">
        <f t="shared" si="263"/>
        <v>-1.897841882659157E-2</v>
      </c>
      <c r="K628" s="15">
        <f t="shared" si="279"/>
        <v>-1.1862821512081068E-2</v>
      </c>
      <c r="L628" s="15"/>
      <c r="M628" s="16">
        <f t="shared" si="264"/>
        <v>-3.7165531558409626E-3</v>
      </c>
      <c r="O628" s="13">
        <f t="shared" si="280"/>
        <v>-1.1533918311802319E-2</v>
      </c>
      <c r="Q628" s="5">
        <f t="shared" si="265"/>
        <v>1184.308080628291</v>
      </c>
      <c r="R628" s="6">
        <f t="shared" si="266"/>
        <v>1660.685891764472</v>
      </c>
      <c r="T628" s="11">
        <f t="shared" si="267"/>
        <v>0.71314394040523132</v>
      </c>
      <c r="V628" s="9">
        <v>43077</v>
      </c>
      <c r="W628">
        <v>36960</v>
      </c>
      <c r="X628">
        <v>58496.367599999998</v>
      </c>
      <c r="Y628">
        <v>44701.986700000001</v>
      </c>
      <c r="AC628" s="24">
        <f t="shared" si="268"/>
        <v>-1.273400307985653E-2</v>
      </c>
      <c r="AE628" s="5">
        <f t="shared" si="269"/>
        <v>990.21981924009697</v>
      </c>
      <c r="AF628" s="6">
        <f t="shared" si="270"/>
        <v>1660.685891764472</v>
      </c>
      <c r="AH628" s="1">
        <f t="shared" si="271"/>
        <v>43077</v>
      </c>
      <c r="AI628">
        <f t="shared" si="272"/>
        <v>0.59627159124474316</v>
      </c>
      <c r="AJ628">
        <f t="shared" ca="1" si="273"/>
        <v>0.58220490629972987</v>
      </c>
      <c r="AK628">
        <f t="shared" ca="1" si="274"/>
        <v>0.5901975050767001</v>
      </c>
      <c r="AL628">
        <f t="shared" ca="1" si="275"/>
        <v>0.60530865062611006</v>
      </c>
      <c r="AM628">
        <f t="shared" ca="1" si="276"/>
        <v>0.62181669638817061</v>
      </c>
      <c r="AN628">
        <f t="shared" ca="1" si="277"/>
        <v>0.63644433684637747</v>
      </c>
    </row>
    <row r="629" spans="2:40" x14ac:dyDescent="0.25">
      <c r="B629" s="1">
        <v>43084</v>
      </c>
      <c r="C629">
        <v>9.7620000000000005</v>
      </c>
      <c r="D629">
        <v>9.1859999999999999</v>
      </c>
      <c r="E629">
        <v>63.643000000000001</v>
      </c>
      <c r="G629">
        <v>27021.94</v>
      </c>
      <c r="I629" s="14">
        <f t="shared" si="262"/>
        <v>-3.0297010032780292E-2</v>
      </c>
      <c r="J629" s="15">
        <f t="shared" si="263"/>
        <v>1.5476453681185109E-2</v>
      </c>
      <c r="K629" s="15">
        <f t="shared" si="279"/>
        <v>4.0070043698432478E-3</v>
      </c>
      <c r="L629" s="15"/>
      <c r="M629" s="16">
        <f t="shared" si="264"/>
        <v>6.7224260939215963E-3</v>
      </c>
      <c r="O629" s="13">
        <f t="shared" si="280"/>
        <v>-3.6045173272506448E-3</v>
      </c>
      <c r="Q629" s="5">
        <f t="shared" si="265"/>
        <v>1180.0392216308633</v>
      </c>
      <c r="R629" s="6">
        <f t="shared" si="266"/>
        <v>1671.849729937077</v>
      </c>
      <c r="T629" s="11">
        <f t="shared" si="267"/>
        <v>0.70582852065016399</v>
      </c>
      <c r="V629" s="9">
        <v>43084</v>
      </c>
      <c r="W629">
        <v>35840</v>
      </c>
      <c r="X629">
        <v>59399.786399999997</v>
      </c>
      <c r="Y629">
        <v>44880.794699999999</v>
      </c>
      <c r="AC629" s="24">
        <f t="shared" si="268"/>
        <v>-2.5214416408860093E-4</v>
      </c>
      <c r="AE629" s="5">
        <f t="shared" si="269"/>
        <v>989.97014109151075</v>
      </c>
      <c r="AF629" s="6">
        <f t="shared" si="270"/>
        <v>1671.849729937077</v>
      </c>
      <c r="AH629" s="1">
        <f t="shared" si="271"/>
        <v>43084</v>
      </c>
      <c r="AI629">
        <f t="shared" si="272"/>
        <v>0.59214062326568662</v>
      </c>
      <c r="AJ629">
        <f t="shared" ca="1" si="273"/>
        <v>0.58220490629972987</v>
      </c>
      <c r="AK629">
        <f t="shared" ca="1" si="274"/>
        <v>0.5901975050767001</v>
      </c>
      <c r="AL629">
        <f t="shared" ca="1" si="275"/>
        <v>0.604854211380916</v>
      </c>
      <c r="AM629">
        <f t="shared" ca="1" si="276"/>
        <v>0.62095291927643725</v>
      </c>
      <c r="AN629">
        <f t="shared" ca="1" si="277"/>
        <v>0.63644433684637747</v>
      </c>
    </row>
    <row r="630" spans="2:40" x14ac:dyDescent="0.25">
      <c r="B630" s="1">
        <v>43091</v>
      </c>
      <c r="C630">
        <v>10.523999999999999</v>
      </c>
      <c r="D630">
        <v>9.7449999999999992</v>
      </c>
      <c r="E630">
        <v>67.7</v>
      </c>
      <c r="G630">
        <v>28931.54</v>
      </c>
      <c r="I630" s="14">
        <f t="shared" si="262"/>
        <v>7.80577750460969E-2</v>
      </c>
      <c r="J630" s="15">
        <f t="shared" si="263"/>
        <v>6.0853472675810982E-2</v>
      </c>
      <c r="K630" s="15">
        <f t="shared" si="279"/>
        <v>6.374620932388475E-2</v>
      </c>
      <c r="L630" s="15"/>
      <c r="M630" s="16">
        <f t="shared" si="264"/>
        <v>7.0668501225300773E-2</v>
      </c>
      <c r="O630" s="13">
        <f t="shared" si="280"/>
        <v>6.7552485681930882E-2</v>
      </c>
      <c r="Q630" s="5">
        <f t="shared" si="265"/>
        <v>1259.7538042541992</v>
      </c>
      <c r="R630" s="6">
        <f t="shared" si="266"/>
        <v>1789.9968446256541</v>
      </c>
      <c r="T630" s="11">
        <f t="shared" si="267"/>
        <v>0.70377431560090498</v>
      </c>
      <c r="V630" s="9">
        <v>43091</v>
      </c>
      <c r="W630">
        <v>38640</v>
      </c>
      <c r="X630">
        <v>63013.461600000002</v>
      </c>
      <c r="Y630">
        <v>47741.721799999999</v>
      </c>
      <c r="AC630" s="24">
        <f t="shared" si="268"/>
        <v>6.6180531061628731E-2</v>
      </c>
      <c r="AE630" s="5">
        <f t="shared" si="269"/>
        <v>1055.4868907641026</v>
      </c>
      <c r="AF630" s="6">
        <f t="shared" si="270"/>
        <v>1789.9968446256541</v>
      </c>
      <c r="AH630" s="1">
        <f t="shared" si="271"/>
        <v>43091</v>
      </c>
      <c r="AI630">
        <f t="shared" si="272"/>
        <v>0.58965852031143606</v>
      </c>
      <c r="AJ630">
        <f t="shared" ca="1" si="273"/>
        <v>0.58220490629972987</v>
      </c>
      <c r="AK630">
        <f t="shared" ca="1" si="274"/>
        <v>0.5901975050767001</v>
      </c>
      <c r="AL630">
        <f t="shared" ca="1" si="275"/>
        <v>0.60480650218627474</v>
      </c>
      <c r="AM630">
        <f t="shared" ca="1" si="276"/>
        <v>0.62039849505089828</v>
      </c>
      <c r="AN630">
        <f t="shared" ca="1" si="277"/>
        <v>0.63492397623452479</v>
      </c>
    </row>
    <row r="631" spans="2:40" x14ac:dyDescent="0.25">
      <c r="B631" s="1">
        <v>43098</v>
      </c>
      <c r="C631">
        <v>11.516</v>
      </c>
      <c r="D631">
        <v>10.058999999999999</v>
      </c>
      <c r="E631">
        <v>72.179000000000002</v>
      </c>
      <c r="G631">
        <v>30065.61</v>
      </c>
      <c r="I631" s="14">
        <f t="shared" si="262"/>
        <v>9.4260737362219738E-2</v>
      </c>
      <c r="J631" s="15">
        <f t="shared" si="263"/>
        <v>3.2221652129297063E-2</v>
      </c>
      <c r="K631" s="15">
        <f t="shared" si="279"/>
        <v>6.6159527326440148E-2</v>
      </c>
      <c r="L631" s="15"/>
      <c r="M631" s="16">
        <f t="shared" si="264"/>
        <v>3.9198397320018286E-2</v>
      </c>
      <c r="O631" s="13">
        <f t="shared" si="280"/>
        <v>6.4213972272652312E-2</v>
      </c>
      <c r="Q631" s="5">
        <f t="shared" si="265"/>
        <v>1340.6476001109465</v>
      </c>
      <c r="R631" s="6">
        <f t="shared" si="266"/>
        <v>1860.1618521428695</v>
      </c>
      <c r="T631" s="11">
        <f t="shared" si="267"/>
        <v>0.72071556492062616</v>
      </c>
      <c r="V631" s="9">
        <v>43098</v>
      </c>
      <c r="W631">
        <v>42280</v>
      </c>
      <c r="X631">
        <v>65046.153899999998</v>
      </c>
      <c r="Y631">
        <v>50900.662199999999</v>
      </c>
      <c r="AC631" s="24">
        <f t="shared" si="268"/>
        <v>5.911303348520533E-2</v>
      </c>
      <c r="AE631" s="5">
        <f t="shared" si="269"/>
        <v>1117.8799226810361</v>
      </c>
      <c r="AF631" s="6">
        <f t="shared" si="270"/>
        <v>1860.1618521428695</v>
      </c>
      <c r="AH631" s="1">
        <f t="shared" si="271"/>
        <v>43098</v>
      </c>
      <c r="AI631">
        <f t="shared" si="272"/>
        <v>0.60095841735129696</v>
      </c>
      <c r="AJ631">
        <f t="shared" ca="1" si="273"/>
        <v>0.58220490629972987</v>
      </c>
      <c r="AK631">
        <f t="shared" ca="1" si="274"/>
        <v>0.5895429102950992</v>
      </c>
      <c r="AL631">
        <f t="shared" ca="1" si="275"/>
        <v>0.60469760101863479</v>
      </c>
      <c r="AM631">
        <f t="shared" ca="1" si="276"/>
        <v>0.619766655765285</v>
      </c>
      <c r="AN631">
        <f t="shared" ca="1" si="277"/>
        <v>0.62983017768040606</v>
      </c>
    </row>
    <row r="632" spans="2:40" x14ac:dyDescent="0.25">
      <c r="B632" s="1">
        <v>43105</v>
      </c>
      <c r="C632">
        <v>12.355</v>
      </c>
      <c r="D632">
        <v>10.548</v>
      </c>
      <c r="E632">
        <v>77.757999999999996</v>
      </c>
      <c r="G632">
        <v>32190.3</v>
      </c>
      <c r="I632" s="14">
        <f t="shared" si="262"/>
        <v>7.2855158040986412E-2</v>
      </c>
      <c r="J632" s="15">
        <f t="shared" si="263"/>
        <v>4.861318222487343E-2</v>
      </c>
      <c r="K632" s="15">
        <f t="shared" si="279"/>
        <v>7.7293949763781677E-2</v>
      </c>
      <c r="L632" s="15"/>
      <c r="M632" s="16">
        <f t="shared" si="264"/>
        <v>7.0668448103996528E-2</v>
      </c>
      <c r="O632" s="13">
        <f t="shared" si="280"/>
        <v>6.6254096676547178E-2</v>
      </c>
      <c r="Q632" s="5">
        <f t="shared" si="265"/>
        <v>1429.4709958178782</v>
      </c>
      <c r="R632" s="6">
        <f t="shared" si="266"/>
        <v>1991.616603456062</v>
      </c>
      <c r="T632" s="11">
        <f t="shared" si="267"/>
        <v>0.71774406446366745</v>
      </c>
      <c r="V632" s="9">
        <v>43105</v>
      </c>
      <c r="W632">
        <v>45360</v>
      </c>
      <c r="X632">
        <v>68208.119699999996</v>
      </c>
      <c r="Y632">
        <v>54834.437100000003</v>
      </c>
      <c r="AC632" s="24">
        <f t="shared" si="268"/>
        <v>6.4317352092448432E-2</v>
      </c>
      <c r="AE632" s="5">
        <f t="shared" si="269"/>
        <v>1189.7789992651913</v>
      </c>
      <c r="AF632" s="6">
        <f t="shared" si="270"/>
        <v>1991.616603456062</v>
      </c>
      <c r="AH632" s="1">
        <f t="shared" si="271"/>
        <v>43105</v>
      </c>
      <c r="AI632">
        <f t="shared" si="272"/>
        <v>0.59739359332542319</v>
      </c>
      <c r="AJ632">
        <f t="shared" ca="1" si="273"/>
        <v>0.58220490629972987</v>
      </c>
      <c r="AK632">
        <f t="shared" ca="1" si="274"/>
        <v>0.5895429102950992</v>
      </c>
      <c r="AL632">
        <f t="shared" ca="1" si="275"/>
        <v>0.60350300154737779</v>
      </c>
      <c r="AM632">
        <f t="shared" ca="1" si="276"/>
        <v>0.61846831997474139</v>
      </c>
      <c r="AN632">
        <f t="shared" ca="1" si="277"/>
        <v>0.62863334689931305</v>
      </c>
    </row>
    <row r="633" spans="2:40" x14ac:dyDescent="0.25">
      <c r="B633" s="1">
        <v>43112</v>
      </c>
      <c r="C633">
        <v>12.164</v>
      </c>
      <c r="D633">
        <v>10.164</v>
      </c>
      <c r="E633">
        <v>80.293000000000006</v>
      </c>
      <c r="G633">
        <v>32719.7</v>
      </c>
      <c r="I633" s="14">
        <f t="shared" si="262"/>
        <v>-1.5459328207203638E-2</v>
      </c>
      <c r="J633" s="15">
        <f t="shared" si="263"/>
        <v>-3.6405005688282199E-2</v>
      </c>
      <c r="K633" s="15">
        <f t="shared" si="279"/>
        <v>3.2601147148846543E-2</v>
      </c>
      <c r="L633" s="15"/>
      <c r="M633" s="16">
        <f t="shared" si="264"/>
        <v>1.6445948002969946E-2</v>
      </c>
      <c r="O633" s="13">
        <f t="shared" si="280"/>
        <v>-6.4210622488797648E-3</v>
      </c>
      <c r="Q633" s="5">
        <f t="shared" si="265"/>
        <v>1420.2922735707637</v>
      </c>
      <c r="R633" s="6">
        <f t="shared" si="266"/>
        <v>2024.3706265583519</v>
      </c>
      <c r="T633" s="11">
        <f t="shared" si="267"/>
        <v>0.70159695805575562</v>
      </c>
      <c r="V633" s="9">
        <v>43112</v>
      </c>
      <c r="W633">
        <v>44660</v>
      </c>
      <c r="X633">
        <v>65723.717999999993</v>
      </c>
      <c r="Y633">
        <v>56622.516600000003</v>
      </c>
      <c r="AC633" s="24">
        <f t="shared" si="268"/>
        <v>-8.2937372624441036E-3</v>
      </c>
      <c r="AE633" s="5">
        <f t="shared" si="269"/>
        <v>1179.9112848449122</v>
      </c>
      <c r="AF633" s="6">
        <f t="shared" si="270"/>
        <v>2024.3706265583519</v>
      </c>
      <c r="AH633" s="1">
        <f t="shared" si="271"/>
        <v>43112</v>
      </c>
      <c r="AI633">
        <f t="shared" si="272"/>
        <v>0.58285339125419366</v>
      </c>
      <c r="AJ633">
        <f t="shared" ca="1" si="273"/>
        <v>0.58220490629972987</v>
      </c>
      <c r="AK633">
        <f t="shared" ca="1" si="274"/>
        <v>0.5895429102950992</v>
      </c>
      <c r="AL633">
        <f t="shared" ca="1" si="275"/>
        <v>0.60204596536500721</v>
      </c>
      <c r="AM633">
        <f t="shared" ca="1" si="276"/>
        <v>0.61770454111946527</v>
      </c>
      <c r="AN633">
        <f t="shared" ca="1" si="277"/>
        <v>0.62863334689931305</v>
      </c>
    </row>
    <row r="634" spans="2:40" x14ac:dyDescent="0.25">
      <c r="B634" s="1">
        <v>43119</v>
      </c>
      <c r="C634">
        <v>12.698</v>
      </c>
      <c r="D634">
        <v>11.385999999999999</v>
      </c>
      <c r="E634">
        <v>79.870999999999995</v>
      </c>
      <c r="G634">
        <v>33591.699999999997</v>
      </c>
      <c r="I634" s="14">
        <f t="shared" si="262"/>
        <v>4.3900032883919859E-2</v>
      </c>
      <c r="J634" s="15">
        <f t="shared" si="263"/>
        <v>0.12022825659189285</v>
      </c>
      <c r="K634" s="15">
        <f t="shared" si="279"/>
        <v>-5.2557508126488406E-3</v>
      </c>
      <c r="L634" s="15"/>
      <c r="M634" s="16">
        <f t="shared" si="264"/>
        <v>2.6650611099734878E-2</v>
      </c>
      <c r="O634" s="13">
        <f t="shared" si="280"/>
        <v>5.2957512887721291E-2</v>
      </c>
      <c r="Q634" s="5">
        <f t="shared" si="265"/>
        <v>1495.5074199527185</v>
      </c>
      <c r="R634" s="6">
        <f t="shared" si="266"/>
        <v>2078.3213408484853</v>
      </c>
      <c r="T634" s="11">
        <f t="shared" si="267"/>
        <v>0.71957468297090665</v>
      </c>
      <c r="V634" s="9">
        <v>43119</v>
      </c>
      <c r="W634">
        <v>46620</v>
      </c>
      <c r="X634">
        <v>73628.632599999997</v>
      </c>
      <c r="Y634">
        <v>56324.503299999997</v>
      </c>
      <c r="AC634" s="24">
        <f t="shared" si="268"/>
        <v>5.7272290976126183E-2</v>
      </c>
      <c r="AE634" s="5">
        <f t="shared" si="269"/>
        <v>1247.4875072765649</v>
      </c>
      <c r="AF634" s="6">
        <f t="shared" si="270"/>
        <v>2078.3213408484853</v>
      </c>
      <c r="AH634" s="1">
        <f t="shared" si="271"/>
        <v>43119</v>
      </c>
      <c r="AI634">
        <f t="shared" si="272"/>
        <v>0.60023802997051057</v>
      </c>
      <c r="AJ634">
        <f t="shared" ca="1" si="273"/>
        <v>0.58211084181910122</v>
      </c>
      <c r="AK634">
        <f t="shared" ca="1" si="274"/>
        <v>0.58909605404410925</v>
      </c>
      <c r="AL634">
        <f t="shared" ca="1" si="275"/>
        <v>0.60133810487675765</v>
      </c>
      <c r="AM634">
        <f t="shared" ca="1" si="276"/>
        <v>0.61770454111946527</v>
      </c>
      <c r="AN634">
        <f t="shared" ca="1" si="277"/>
        <v>0.62863334689931305</v>
      </c>
    </row>
    <row r="635" spans="2:40" x14ac:dyDescent="0.25">
      <c r="B635" s="1">
        <v>43126</v>
      </c>
      <c r="C635">
        <v>13.231999999999999</v>
      </c>
      <c r="D635">
        <v>11.875</v>
      </c>
      <c r="E635">
        <v>79.701999999999998</v>
      </c>
      <c r="G635">
        <v>35126.22</v>
      </c>
      <c r="I635" s="14">
        <f t="shared" si="262"/>
        <v>4.2053866750669355E-2</v>
      </c>
      <c r="J635" s="15">
        <f t="shared" si="263"/>
        <v>4.2947479360618379E-2</v>
      </c>
      <c r="K635" s="15">
        <f t="shared" si="279"/>
        <v>-2.1159119079515731E-3</v>
      </c>
      <c r="L635" s="15"/>
      <c r="M635" s="16">
        <f t="shared" si="264"/>
        <v>4.5681522518955742E-2</v>
      </c>
      <c r="O635" s="13">
        <f t="shared" si="280"/>
        <v>2.7628478067778722E-2</v>
      </c>
      <c r="Q635" s="5">
        <f t="shared" si="265"/>
        <v>1536.8260139050824</v>
      </c>
      <c r="R635" s="6">
        <f t="shared" si="266"/>
        <v>2173.2622239820817</v>
      </c>
      <c r="T635" s="11">
        <f t="shared" si="267"/>
        <v>0.70715167131978518</v>
      </c>
      <c r="V635" s="9">
        <v>43126</v>
      </c>
      <c r="W635">
        <v>48580</v>
      </c>
      <c r="X635">
        <v>76790.598400000003</v>
      </c>
      <c r="Y635">
        <v>56205.298000000003</v>
      </c>
      <c r="AC635" s="24">
        <f t="shared" si="268"/>
        <v>2.8336913959816752E-2</v>
      </c>
      <c r="AE635" s="5">
        <f t="shared" si="269"/>
        <v>1282.8374534362074</v>
      </c>
      <c r="AF635" s="6">
        <f t="shared" si="270"/>
        <v>2173.2622239820817</v>
      </c>
      <c r="AH635" s="1">
        <f t="shared" si="271"/>
        <v>43126</v>
      </c>
      <c r="AI635">
        <f t="shared" si="272"/>
        <v>0.59028194539987755</v>
      </c>
      <c r="AJ635">
        <f t="shared" ca="1" si="273"/>
        <v>0.58211084181910122</v>
      </c>
      <c r="AK635">
        <f t="shared" ca="1" si="274"/>
        <v>0.58909605404410925</v>
      </c>
      <c r="AL635">
        <f t="shared" ca="1" si="275"/>
        <v>0.60059822366090376</v>
      </c>
      <c r="AM635">
        <f t="shared" ca="1" si="276"/>
        <v>0.61673314469776908</v>
      </c>
      <c r="AN635">
        <f t="shared" ca="1" si="277"/>
        <v>0.62743492935176071</v>
      </c>
    </row>
    <row r="636" spans="2:40" x14ac:dyDescent="0.25">
      <c r="B636" s="1">
        <v>43133</v>
      </c>
      <c r="C636">
        <v>12.478</v>
      </c>
      <c r="D636">
        <v>11.037000000000001</v>
      </c>
      <c r="E636">
        <v>76.152000000000001</v>
      </c>
      <c r="G636">
        <v>32614.77</v>
      </c>
      <c r="I636" s="14">
        <f t="shared" si="262"/>
        <v>-5.6983071342200708E-2</v>
      </c>
      <c r="J636" s="15">
        <f t="shared" si="263"/>
        <v>-7.0568421052631503E-2</v>
      </c>
      <c r="K636" s="15">
        <f t="shared" si="279"/>
        <v>-4.4540914908032359E-2</v>
      </c>
      <c r="L636" s="15"/>
      <c r="M636" s="16">
        <f t="shared" si="264"/>
        <v>-7.1497872529409645E-2</v>
      </c>
      <c r="O636" s="13">
        <f t="shared" si="280"/>
        <v>-5.7364135767621525E-2</v>
      </c>
      <c r="Q636" s="5">
        <f t="shared" si="265"/>
        <v>1448.6673177922187</v>
      </c>
      <c r="R636" s="6">
        <f t="shared" si="266"/>
        <v>2017.8785985188294</v>
      </c>
      <c r="T636" s="11">
        <f t="shared" si="267"/>
        <v>0.71791599299163722</v>
      </c>
      <c r="V636" s="9">
        <v>43133</v>
      </c>
      <c r="W636">
        <v>44520</v>
      </c>
      <c r="X636">
        <v>71370.085600000006</v>
      </c>
      <c r="Y636">
        <v>53701.986700000001</v>
      </c>
      <c r="AC636" s="24">
        <f t="shared" si="268"/>
        <v>-5.8877111412555541E-2</v>
      </c>
      <c r="AE636" s="5">
        <f t="shared" si="269"/>
        <v>1207.3076897660446</v>
      </c>
      <c r="AF636" s="6">
        <f t="shared" si="270"/>
        <v>2017.8785985188294</v>
      </c>
      <c r="AH636" s="1">
        <f t="shared" si="271"/>
        <v>43133</v>
      </c>
      <c r="AI636">
        <f t="shared" si="272"/>
        <v>0.59830541374106294</v>
      </c>
      <c r="AJ636">
        <f t="shared" ca="1" si="273"/>
        <v>0.58211084181910122</v>
      </c>
      <c r="AK636">
        <f t="shared" ca="1" si="274"/>
        <v>0.58909605404410925</v>
      </c>
      <c r="AL636">
        <f t="shared" ca="1" si="275"/>
        <v>0.60001016508741922</v>
      </c>
      <c r="AM636">
        <f t="shared" ca="1" si="276"/>
        <v>0.6157866994925788</v>
      </c>
      <c r="AN636">
        <f t="shared" ca="1" si="277"/>
        <v>0.62456865616267865</v>
      </c>
    </row>
    <row r="637" spans="2:40" x14ac:dyDescent="0.25">
      <c r="B637" s="1">
        <v>43140</v>
      </c>
      <c r="C637">
        <v>12.007</v>
      </c>
      <c r="D637">
        <v>11.071999999999999</v>
      </c>
      <c r="E637">
        <v>73.025000000000006</v>
      </c>
      <c r="G637">
        <v>30143.439999999999</v>
      </c>
      <c r="I637" s="14">
        <f t="shared" si="262"/>
        <v>-3.7746433723353068E-2</v>
      </c>
      <c r="J637" s="15">
        <f t="shared" si="263"/>
        <v>3.1711515810455282E-3</v>
      </c>
      <c r="K637" s="15">
        <f t="shared" si="279"/>
        <v>-4.1062611618867484E-2</v>
      </c>
      <c r="L637" s="15"/>
      <c r="M637" s="16">
        <f t="shared" si="264"/>
        <v>-7.5773338275879398E-2</v>
      </c>
      <c r="O637" s="13">
        <f t="shared" si="280"/>
        <v>-2.5212631253725009E-2</v>
      </c>
      <c r="Q637" s="5">
        <f t="shared" si="265"/>
        <v>1412.1426028994006</v>
      </c>
      <c r="R637" s="6">
        <f t="shared" si="266"/>
        <v>1864.9772008736047</v>
      </c>
      <c r="T637" s="11">
        <f t="shared" si="267"/>
        <v>0.75719027677009432</v>
      </c>
      <c r="V637" s="9">
        <v>43140</v>
      </c>
      <c r="W637">
        <v>42840</v>
      </c>
      <c r="X637">
        <v>71595.940300000002</v>
      </c>
      <c r="Y637">
        <v>51496.688699999999</v>
      </c>
      <c r="AC637" s="24">
        <f t="shared" si="268"/>
        <v>-2.1577009131207903E-2</v>
      </c>
      <c r="AE637" s="5">
        <f t="shared" si="269"/>
        <v>1181.2576007197852</v>
      </c>
      <c r="AF637" s="6">
        <f t="shared" si="270"/>
        <v>1864.9772008736047</v>
      </c>
      <c r="AH637" s="1">
        <f t="shared" si="271"/>
        <v>43140</v>
      </c>
      <c r="AI637">
        <f t="shared" si="272"/>
        <v>0.63338983456015052</v>
      </c>
      <c r="AJ637">
        <f t="shared" ca="1" si="273"/>
        <v>0.58211084181910122</v>
      </c>
      <c r="AK637">
        <f t="shared" ca="1" si="274"/>
        <v>0.58909605404410925</v>
      </c>
      <c r="AL637">
        <f t="shared" ca="1" si="275"/>
        <v>0.59909335907634498</v>
      </c>
      <c r="AM637">
        <f t="shared" ca="1" si="276"/>
        <v>0.61548180481863202</v>
      </c>
      <c r="AN637">
        <f t="shared" ca="1" si="277"/>
        <v>0.62456865616267865</v>
      </c>
    </row>
    <row r="638" spans="2:40" x14ac:dyDescent="0.25">
      <c r="B638" s="1">
        <v>43147</v>
      </c>
      <c r="C638">
        <v>11.888999999999999</v>
      </c>
      <c r="D638">
        <v>11.385999999999999</v>
      </c>
      <c r="E638">
        <v>76.742999999999995</v>
      </c>
      <c r="G638">
        <v>32677.25</v>
      </c>
      <c r="I638" s="14">
        <f t="shared" si="262"/>
        <v>-9.8276005663363586E-3</v>
      </c>
      <c r="J638" s="15">
        <f t="shared" si="263"/>
        <v>2.835982658959546E-2</v>
      </c>
      <c r="K638" s="15">
        <f t="shared" si="279"/>
        <v>5.0914070523793153E-2</v>
      </c>
      <c r="L638" s="15"/>
      <c r="M638" s="16">
        <f t="shared" si="264"/>
        <v>8.4058421998285615E-2</v>
      </c>
      <c r="O638" s="13">
        <f t="shared" si="280"/>
        <v>2.3148765515684084E-2</v>
      </c>
      <c r="Q638" s="5">
        <f t="shared" si="265"/>
        <v>1444.8319608886266</v>
      </c>
      <c r="R638" s="6">
        <f t="shared" si="266"/>
        <v>2021.7442414418197</v>
      </c>
      <c r="T638" s="11">
        <f t="shared" si="267"/>
        <v>0.71464626003249332</v>
      </c>
      <c r="V638" s="9">
        <v>43147</v>
      </c>
      <c r="W638">
        <v>42420</v>
      </c>
      <c r="X638">
        <v>73628.632599999997</v>
      </c>
      <c r="Y638">
        <v>54119.205300000001</v>
      </c>
      <c r="AC638" s="24">
        <f t="shared" si="268"/>
        <v>2.5500349803888187E-2</v>
      </c>
      <c r="AE638" s="5">
        <f t="shared" si="269"/>
        <v>1211.3800827466414</v>
      </c>
      <c r="AF638" s="6">
        <f t="shared" si="270"/>
        <v>2021.7442414418197</v>
      </c>
      <c r="AH638" s="1">
        <f t="shared" si="271"/>
        <v>43147</v>
      </c>
      <c r="AI638">
        <f t="shared" si="272"/>
        <v>0.59917573049830375</v>
      </c>
      <c r="AJ638">
        <f t="shared" ca="1" si="273"/>
        <v>0.58211084181910122</v>
      </c>
      <c r="AK638">
        <f t="shared" ca="1" si="274"/>
        <v>0.58909605404410925</v>
      </c>
      <c r="AL638">
        <f t="shared" ca="1" si="275"/>
        <v>0.59909335907634498</v>
      </c>
      <c r="AM638">
        <f t="shared" ca="1" si="276"/>
        <v>0.6157866994925788</v>
      </c>
      <c r="AN638">
        <f t="shared" ca="1" si="277"/>
        <v>0.62743492935176071</v>
      </c>
    </row>
    <row r="639" spans="2:40" x14ac:dyDescent="0.25">
      <c r="B639" s="1">
        <v>43154</v>
      </c>
      <c r="C639">
        <v>11.615</v>
      </c>
      <c r="D639">
        <v>10.827</v>
      </c>
      <c r="E639">
        <v>75.644999999999996</v>
      </c>
      <c r="G639">
        <v>32742.39</v>
      </c>
      <c r="I639" s="14">
        <f t="shared" si="262"/>
        <v>-2.3046513583985129E-2</v>
      </c>
      <c r="J639" s="15">
        <f t="shared" si="263"/>
        <v>-4.909538029158611E-2</v>
      </c>
      <c r="K639" s="15">
        <f t="shared" si="279"/>
        <v>-1.4307493843086605E-2</v>
      </c>
      <c r="L639" s="15"/>
      <c r="M639" s="16">
        <f t="shared" si="264"/>
        <v>1.9934358001361119E-3</v>
      </c>
      <c r="O639" s="13">
        <f t="shared" si="280"/>
        <v>-2.8816462572885948E-2</v>
      </c>
      <c r="Q639" s="5">
        <f t="shared" si="265"/>
        <v>1403.19701476357</v>
      </c>
      <c r="R639" s="6">
        <f t="shared" si="266"/>
        <v>2025.7744587914287</v>
      </c>
      <c r="T639" s="11">
        <f t="shared" si="267"/>
        <v>0.69267188589232842</v>
      </c>
      <c r="V639" s="9">
        <v>43154</v>
      </c>
      <c r="W639">
        <v>41440</v>
      </c>
      <c r="X639">
        <v>70014.957399999999</v>
      </c>
      <c r="Y639">
        <v>53344.370900000002</v>
      </c>
      <c r="AC639" s="24">
        <f t="shared" si="268"/>
        <v>-3.1538092549870812E-2</v>
      </c>
      <c r="AE639" s="5">
        <f t="shared" si="269"/>
        <v>1173.1754655839077</v>
      </c>
      <c r="AF639" s="6">
        <f t="shared" si="270"/>
        <v>2025.7744587914287</v>
      </c>
      <c r="AH639" s="1">
        <f t="shared" si="271"/>
        <v>43154</v>
      </c>
      <c r="AI639">
        <f t="shared" si="272"/>
        <v>0.57912442349767834</v>
      </c>
      <c r="AJ639">
        <f t="shared" ca="1" si="273"/>
        <v>0.58211084181910122</v>
      </c>
      <c r="AK639">
        <f t="shared" ca="1" si="274"/>
        <v>0.58909605404410925</v>
      </c>
      <c r="AL639">
        <f t="shared" ca="1" si="275"/>
        <v>0.59879007422333286</v>
      </c>
      <c r="AM639">
        <f t="shared" ca="1" si="276"/>
        <v>0.61548180481863202</v>
      </c>
      <c r="AN639">
        <f t="shared" ca="1" si="277"/>
        <v>0.62743492935176071</v>
      </c>
    </row>
    <row r="640" spans="2:40" x14ac:dyDescent="0.25">
      <c r="B640" s="1">
        <v>43161</v>
      </c>
      <c r="C640">
        <v>10.634</v>
      </c>
      <c r="D640">
        <v>9.6750000000000007</v>
      </c>
      <c r="E640">
        <v>72.686000000000007</v>
      </c>
      <c r="G640">
        <v>31900.7</v>
      </c>
      <c r="I640" s="14">
        <f t="shared" ref="I640:I703" si="281">+C640/C639-1</f>
        <v>-8.4459750322858351E-2</v>
      </c>
      <c r="J640" s="15">
        <f t="shared" ref="J640:J703" si="282">+D640/D639-1</f>
        <v>-0.10640066500415624</v>
      </c>
      <c r="K640" s="15">
        <f t="shared" ref="K640:K703" si="283">+E640/E639-1</f>
        <v>-3.911692775464326E-2</v>
      </c>
      <c r="L640" s="15"/>
      <c r="M640" s="16">
        <f t="shared" ref="M640:M703" si="284">+G640/G639-1</f>
        <v>-2.5706431326485313E-2</v>
      </c>
      <c r="O640" s="13">
        <f t="shared" ref="O640:O703" si="285">+AVERAGE(I640:L640)</f>
        <v>-7.6659114360552616E-2</v>
      </c>
      <c r="Q640" s="5">
        <f t="shared" ref="Q640:Q703" si="286">+Q639*(1+O640)</f>
        <v>1295.6291743384234</v>
      </c>
      <c r="R640" s="6">
        <f t="shared" ref="R640:R703" si="287">+R639*(1+M640)</f>
        <v>1973.699026783559</v>
      </c>
      <c r="T640" s="11">
        <f t="shared" ref="T640:T703" si="288">+Q640/R640</f>
        <v>0.65644718711233652</v>
      </c>
      <c r="V640" s="9">
        <v>43161</v>
      </c>
      <c r="W640">
        <v>37940</v>
      </c>
      <c r="X640">
        <v>62561.752200000003</v>
      </c>
      <c r="Y640">
        <v>51258.278100000003</v>
      </c>
      <c r="AC640" s="24">
        <f t="shared" ref="AC640:AC703" si="289">+SUMPRODUCT(I640:L640,W639:Z639)/SUM(W639:AA639)</f>
        <v>-7.9104193676432094E-2</v>
      </c>
      <c r="AE640" s="5">
        <f t="shared" ref="AE640:AE703" si="290">+AE639*(1+AC640)</f>
        <v>1080.3723663379199</v>
      </c>
      <c r="AF640" s="6">
        <f t="shared" ref="AF640:AF703" si="291">+AF639*(1+M640)</f>
        <v>1973.699026783559</v>
      </c>
      <c r="AH640" s="1">
        <f t="shared" ref="AH640:AH703" si="292">+B640</f>
        <v>43161</v>
      </c>
      <c r="AI640">
        <f t="shared" ref="AI640:AI703" si="293">+(AE640/$AE$6)/(AF640/$AF$6)</f>
        <v>0.54738455644807704</v>
      </c>
      <c r="AJ640">
        <f t="shared" ref="AJ640:AJ703" ca="1" si="294">+_xlfn.PERCENTILE.INC(OFFSET(AI640,-52,0,52,1),0.1)</f>
        <v>0.5794148147805418</v>
      </c>
      <c r="AK640">
        <f t="shared" ref="AK640:AK703" ca="1" si="295">+_xlfn.PERCENTILE.INC(OFFSET(AI640,-52,0,52,1),0.25)</f>
        <v>0.58821728305005394</v>
      </c>
      <c r="AL640">
        <f t="shared" ref="AL640:AL703" ca="1" si="296">+_xlfn.PERCENTILE.INC(OFFSET(AI640,-52,0,52,1),0.5)</f>
        <v>0.59835491584471245</v>
      </c>
      <c r="AM640">
        <f t="shared" ref="AM640:AM703" ca="1" si="297">+_xlfn.PERCENTILE.INC(OFFSET(AI640,-52,0,52,1),0.75)</f>
        <v>0.61485456158857976</v>
      </c>
      <c r="AN640">
        <f t="shared" ref="AN640:AN703" ca="1" si="298">+_xlfn.PERCENTILE.INC(OFFSET(AI640,-52,0,52,1),0.9)</f>
        <v>0.62709373135633417</v>
      </c>
    </row>
    <row r="641" spans="2:40" x14ac:dyDescent="0.25">
      <c r="B641" s="1">
        <v>43168</v>
      </c>
      <c r="C641">
        <v>11.536</v>
      </c>
      <c r="D641">
        <v>10.233000000000001</v>
      </c>
      <c r="E641">
        <v>75.56</v>
      </c>
      <c r="G641">
        <v>33182.6</v>
      </c>
      <c r="I641" s="14">
        <f t="shared" si="281"/>
        <v>8.4822268196351303E-2</v>
      </c>
      <c r="J641" s="15">
        <f t="shared" si="282"/>
        <v>5.7674418604651168E-2</v>
      </c>
      <c r="K641" s="15">
        <f t="shared" si="283"/>
        <v>3.9539938915334361E-2</v>
      </c>
      <c r="L641" s="15"/>
      <c r="M641" s="16">
        <f t="shared" si="284"/>
        <v>4.0184071195929816E-2</v>
      </c>
      <c r="O641" s="13">
        <f t="shared" si="285"/>
        <v>6.0678875238778941E-2</v>
      </c>
      <c r="Q641" s="5">
        <f t="shared" si="286"/>
        <v>1374.2464953638269</v>
      </c>
      <c r="R641" s="6">
        <f t="shared" si="287"/>
        <v>2053.0102889951668</v>
      </c>
      <c r="T641" s="11">
        <f t="shared" si="288"/>
        <v>0.66938120219380071</v>
      </c>
      <c r="V641" s="9">
        <v>43168</v>
      </c>
      <c r="W641">
        <v>41160</v>
      </c>
      <c r="X641">
        <v>66175.4274</v>
      </c>
      <c r="Y641">
        <v>53284.768199999999</v>
      </c>
      <c r="AC641" s="24">
        <f t="shared" si="289"/>
        <v>5.8336300459819058E-2</v>
      </c>
      <c r="AE641" s="5">
        <f t="shared" si="290"/>
        <v>1143.3972933090943</v>
      </c>
      <c r="AF641" s="6">
        <f t="shared" si="291"/>
        <v>2053.0102889951668</v>
      </c>
      <c r="AH641" s="1">
        <f t="shared" si="292"/>
        <v>43168</v>
      </c>
      <c r="AI641">
        <f t="shared" si="293"/>
        <v>0.55693695225888173</v>
      </c>
      <c r="AJ641">
        <f t="shared" ca="1" si="294"/>
        <v>0.57578381304723536</v>
      </c>
      <c r="AK641">
        <f t="shared" ca="1" si="295"/>
        <v>0.58606285370947453</v>
      </c>
      <c r="AL641">
        <f t="shared" ca="1" si="296"/>
        <v>0.59784950353324307</v>
      </c>
      <c r="AM641">
        <f t="shared" ca="1" si="297"/>
        <v>0.61383219838529124</v>
      </c>
      <c r="AN641">
        <f t="shared" ca="1" si="298"/>
        <v>0.62124100517368497</v>
      </c>
    </row>
    <row r="642" spans="2:40" x14ac:dyDescent="0.25">
      <c r="B642" s="1">
        <v>43175</v>
      </c>
      <c r="C642">
        <v>10.869</v>
      </c>
      <c r="D642">
        <v>9.7100000000000009</v>
      </c>
      <c r="E642">
        <v>75.983000000000004</v>
      </c>
      <c r="G642">
        <v>32555.08</v>
      </c>
      <c r="I642" s="14">
        <f t="shared" si="281"/>
        <v>-5.7819001386962499E-2</v>
      </c>
      <c r="J642" s="15">
        <f t="shared" si="282"/>
        <v>-5.1109156650053666E-2</v>
      </c>
      <c r="K642" s="15">
        <f t="shared" si="283"/>
        <v>5.5982001058760833E-3</v>
      </c>
      <c r="L642" s="15"/>
      <c r="M642" s="16">
        <f t="shared" si="284"/>
        <v>-1.891111606685425E-2</v>
      </c>
      <c r="O642" s="13">
        <f t="shared" si="285"/>
        <v>-3.4443319310380027E-2</v>
      </c>
      <c r="Q642" s="5">
        <f t="shared" si="286"/>
        <v>1326.9128845128398</v>
      </c>
      <c r="R642" s="6">
        <f t="shared" si="287"/>
        <v>2014.1855731335331</v>
      </c>
      <c r="T642" s="11">
        <f t="shared" si="288"/>
        <v>0.65878382916253286</v>
      </c>
      <c r="V642" s="9">
        <v>43175</v>
      </c>
      <c r="W642">
        <v>38780</v>
      </c>
      <c r="X642">
        <v>62787.606899999999</v>
      </c>
      <c r="Y642">
        <v>53582.781499999997</v>
      </c>
      <c r="AC642" s="24">
        <f t="shared" si="289"/>
        <v>-3.4016280250871556E-2</v>
      </c>
      <c r="AE642" s="5">
        <f t="shared" si="290"/>
        <v>1104.5031705418041</v>
      </c>
      <c r="AF642" s="6">
        <f t="shared" si="291"/>
        <v>2014.1855731335331</v>
      </c>
      <c r="AH642" s="1">
        <f t="shared" si="292"/>
        <v>43175</v>
      </c>
      <c r="AI642">
        <f t="shared" si="293"/>
        <v>0.54836216944176264</v>
      </c>
      <c r="AJ642">
        <f t="shared" ca="1" si="294"/>
        <v>0.57165749263696997</v>
      </c>
      <c r="AK642">
        <f t="shared" ca="1" si="295"/>
        <v>0.58478068518487203</v>
      </c>
      <c r="AL642">
        <f t="shared" ca="1" si="296"/>
        <v>0.59683259228508323</v>
      </c>
      <c r="AM642">
        <f t="shared" ca="1" si="297"/>
        <v>0.60885351217395234</v>
      </c>
      <c r="AN642">
        <f t="shared" ca="1" si="298"/>
        <v>0.62124100517368497</v>
      </c>
    </row>
    <row r="643" spans="2:40" x14ac:dyDescent="0.25">
      <c r="B643" s="1">
        <v>43182</v>
      </c>
      <c r="C643">
        <v>11.065</v>
      </c>
      <c r="D643">
        <v>10.058999999999999</v>
      </c>
      <c r="E643">
        <v>70.572999999999993</v>
      </c>
      <c r="G643">
        <v>31461.26</v>
      </c>
      <c r="I643" s="14">
        <f t="shared" si="281"/>
        <v>1.8032937712761044E-2</v>
      </c>
      <c r="J643" s="15">
        <f t="shared" si="282"/>
        <v>3.5942327497425097E-2</v>
      </c>
      <c r="K643" s="15">
        <f t="shared" si="283"/>
        <v>-7.1200136872721642E-2</v>
      </c>
      <c r="L643" s="15"/>
      <c r="M643" s="16">
        <f t="shared" si="284"/>
        <v>-3.3599057351418105E-2</v>
      </c>
      <c r="O643" s="13">
        <f t="shared" si="285"/>
        <v>-5.7416238875118335E-3</v>
      </c>
      <c r="Q643" s="5">
        <f t="shared" si="286"/>
        <v>1319.2942497984736</v>
      </c>
      <c r="R643" s="6">
        <f t="shared" si="287"/>
        <v>1946.5108365454205</v>
      </c>
      <c r="T643" s="11">
        <f t="shared" si="288"/>
        <v>0.67777390448023267</v>
      </c>
      <c r="V643" s="9">
        <v>43182</v>
      </c>
      <c r="W643">
        <v>39480</v>
      </c>
      <c r="X643">
        <v>65046.153899999998</v>
      </c>
      <c r="Y643">
        <v>49768.211900000002</v>
      </c>
      <c r="AC643" s="24">
        <f t="shared" si="289"/>
        <v>-5.5368944364233104E-3</v>
      </c>
      <c r="AE643" s="5">
        <f t="shared" si="290"/>
        <v>1098.3876530818193</v>
      </c>
      <c r="AF643" s="6">
        <f t="shared" si="291"/>
        <v>1946.5108365454205</v>
      </c>
      <c r="AH643" s="1">
        <f t="shared" si="292"/>
        <v>43182</v>
      </c>
      <c r="AI643">
        <f t="shared" si="293"/>
        <v>0.56428540363596846</v>
      </c>
      <c r="AJ643">
        <f t="shared" ca="1" si="294"/>
        <v>0.56760313033957177</v>
      </c>
      <c r="AK643">
        <f t="shared" ca="1" si="295"/>
        <v>0.58459101675226854</v>
      </c>
      <c r="AL643">
        <f t="shared" ca="1" si="296"/>
        <v>0.59618283747816259</v>
      </c>
      <c r="AM643">
        <f t="shared" ca="1" si="297"/>
        <v>0.60546540190673914</v>
      </c>
      <c r="AN643">
        <f t="shared" ca="1" si="298"/>
        <v>0.62071843870730625</v>
      </c>
    </row>
    <row r="644" spans="2:40" x14ac:dyDescent="0.25">
      <c r="B644" s="1">
        <v>43189</v>
      </c>
      <c r="C644">
        <v>10.673</v>
      </c>
      <c r="D644">
        <v>9.6750000000000007</v>
      </c>
      <c r="E644">
        <v>73.025000000000006</v>
      </c>
      <c r="G644">
        <v>31114.93</v>
      </c>
      <c r="I644" s="14">
        <f t="shared" si="281"/>
        <v>-3.5427022141888753E-2</v>
      </c>
      <c r="J644" s="15">
        <f t="shared" si="282"/>
        <v>-3.8174768863703967E-2</v>
      </c>
      <c r="K644" s="15">
        <f t="shared" si="283"/>
        <v>3.474416561574567E-2</v>
      </c>
      <c r="L644" s="15"/>
      <c r="M644" s="16">
        <f t="shared" si="284"/>
        <v>-1.100814144125184E-2</v>
      </c>
      <c r="O644" s="13">
        <f t="shared" si="285"/>
        <v>-1.2952541796615683E-2</v>
      </c>
      <c r="Q644" s="5">
        <f t="shared" si="286"/>
        <v>1302.2060358859242</v>
      </c>
      <c r="R644" s="6">
        <f t="shared" si="287"/>
        <v>1925.083369939799</v>
      </c>
      <c r="T644" s="11">
        <f t="shared" si="288"/>
        <v>0.67644137195296983</v>
      </c>
      <c r="V644" s="9">
        <v>43189</v>
      </c>
      <c r="W644">
        <v>38080</v>
      </c>
      <c r="X644">
        <v>62561.752200000003</v>
      </c>
      <c r="Y644">
        <v>51496.688699999999</v>
      </c>
      <c r="AC644" s="24">
        <f t="shared" si="289"/>
        <v>-1.3951421472539988E-2</v>
      </c>
      <c r="AE644" s="5">
        <f t="shared" si="290"/>
        <v>1083.0635839934407</v>
      </c>
      <c r="AF644" s="6">
        <f t="shared" si="291"/>
        <v>1925.083369939799</v>
      </c>
      <c r="AH644" s="1">
        <f t="shared" si="292"/>
        <v>43189</v>
      </c>
      <c r="AI644">
        <f t="shared" si="293"/>
        <v>0.5626060673036255</v>
      </c>
      <c r="AJ644">
        <f t="shared" ca="1" si="294"/>
        <v>0.56524636286521868</v>
      </c>
      <c r="AK644">
        <f t="shared" ca="1" si="295"/>
        <v>0.58414802357840734</v>
      </c>
      <c r="AL644">
        <f t="shared" ca="1" si="296"/>
        <v>0.59479536412650647</v>
      </c>
      <c r="AM644">
        <f t="shared" ca="1" si="297"/>
        <v>0.60485193924157765</v>
      </c>
      <c r="AN644">
        <f t="shared" ca="1" si="298"/>
        <v>0.61929001045653653</v>
      </c>
    </row>
    <row r="645" spans="2:40" x14ac:dyDescent="0.25">
      <c r="B645" s="1">
        <v>43196</v>
      </c>
      <c r="C645">
        <v>10.83</v>
      </c>
      <c r="D645">
        <v>9.8490000000000002</v>
      </c>
      <c r="E645">
        <v>75.137</v>
      </c>
      <c r="G645">
        <v>31738.77</v>
      </c>
      <c r="I645" s="14">
        <f t="shared" si="281"/>
        <v>1.4710015928042663E-2</v>
      </c>
      <c r="J645" s="15">
        <f t="shared" si="282"/>
        <v>1.7984496124030969E-2</v>
      </c>
      <c r="K645" s="15">
        <f t="shared" si="283"/>
        <v>2.8921602191030349E-2</v>
      </c>
      <c r="L645" s="15"/>
      <c r="M645" s="16">
        <f t="shared" si="284"/>
        <v>2.0049538919097776E-2</v>
      </c>
      <c r="O645" s="13">
        <f t="shared" si="285"/>
        <v>2.0538704747701326E-2</v>
      </c>
      <c r="Q645" s="5">
        <f t="shared" si="286"/>
        <v>1328.9516611776596</v>
      </c>
      <c r="R645" s="6">
        <f t="shared" si="287"/>
        <v>1963.680403887915</v>
      </c>
      <c r="T645" s="11">
        <f t="shared" si="288"/>
        <v>0.67676576012392442</v>
      </c>
      <c r="V645" s="9">
        <v>43196</v>
      </c>
      <c r="W645">
        <v>38640</v>
      </c>
      <c r="X645">
        <v>63691.025699999998</v>
      </c>
      <c r="Y645">
        <v>52986.754999999997</v>
      </c>
      <c r="AC645" s="24">
        <f t="shared" si="289"/>
        <v>2.0866953298915254E-2</v>
      </c>
      <c r="AE645" s="5">
        <f t="shared" si="290"/>
        <v>1105.6638212203875</v>
      </c>
      <c r="AF645" s="6">
        <f t="shared" si="291"/>
        <v>1963.680403887915</v>
      </c>
      <c r="AH645" s="1">
        <f t="shared" si="292"/>
        <v>43196</v>
      </c>
      <c r="AI645">
        <f t="shared" si="293"/>
        <v>0.56305691039706374</v>
      </c>
      <c r="AJ645">
        <f t="shared" ca="1" si="294"/>
        <v>0.56435980353060577</v>
      </c>
      <c r="AK645">
        <f t="shared" ca="1" si="295"/>
        <v>0.58355887485890845</v>
      </c>
      <c r="AL645">
        <f t="shared" ca="1" si="296"/>
        <v>0.5932855852843032</v>
      </c>
      <c r="AM645">
        <f t="shared" ca="1" si="297"/>
        <v>0.60485193924157765</v>
      </c>
      <c r="AN645">
        <f t="shared" ca="1" si="298"/>
        <v>0.61929001045653653</v>
      </c>
    </row>
    <row r="646" spans="2:40" x14ac:dyDescent="0.25">
      <c r="B646" s="1">
        <v>43203</v>
      </c>
      <c r="C646">
        <v>11.379</v>
      </c>
      <c r="D646">
        <v>10.436999999999999</v>
      </c>
      <c r="E646">
        <v>73.953999999999994</v>
      </c>
      <c r="G646">
        <v>31593.11</v>
      </c>
      <c r="I646" s="14">
        <f t="shared" si="281"/>
        <v>5.0692520775623251E-2</v>
      </c>
      <c r="J646" s="15">
        <f t="shared" si="282"/>
        <v>5.9701492537313383E-2</v>
      </c>
      <c r="K646" s="15">
        <f t="shared" si="283"/>
        <v>-1.5744573246203708E-2</v>
      </c>
      <c r="L646" s="15"/>
      <c r="M646" s="16">
        <f t="shared" si="284"/>
        <v>-4.5893397885299336E-3</v>
      </c>
      <c r="O646" s="13">
        <f t="shared" si="285"/>
        <v>3.154981335557764E-2</v>
      </c>
      <c r="Q646" s="5">
        <f t="shared" si="286"/>
        <v>1370.8798380463995</v>
      </c>
      <c r="R646" s="6">
        <f t="shared" si="287"/>
        <v>1954.6684072783955</v>
      </c>
      <c r="T646" s="11">
        <f t="shared" si="288"/>
        <v>0.70133626396262239</v>
      </c>
      <c r="V646" s="9">
        <v>43203</v>
      </c>
      <c r="W646">
        <v>40600</v>
      </c>
      <c r="X646">
        <v>65949.572700000004</v>
      </c>
      <c r="Y646">
        <v>52152.317900000002</v>
      </c>
      <c r="AC646" s="24">
        <f t="shared" si="289"/>
        <v>3.1721767017987769E-2</v>
      </c>
      <c r="AE646" s="5">
        <f t="shared" si="290"/>
        <v>1140.7374313573587</v>
      </c>
      <c r="AF646" s="6">
        <f t="shared" si="291"/>
        <v>1954.6684072783955</v>
      </c>
      <c r="AH646" s="1">
        <f t="shared" si="292"/>
        <v>43203</v>
      </c>
      <c r="AI646">
        <f t="shared" si="293"/>
        <v>0.58359639267187902</v>
      </c>
      <c r="AJ646">
        <f t="shared" ca="1" si="294"/>
        <v>0.56317975972095424</v>
      </c>
      <c r="AK646">
        <f t="shared" ca="1" si="295"/>
        <v>0.58264712752222358</v>
      </c>
      <c r="AL646">
        <f t="shared" ca="1" si="296"/>
        <v>0.59260757464643099</v>
      </c>
      <c r="AM646">
        <f t="shared" ca="1" si="297"/>
        <v>0.60468631535077955</v>
      </c>
      <c r="AN646">
        <f t="shared" ca="1" si="298"/>
        <v>0.61929001045653653</v>
      </c>
    </row>
    <row r="647" spans="2:40" x14ac:dyDescent="0.25">
      <c r="B647" s="1">
        <v>43210</v>
      </c>
      <c r="C647">
        <v>12.164</v>
      </c>
      <c r="D647">
        <v>10.507999999999999</v>
      </c>
      <c r="E647">
        <v>72.813000000000002</v>
      </c>
      <c r="G647">
        <v>31161.7</v>
      </c>
      <c r="I647" s="14">
        <f t="shared" si="281"/>
        <v>6.898672994111954E-2</v>
      </c>
      <c r="J647" s="15">
        <f t="shared" si="282"/>
        <v>6.8027210884353817E-3</v>
      </c>
      <c r="K647" s="15">
        <f t="shared" si="283"/>
        <v>-1.5428509614084263E-2</v>
      </c>
      <c r="L647" s="15"/>
      <c r="M647" s="16">
        <f t="shared" si="284"/>
        <v>-1.3655192540398819E-2</v>
      </c>
      <c r="O647" s="13">
        <f t="shared" si="285"/>
        <v>2.0120313805156886E-2</v>
      </c>
      <c r="Q647" s="5">
        <f t="shared" si="286"/>
        <v>1398.4623705770557</v>
      </c>
      <c r="R647" s="6">
        <f t="shared" si="287"/>
        <v>1927.9770338243743</v>
      </c>
      <c r="T647" s="11">
        <f t="shared" si="288"/>
        <v>0.72535219353886049</v>
      </c>
      <c r="V647" s="9">
        <v>43210</v>
      </c>
      <c r="W647">
        <v>43400</v>
      </c>
      <c r="X647">
        <v>66401.282099999997</v>
      </c>
      <c r="Y647">
        <v>51347.682099999998</v>
      </c>
      <c r="AC647" s="24">
        <f t="shared" si="289"/>
        <v>1.5405394587480208E-2</v>
      </c>
      <c r="AE647" s="5">
        <f t="shared" si="290"/>
        <v>1158.3109416081272</v>
      </c>
      <c r="AF647" s="6">
        <f t="shared" si="291"/>
        <v>1927.9770338243743</v>
      </c>
      <c r="AH647" s="1">
        <f t="shared" si="292"/>
        <v>43210</v>
      </c>
      <c r="AI647">
        <f t="shared" si="293"/>
        <v>0.60079083997721605</v>
      </c>
      <c r="AJ647">
        <f t="shared" ca="1" si="294"/>
        <v>0.56317975972095424</v>
      </c>
      <c r="AK647">
        <f t="shared" ca="1" si="295"/>
        <v>0.58264712752222358</v>
      </c>
      <c r="AL647">
        <f t="shared" ca="1" si="296"/>
        <v>0.59165363215805888</v>
      </c>
      <c r="AM647">
        <f t="shared" ca="1" si="297"/>
        <v>0.60244631049340369</v>
      </c>
      <c r="AN647">
        <f t="shared" ca="1" si="298"/>
        <v>0.61635229936877467</v>
      </c>
    </row>
    <row r="648" spans="2:40" x14ac:dyDescent="0.25">
      <c r="B648" s="1">
        <v>43217</v>
      </c>
      <c r="C648">
        <v>11.811</v>
      </c>
      <c r="D648">
        <v>10.544</v>
      </c>
      <c r="E648">
        <v>71.334000000000003</v>
      </c>
      <c r="G648">
        <v>30006.35</v>
      </c>
      <c r="I648" s="14">
        <f t="shared" si="281"/>
        <v>-2.9020059191055547E-2</v>
      </c>
      <c r="J648" s="15">
        <f t="shared" si="282"/>
        <v>3.4259611724400951E-3</v>
      </c>
      <c r="K648" s="15">
        <f t="shared" si="283"/>
        <v>-2.0312306868279006E-2</v>
      </c>
      <c r="L648" s="15"/>
      <c r="M648" s="16">
        <f t="shared" si="284"/>
        <v>-3.7075961837768845E-2</v>
      </c>
      <c r="O648" s="13">
        <f t="shared" si="285"/>
        <v>-1.5302134962298153E-2</v>
      </c>
      <c r="Q648" s="5">
        <f t="shared" si="286"/>
        <v>1377.0629106427903</v>
      </c>
      <c r="R648" s="6">
        <f t="shared" si="287"/>
        <v>1856.4954308942069</v>
      </c>
      <c r="T648" s="11">
        <f t="shared" si="288"/>
        <v>0.7417539993510831</v>
      </c>
      <c r="V648" s="9">
        <v>43217</v>
      </c>
      <c r="W648">
        <v>42140</v>
      </c>
      <c r="X648">
        <v>66627.136799999993</v>
      </c>
      <c r="Y648">
        <v>50304.635799999996</v>
      </c>
      <c r="AC648" s="24">
        <f t="shared" si="289"/>
        <v>-1.287611273648513E-2</v>
      </c>
      <c r="AE648" s="5">
        <f t="shared" si="290"/>
        <v>1143.3963993400766</v>
      </c>
      <c r="AF648" s="6">
        <f t="shared" si="291"/>
        <v>1856.4954308942069</v>
      </c>
      <c r="AH648" s="1">
        <f t="shared" si="292"/>
        <v>43217</v>
      </c>
      <c r="AI648">
        <f t="shared" si="293"/>
        <v>0.61588969211162758</v>
      </c>
      <c r="AJ648">
        <f t="shared" ca="1" si="294"/>
        <v>0.56317975972095424</v>
      </c>
      <c r="AK648">
        <f t="shared" ca="1" si="295"/>
        <v>0.58264712752222358</v>
      </c>
      <c r="AL648">
        <f t="shared" ca="1" si="296"/>
        <v>0.59165363215805888</v>
      </c>
      <c r="AM648">
        <f t="shared" ca="1" si="297"/>
        <v>0.6011482611140273</v>
      </c>
      <c r="AN648">
        <f t="shared" ca="1" si="298"/>
        <v>0.61635229936877467</v>
      </c>
    </row>
    <row r="649" spans="2:40" x14ac:dyDescent="0.25">
      <c r="B649" s="1">
        <v>43224</v>
      </c>
      <c r="C649">
        <v>11.811</v>
      </c>
      <c r="D649">
        <v>10.58</v>
      </c>
      <c r="E649">
        <v>67.445999999999998</v>
      </c>
      <c r="G649">
        <v>28553.27</v>
      </c>
      <c r="I649" s="14">
        <f t="shared" si="281"/>
        <v>0</v>
      </c>
      <c r="J649" s="15">
        <f t="shared" si="282"/>
        <v>3.4142640364187571E-3</v>
      </c>
      <c r="K649" s="15">
        <f t="shared" si="283"/>
        <v>-5.4504163512490655E-2</v>
      </c>
      <c r="L649" s="15"/>
      <c r="M649" s="16">
        <f t="shared" si="284"/>
        <v>-4.8425749882941349E-2</v>
      </c>
      <c r="O649" s="13">
        <f t="shared" si="285"/>
        <v>-1.7029966492023967E-2</v>
      </c>
      <c r="Q649" s="5">
        <f t="shared" si="286"/>
        <v>1353.6115754171346</v>
      </c>
      <c r="R649" s="6">
        <f t="shared" si="287"/>
        <v>1766.5932474989006</v>
      </c>
      <c r="T649" s="11">
        <f t="shared" si="288"/>
        <v>0.76622707424787495</v>
      </c>
      <c r="V649" s="9">
        <v>43224</v>
      </c>
      <c r="W649">
        <v>42140</v>
      </c>
      <c r="X649">
        <v>66852.991500000004</v>
      </c>
      <c r="Y649">
        <v>47562.9139</v>
      </c>
      <c r="AC649" s="24">
        <f t="shared" si="289"/>
        <v>-1.580625787314385E-2</v>
      </c>
      <c r="AE649" s="5">
        <f t="shared" si="290"/>
        <v>1125.3235810008832</v>
      </c>
      <c r="AF649" s="6">
        <f t="shared" si="291"/>
        <v>1766.5932474989006</v>
      </c>
      <c r="AH649" s="1">
        <f t="shared" si="292"/>
        <v>43224</v>
      </c>
      <c r="AI649">
        <f t="shared" si="293"/>
        <v>0.63700208443233253</v>
      </c>
      <c r="AJ649">
        <f t="shared" ca="1" si="294"/>
        <v>0.56317975972095424</v>
      </c>
      <c r="AK649">
        <f t="shared" ca="1" si="295"/>
        <v>0.58264712752222358</v>
      </c>
      <c r="AL649">
        <f t="shared" ca="1" si="296"/>
        <v>0.59165363215805888</v>
      </c>
      <c r="AM649">
        <f t="shared" ca="1" si="297"/>
        <v>0.6011482611140273</v>
      </c>
      <c r="AN649">
        <f t="shared" ca="1" si="298"/>
        <v>0.61584613354969309</v>
      </c>
    </row>
    <row r="650" spans="2:40" x14ac:dyDescent="0.25">
      <c r="B650" s="1">
        <v>43231</v>
      </c>
      <c r="C650">
        <v>12.831</v>
      </c>
      <c r="D650">
        <v>10.544</v>
      </c>
      <c r="E650">
        <v>68.503</v>
      </c>
      <c r="G650">
        <v>29852.06</v>
      </c>
      <c r="I650" s="14">
        <f t="shared" si="281"/>
        <v>8.6360172720345352E-2</v>
      </c>
      <c r="J650" s="15">
        <f t="shared" si="282"/>
        <v>-3.4026465028355046E-3</v>
      </c>
      <c r="K650" s="15">
        <f t="shared" si="283"/>
        <v>1.5671796696616669E-2</v>
      </c>
      <c r="L650" s="15"/>
      <c r="M650" s="16">
        <f t="shared" si="284"/>
        <v>4.5486558982561487E-2</v>
      </c>
      <c r="O650" s="13">
        <f t="shared" si="285"/>
        <v>3.2876440971375508E-2</v>
      </c>
      <c r="Q650" s="5">
        <f t="shared" si="286"/>
        <v>1398.1135064745067</v>
      </c>
      <c r="R650" s="6">
        <f t="shared" si="287"/>
        <v>1846.9494954494542</v>
      </c>
      <c r="T650" s="11">
        <f t="shared" si="288"/>
        <v>0.75698523967179543</v>
      </c>
      <c r="V650" s="9">
        <v>43231</v>
      </c>
      <c r="W650">
        <v>45780</v>
      </c>
      <c r="X650">
        <v>66627.136799999993</v>
      </c>
      <c r="Y650">
        <v>48307.947</v>
      </c>
      <c r="AC650" s="24">
        <f t="shared" si="289"/>
        <v>2.6553689476112665E-2</v>
      </c>
      <c r="AE650" s="5">
        <f t="shared" si="290"/>
        <v>1155.2050739309279</v>
      </c>
      <c r="AF650" s="6">
        <f t="shared" si="291"/>
        <v>1846.9494954494542</v>
      </c>
      <c r="AH650" s="1">
        <f t="shared" si="292"/>
        <v>43231</v>
      </c>
      <c r="AI650">
        <f t="shared" si="293"/>
        <v>0.62546652021462523</v>
      </c>
      <c r="AJ650">
        <f t="shared" ca="1" si="294"/>
        <v>0.56317975972095424</v>
      </c>
      <c r="AK650">
        <f t="shared" ca="1" si="295"/>
        <v>0.58264712752222358</v>
      </c>
      <c r="AL650">
        <f t="shared" ca="1" si="296"/>
        <v>0.59165363215805888</v>
      </c>
      <c r="AM650">
        <f t="shared" ca="1" si="297"/>
        <v>0.6011482611140273</v>
      </c>
      <c r="AN650">
        <f t="shared" ca="1" si="298"/>
        <v>0.61584613354969309</v>
      </c>
    </row>
    <row r="651" spans="2:40" x14ac:dyDescent="0.25">
      <c r="B651" s="1">
        <v>43238</v>
      </c>
      <c r="C651">
        <v>13.968999999999999</v>
      </c>
      <c r="D651">
        <v>11.473000000000001</v>
      </c>
      <c r="E651">
        <v>63.094000000000001</v>
      </c>
      <c r="G651">
        <v>31869.82</v>
      </c>
      <c r="I651" s="14">
        <f t="shared" si="281"/>
        <v>8.8691450393578064E-2</v>
      </c>
      <c r="J651" s="15">
        <f t="shared" si="282"/>
        <v>8.8106980273141122E-2</v>
      </c>
      <c r="K651" s="15">
        <f t="shared" si="283"/>
        <v>-7.8960045545450552E-2</v>
      </c>
      <c r="L651" s="15"/>
      <c r="M651" s="16">
        <f t="shared" si="284"/>
        <v>6.7591985276727939E-2</v>
      </c>
      <c r="O651" s="13">
        <f t="shared" si="285"/>
        <v>3.261279504042288E-2</v>
      </c>
      <c r="Q651" s="5">
        <f t="shared" si="286"/>
        <v>1443.7098957044068</v>
      </c>
      <c r="R651" s="6">
        <f t="shared" si="287"/>
        <v>1971.7884785527337</v>
      </c>
      <c r="T651" s="11">
        <f t="shared" si="288"/>
        <v>0.73218294528430883</v>
      </c>
      <c r="V651" s="9">
        <v>43238</v>
      </c>
      <c r="W651">
        <v>49840</v>
      </c>
      <c r="X651">
        <v>72499.359100000001</v>
      </c>
      <c r="Y651">
        <v>44493.377500000002</v>
      </c>
      <c r="AC651" s="24">
        <f t="shared" si="289"/>
        <v>3.8056245790815235E-2</v>
      </c>
      <c r="AE651" s="5">
        <f t="shared" si="290"/>
        <v>1199.1678421632403</v>
      </c>
      <c r="AF651" s="6">
        <f t="shared" si="291"/>
        <v>1971.7884785527337</v>
      </c>
      <c r="AH651" s="1">
        <f t="shared" si="292"/>
        <v>43238</v>
      </c>
      <c r="AI651">
        <f t="shared" si="293"/>
        <v>0.6081625160135905</v>
      </c>
      <c r="AJ651">
        <f t="shared" ca="1" si="294"/>
        <v>0.56317975972095424</v>
      </c>
      <c r="AK651">
        <f t="shared" ca="1" si="295"/>
        <v>0.58264712752222358</v>
      </c>
      <c r="AL651">
        <f t="shared" ca="1" si="296"/>
        <v>0.59165363215805888</v>
      </c>
      <c r="AM651">
        <f t="shared" ca="1" si="297"/>
        <v>0.6011482611140273</v>
      </c>
      <c r="AN651">
        <f t="shared" ca="1" si="298"/>
        <v>0.61639585793070917</v>
      </c>
    </row>
    <row r="652" spans="2:40" x14ac:dyDescent="0.25">
      <c r="B652" s="1">
        <v>43245</v>
      </c>
      <c r="C652">
        <v>13.223000000000001</v>
      </c>
      <c r="D652">
        <v>10.473000000000001</v>
      </c>
      <c r="E652">
        <v>47.584000000000003</v>
      </c>
      <c r="G652">
        <v>29664.9</v>
      </c>
      <c r="I652" s="14">
        <f t="shared" si="281"/>
        <v>-5.3403965924547103E-2</v>
      </c>
      <c r="J652" s="15">
        <f t="shared" si="282"/>
        <v>-8.7161160986664377E-2</v>
      </c>
      <c r="K652" s="15">
        <f t="shared" si="283"/>
        <v>-0.24582369163470374</v>
      </c>
      <c r="L652" s="15"/>
      <c r="M652" s="16">
        <f t="shared" si="284"/>
        <v>-6.9185204058259453E-2</v>
      </c>
      <c r="O652" s="13">
        <f t="shared" si="285"/>
        <v>-0.1287962728486384</v>
      </c>
      <c r="Q652" s="5">
        <f t="shared" si="286"/>
        <v>1257.7654420629829</v>
      </c>
      <c r="R652" s="6">
        <f t="shared" si="287"/>
        <v>1835.369890304338</v>
      </c>
      <c r="T652" s="11">
        <f t="shared" si="288"/>
        <v>0.68529262069043873</v>
      </c>
      <c r="V652" s="9">
        <v>43245</v>
      </c>
      <c r="W652">
        <v>47180</v>
      </c>
      <c r="X652">
        <v>66175.4274</v>
      </c>
      <c r="Y652">
        <v>33556.291400000002</v>
      </c>
      <c r="AC652" s="24">
        <f t="shared" si="289"/>
        <v>-0.11939088627268243</v>
      </c>
      <c r="AE652" s="5">
        <f t="shared" si="290"/>
        <v>1055.9981306976708</v>
      </c>
      <c r="AF652" s="6">
        <f t="shared" si="291"/>
        <v>1835.369890304338</v>
      </c>
      <c r="AH652" s="1">
        <f t="shared" si="292"/>
        <v>43245</v>
      </c>
      <c r="AI652">
        <f t="shared" si="293"/>
        <v>0.57535984232724169</v>
      </c>
      <c r="AJ652">
        <f t="shared" ca="1" si="294"/>
        <v>0.56317975972095424</v>
      </c>
      <c r="AK652">
        <f t="shared" ca="1" si="295"/>
        <v>0.58264712752222358</v>
      </c>
      <c r="AL652">
        <f t="shared" ca="1" si="296"/>
        <v>0.59260757464643099</v>
      </c>
      <c r="AM652">
        <f t="shared" ca="1" si="297"/>
        <v>0.60250076107722372</v>
      </c>
      <c r="AN652">
        <f t="shared" ca="1" si="298"/>
        <v>0.61639585793070917</v>
      </c>
    </row>
    <row r="653" spans="2:40" x14ac:dyDescent="0.25">
      <c r="B653" s="1">
        <v>43252</v>
      </c>
      <c r="C653">
        <v>12.439</v>
      </c>
      <c r="D653">
        <v>10.473000000000001</v>
      </c>
      <c r="E653">
        <v>54.219000000000001</v>
      </c>
      <c r="G653">
        <v>28436.75</v>
      </c>
      <c r="I653" s="14">
        <f t="shared" si="281"/>
        <v>-5.9290629962943431E-2</v>
      </c>
      <c r="J653" s="15">
        <f t="shared" si="282"/>
        <v>0</v>
      </c>
      <c r="K653" s="15">
        <f t="shared" si="283"/>
        <v>0.1394376260928043</v>
      </c>
      <c r="L653" s="15"/>
      <c r="M653" s="16">
        <f t="shared" si="284"/>
        <v>-4.1400780046452201E-2</v>
      </c>
      <c r="O653" s="13">
        <f t="shared" si="285"/>
        <v>2.671566537662029E-2</v>
      </c>
      <c r="Q653" s="5">
        <f t="shared" si="286"/>
        <v>1291.3674827354143</v>
      </c>
      <c r="R653" s="6">
        <f t="shared" si="287"/>
        <v>1759.384145171967</v>
      </c>
      <c r="T653" s="11">
        <f t="shared" si="288"/>
        <v>0.7339883596650193</v>
      </c>
      <c r="V653" s="9">
        <v>43252</v>
      </c>
      <c r="W653">
        <v>44380</v>
      </c>
      <c r="X653">
        <v>66175.4274</v>
      </c>
      <c r="Y653">
        <v>38235.099300000002</v>
      </c>
      <c r="AC653" s="24">
        <f t="shared" si="289"/>
        <v>1.2808220521906475E-2</v>
      </c>
      <c r="AE653" s="5">
        <f t="shared" si="290"/>
        <v>1069.5235876263675</v>
      </c>
      <c r="AF653" s="6">
        <f t="shared" si="291"/>
        <v>1759.384145171967</v>
      </c>
      <c r="AH653" s="1">
        <f t="shared" si="292"/>
        <v>43252</v>
      </c>
      <c r="AI653">
        <f t="shared" si="293"/>
        <v>0.60789657026369837</v>
      </c>
      <c r="AJ653">
        <f t="shared" ca="1" si="294"/>
        <v>0.56317975972095424</v>
      </c>
      <c r="AK653">
        <f t="shared" ca="1" si="295"/>
        <v>0.58130235811915443</v>
      </c>
      <c r="AL653">
        <f t="shared" ca="1" si="296"/>
        <v>0.59260757464643099</v>
      </c>
      <c r="AM653">
        <f t="shared" ca="1" si="297"/>
        <v>0.60250076107722372</v>
      </c>
      <c r="AN653">
        <f t="shared" ca="1" si="298"/>
        <v>0.61639585793070917</v>
      </c>
    </row>
    <row r="654" spans="2:40" x14ac:dyDescent="0.25">
      <c r="B654" s="1">
        <v>43259</v>
      </c>
      <c r="C654">
        <v>14.007999999999999</v>
      </c>
      <c r="D654">
        <v>11.509</v>
      </c>
      <c r="E654">
        <v>59.079000000000001</v>
      </c>
      <c r="G654">
        <v>31444.080000000002</v>
      </c>
      <c r="I654" s="14">
        <f t="shared" si="281"/>
        <v>0.12613554144223804</v>
      </c>
      <c r="J654" s="15">
        <f t="shared" si="282"/>
        <v>9.8921035042490058E-2</v>
      </c>
      <c r="K654" s="15">
        <f t="shared" si="283"/>
        <v>8.9636474298677493E-2</v>
      </c>
      <c r="L654" s="15"/>
      <c r="M654" s="16">
        <f t="shared" si="284"/>
        <v>0.10575505288051557</v>
      </c>
      <c r="O654" s="13">
        <f t="shared" si="285"/>
        <v>0.10489768359446854</v>
      </c>
      <c r="Q654" s="5">
        <f t="shared" si="286"/>
        <v>1426.8289403435792</v>
      </c>
      <c r="R654" s="6">
        <f t="shared" si="287"/>
        <v>1945.447908481769</v>
      </c>
      <c r="T654" s="11">
        <f t="shared" si="288"/>
        <v>0.73341924711676243</v>
      </c>
      <c r="V654" s="9">
        <v>43259</v>
      </c>
      <c r="W654">
        <v>49980</v>
      </c>
      <c r="X654">
        <v>72725.213799999998</v>
      </c>
      <c r="Y654">
        <v>41662.251700000001</v>
      </c>
      <c r="AC654" s="24">
        <f t="shared" si="289"/>
        <v>0.10465247313158087</v>
      </c>
      <c r="AE654" s="5">
        <f t="shared" si="290"/>
        <v>1181.4518761440279</v>
      </c>
      <c r="AF654" s="6">
        <f t="shared" si="291"/>
        <v>1945.447908481769</v>
      </c>
      <c r="AH654" s="1">
        <f t="shared" si="292"/>
        <v>43259</v>
      </c>
      <c r="AI654">
        <f t="shared" si="293"/>
        <v>0.60729041933897632</v>
      </c>
      <c r="AJ654">
        <f t="shared" ca="1" si="294"/>
        <v>0.56317975972095424</v>
      </c>
      <c r="AK654">
        <f t="shared" ca="1" si="295"/>
        <v>0.58130235811915443</v>
      </c>
      <c r="AL654">
        <f t="shared" ca="1" si="296"/>
        <v>0.5932855852843032</v>
      </c>
      <c r="AM654">
        <f t="shared" ca="1" si="297"/>
        <v>0.60485193924157765</v>
      </c>
      <c r="AN654">
        <f t="shared" ca="1" si="298"/>
        <v>0.61639585793070917</v>
      </c>
    </row>
    <row r="655" spans="2:40" x14ac:dyDescent="0.25">
      <c r="B655" s="1">
        <v>43266</v>
      </c>
      <c r="C655">
        <v>14.911</v>
      </c>
      <c r="D655">
        <v>11.545</v>
      </c>
      <c r="E655">
        <v>59.079000000000001</v>
      </c>
      <c r="G655">
        <v>30147.65</v>
      </c>
      <c r="I655" s="14">
        <f t="shared" si="281"/>
        <v>6.4463163906339327E-2</v>
      </c>
      <c r="J655" s="15">
        <f t="shared" si="282"/>
        <v>3.1279867929445704E-3</v>
      </c>
      <c r="K655" s="15">
        <f t="shared" si="283"/>
        <v>0</v>
      </c>
      <c r="L655" s="15"/>
      <c r="M655" s="16">
        <f t="shared" si="284"/>
        <v>-4.1229700471440145E-2</v>
      </c>
      <c r="O655" s="13">
        <f t="shared" si="285"/>
        <v>2.2530383566427965E-2</v>
      </c>
      <c r="Q655" s="5">
        <f t="shared" si="286"/>
        <v>1458.9759436531999</v>
      </c>
      <c r="R655" s="6">
        <f t="shared" si="287"/>
        <v>1865.237673932276</v>
      </c>
      <c r="T655" s="11">
        <f t="shared" si="288"/>
        <v>0.78219304919860477</v>
      </c>
      <c r="V655" s="9">
        <v>43266</v>
      </c>
      <c r="W655">
        <v>53200</v>
      </c>
      <c r="X655">
        <v>72951.068499999994</v>
      </c>
      <c r="Y655">
        <v>41662.251700000001</v>
      </c>
      <c r="AC655" s="24">
        <f t="shared" si="289"/>
        <v>2.0985615552484807E-2</v>
      </c>
      <c r="AE655" s="5">
        <f t="shared" si="290"/>
        <v>1206.2453710105483</v>
      </c>
      <c r="AF655" s="6">
        <f t="shared" si="291"/>
        <v>1865.237673932276</v>
      </c>
      <c r="AH655" s="1">
        <f t="shared" si="292"/>
        <v>43266</v>
      </c>
      <c r="AI655">
        <f t="shared" si="293"/>
        <v>0.64669794518333601</v>
      </c>
      <c r="AJ655">
        <f t="shared" ca="1" si="294"/>
        <v>0.56317975972095424</v>
      </c>
      <c r="AK655">
        <f t="shared" ca="1" si="295"/>
        <v>0.58130235811915443</v>
      </c>
      <c r="AL655">
        <f t="shared" ca="1" si="296"/>
        <v>0.5932855852843032</v>
      </c>
      <c r="AM655">
        <f t="shared" ca="1" si="297"/>
        <v>0.60546540190673914</v>
      </c>
      <c r="AN655">
        <f t="shared" ca="1" si="298"/>
        <v>0.61639585793070917</v>
      </c>
    </row>
    <row r="656" spans="2:40" x14ac:dyDescent="0.25">
      <c r="B656" s="1">
        <v>43273</v>
      </c>
      <c r="C656">
        <v>17.259</v>
      </c>
      <c r="D656">
        <v>11.438000000000001</v>
      </c>
      <c r="E656">
        <v>61.106999999999999</v>
      </c>
      <c r="G656">
        <v>30210.61</v>
      </c>
      <c r="I656" s="14">
        <f t="shared" si="281"/>
        <v>0.15746764133860913</v>
      </c>
      <c r="J656" s="15">
        <f t="shared" si="282"/>
        <v>-9.2680814205282624E-3</v>
      </c>
      <c r="K656" s="15">
        <f t="shared" si="283"/>
        <v>3.4326918194282241E-2</v>
      </c>
      <c r="L656" s="15"/>
      <c r="M656" s="16">
        <f t="shared" si="284"/>
        <v>2.0883883155071725E-3</v>
      </c>
      <c r="O656" s="13">
        <f t="shared" si="285"/>
        <v>6.0842159370787706E-2</v>
      </c>
      <c r="Q656" s="5">
        <f t="shared" si="286"/>
        <v>1547.7431905350934</v>
      </c>
      <c r="R656" s="6">
        <f t="shared" si="287"/>
        <v>1869.1330144961601</v>
      </c>
      <c r="T656" s="11">
        <f t="shared" si="288"/>
        <v>0.82805406492287559</v>
      </c>
      <c r="V656" s="9">
        <v>43273</v>
      </c>
      <c r="W656">
        <v>59360</v>
      </c>
      <c r="X656">
        <v>72273.504400000005</v>
      </c>
      <c r="Y656">
        <v>43092.715199999999</v>
      </c>
      <c r="AC656" s="24">
        <f t="shared" si="289"/>
        <v>5.441343256693975E-2</v>
      </c>
      <c r="AE656" s="5">
        <f t="shared" si="290"/>
        <v>1271.8813221652138</v>
      </c>
      <c r="AF656" s="6">
        <f t="shared" si="291"/>
        <v>1869.1330144961601</v>
      </c>
      <c r="AH656" s="1">
        <f t="shared" si="292"/>
        <v>43273</v>
      </c>
      <c r="AI656">
        <f t="shared" si="293"/>
        <v>0.68046592313177867</v>
      </c>
      <c r="AJ656">
        <f t="shared" ca="1" si="294"/>
        <v>0.56317975972095424</v>
      </c>
      <c r="AK656">
        <f t="shared" ca="1" si="295"/>
        <v>0.58130235811915443</v>
      </c>
      <c r="AL656">
        <f t="shared" ca="1" si="296"/>
        <v>0.5932855852843032</v>
      </c>
      <c r="AM656">
        <f t="shared" ca="1" si="297"/>
        <v>0.60728661032087816</v>
      </c>
      <c r="AN656">
        <f t="shared" ca="1" si="298"/>
        <v>0.61929001045653653</v>
      </c>
    </row>
    <row r="657" spans="2:40" x14ac:dyDescent="0.25">
      <c r="B657" s="1">
        <v>43280</v>
      </c>
      <c r="C657">
        <v>16.812000000000001</v>
      </c>
      <c r="D657">
        <v>9.4719999999999995</v>
      </c>
      <c r="E657">
        <v>49.951000000000001</v>
      </c>
      <c r="G657">
        <v>26037.01</v>
      </c>
      <c r="I657" s="14">
        <f t="shared" si="281"/>
        <v>-2.5899530679645344E-2</v>
      </c>
      <c r="J657" s="15">
        <f t="shared" si="282"/>
        <v>-0.17188319636300065</v>
      </c>
      <c r="K657" s="15">
        <f t="shared" si="283"/>
        <v>-0.1825650089187818</v>
      </c>
      <c r="L657" s="15"/>
      <c r="M657" s="16">
        <f t="shared" si="284"/>
        <v>-0.13815013996738235</v>
      </c>
      <c r="O657" s="13">
        <f t="shared" si="285"/>
        <v>-0.12678257865380926</v>
      </c>
      <c r="Q657" s="5">
        <f t="shared" si="286"/>
        <v>1351.5163177451802</v>
      </c>
      <c r="R657" s="6">
        <f t="shared" si="287"/>
        <v>1610.9120269258603</v>
      </c>
      <c r="T657" s="11">
        <f t="shared" si="288"/>
        <v>0.83897586904500876</v>
      </c>
      <c r="V657" s="9">
        <v>43280</v>
      </c>
      <c r="W657">
        <v>57820</v>
      </c>
      <c r="X657">
        <v>59851.495799999997</v>
      </c>
      <c r="Y657">
        <v>35225.1656</v>
      </c>
      <c r="AC657" s="24">
        <f t="shared" si="289"/>
        <v>-0.12492240188428858</v>
      </c>
      <c r="AE657" s="5">
        <f t="shared" si="290"/>
        <v>1112.9948524885706</v>
      </c>
      <c r="AF657" s="6">
        <f t="shared" si="291"/>
        <v>1610.9120269258603</v>
      </c>
      <c r="AH657" s="1">
        <f t="shared" si="292"/>
        <v>43280</v>
      </c>
      <c r="AI657">
        <f t="shared" si="293"/>
        <v>0.69090976657025993</v>
      </c>
      <c r="AJ657">
        <f t="shared" ca="1" si="294"/>
        <v>0.56317975972095424</v>
      </c>
      <c r="AK657">
        <f t="shared" ca="1" si="295"/>
        <v>0.58130235811915443</v>
      </c>
      <c r="AL657">
        <f t="shared" ca="1" si="296"/>
        <v>0.59488411789308704</v>
      </c>
      <c r="AM657">
        <f t="shared" ca="1" si="297"/>
        <v>0.6074419570701568</v>
      </c>
      <c r="AN657">
        <f t="shared" ca="1" si="298"/>
        <v>0.62071843870730625</v>
      </c>
    </row>
    <row r="658" spans="2:40" x14ac:dyDescent="0.25">
      <c r="B658" s="1">
        <v>43287</v>
      </c>
      <c r="C658">
        <v>17.626000000000001</v>
      </c>
      <c r="D658">
        <v>10.544</v>
      </c>
      <c r="E658">
        <v>53.204999999999998</v>
      </c>
      <c r="G658">
        <v>27611.040000000001</v>
      </c>
      <c r="I658" s="14">
        <f t="shared" si="281"/>
        <v>4.8417796811801139E-2</v>
      </c>
      <c r="J658" s="15">
        <f t="shared" si="282"/>
        <v>0.11317567567567588</v>
      </c>
      <c r="K658" s="15">
        <f t="shared" si="283"/>
        <v>6.5143840964144717E-2</v>
      </c>
      <c r="L658" s="15"/>
      <c r="M658" s="16">
        <f t="shared" si="284"/>
        <v>6.0453562064154198E-2</v>
      </c>
      <c r="O658" s="13">
        <f t="shared" si="285"/>
        <v>7.5579104483873907E-2</v>
      </c>
      <c r="Q658" s="5">
        <f t="shared" si="286"/>
        <v>1453.6627107357037</v>
      </c>
      <c r="R658" s="6">
        <f t="shared" si="287"/>
        <v>1708.2973971255153</v>
      </c>
      <c r="T658" s="11">
        <f t="shared" si="288"/>
        <v>0.85094241388046643</v>
      </c>
      <c r="V658" s="9">
        <v>43287</v>
      </c>
      <c r="W658">
        <v>60620</v>
      </c>
      <c r="X658">
        <v>66627.136799999993</v>
      </c>
      <c r="Y658">
        <v>37519.8675</v>
      </c>
      <c r="AC658" s="24">
        <f t="shared" si="289"/>
        <v>7.7620747020479275E-2</v>
      </c>
      <c r="AE658" s="5">
        <f t="shared" si="290"/>
        <v>1199.3863443686816</v>
      </c>
      <c r="AF658" s="6">
        <f t="shared" si="291"/>
        <v>1708.2973971255153</v>
      </c>
      <c r="AH658" s="1">
        <f t="shared" si="292"/>
        <v>43287</v>
      </c>
      <c r="AI658">
        <f t="shared" si="293"/>
        <v>0.7020945804792782</v>
      </c>
      <c r="AJ658">
        <f t="shared" ca="1" si="294"/>
        <v>0.56317975972095424</v>
      </c>
      <c r="AK658">
        <f t="shared" ca="1" si="295"/>
        <v>0.58264712752222358</v>
      </c>
      <c r="AL658">
        <f t="shared" ca="1" si="296"/>
        <v>0.59683259228508323</v>
      </c>
      <c r="AM658">
        <f t="shared" ca="1" si="297"/>
        <v>0.60796305670117134</v>
      </c>
      <c r="AN658">
        <f t="shared" ca="1" si="298"/>
        <v>0.62500407989398921</v>
      </c>
    </row>
    <row r="659" spans="2:40" x14ac:dyDescent="0.25">
      <c r="B659" s="1">
        <v>43294</v>
      </c>
      <c r="C659">
        <v>17.097000000000001</v>
      </c>
      <c r="D659">
        <v>10.186999999999999</v>
      </c>
      <c r="E659">
        <v>48.640999999999998</v>
      </c>
      <c r="G659">
        <v>26514.16</v>
      </c>
      <c r="I659" s="14">
        <f t="shared" si="281"/>
        <v>-3.0012481561329851E-2</v>
      </c>
      <c r="J659" s="15">
        <f t="shared" si="282"/>
        <v>-3.3858118361153378E-2</v>
      </c>
      <c r="K659" s="15">
        <f t="shared" si="283"/>
        <v>-8.5781411521473561E-2</v>
      </c>
      <c r="L659" s="15"/>
      <c r="M659" s="16">
        <f t="shared" si="284"/>
        <v>-3.9726138530095212E-2</v>
      </c>
      <c r="O659" s="13">
        <f t="shared" si="285"/>
        <v>-4.9884003814652265E-2</v>
      </c>
      <c r="Q659" s="5">
        <f t="shared" si="286"/>
        <v>1381.1481945281462</v>
      </c>
      <c r="R659" s="6">
        <f t="shared" si="287"/>
        <v>1640.4333380767059</v>
      </c>
      <c r="T659" s="11">
        <f t="shared" si="288"/>
        <v>0.84194106671073055</v>
      </c>
      <c r="V659" s="9">
        <v>43294</v>
      </c>
      <c r="W659">
        <v>58800</v>
      </c>
      <c r="X659">
        <v>64368.589800000002</v>
      </c>
      <c r="Y659">
        <v>34301.324500000002</v>
      </c>
      <c r="AC659" s="24">
        <f t="shared" si="289"/>
        <v>-4.4266953455411179E-2</v>
      </c>
      <c r="AE659" s="5">
        <f t="shared" si="290"/>
        <v>1146.2931648874574</v>
      </c>
      <c r="AF659" s="6">
        <f t="shared" si="291"/>
        <v>1640.4333380767059</v>
      </c>
      <c r="AH659" s="1">
        <f t="shared" si="292"/>
        <v>43294</v>
      </c>
      <c r="AI659">
        <f t="shared" si="293"/>
        <v>0.69877460929403346</v>
      </c>
      <c r="AJ659">
        <f t="shared" ca="1" si="294"/>
        <v>0.56317975972095424</v>
      </c>
      <c r="AK659">
        <f t="shared" ca="1" si="295"/>
        <v>0.58264712752222358</v>
      </c>
      <c r="AL659">
        <f t="shared" ca="1" si="296"/>
        <v>0.59784950353324307</v>
      </c>
      <c r="AM659">
        <f t="shared" ca="1" si="297"/>
        <v>0.60978556533202921</v>
      </c>
      <c r="AN659">
        <f t="shared" ca="1" si="298"/>
        <v>0.63259750312559793</v>
      </c>
    </row>
    <row r="660" spans="2:40" x14ac:dyDescent="0.25">
      <c r="B660" s="1">
        <v>43301</v>
      </c>
      <c r="C660">
        <v>16.364000000000001</v>
      </c>
      <c r="D660">
        <v>10.044</v>
      </c>
      <c r="E660">
        <v>50.795999999999999</v>
      </c>
      <c r="G660">
        <v>27625.34</v>
      </c>
      <c r="I660" s="14">
        <f t="shared" si="281"/>
        <v>-4.2873018658244111E-2</v>
      </c>
      <c r="J660" s="15">
        <f t="shared" si="282"/>
        <v>-1.40374987729458E-2</v>
      </c>
      <c r="K660" s="15">
        <f t="shared" si="283"/>
        <v>4.4304187825085828E-2</v>
      </c>
      <c r="L660" s="15"/>
      <c r="M660" s="16">
        <f t="shared" si="284"/>
        <v>4.1908927154395981E-2</v>
      </c>
      <c r="O660" s="13">
        <f t="shared" si="285"/>
        <v>-4.2021098687013607E-3</v>
      </c>
      <c r="Q660" s="5">
        <f t="shared" si="286"/>
        <v>1375.3444580697803</v>
      </c>
      <c r="R660" s="6">
        <f t="shared" si="287"/>
        <v>1709.1821393438051</v>
      </c>
      <c r="T660" s="11">
        <f t="shared" si="288"/>
        <v>0.80467986787985457</v>
      </c>
      <c r="V660" s="9">
        <v>43301</v>
      </c>
      <c r="W660">
        <v>56280</v>
      </c>
      <c r="X660">
        <v>63465.171000000002</v>
      </c>
      <c r="Y660">
        <v>35821.192000000003</v>
      </c>
      <c r="AC660" s="24">
        <f t="shared" si="289"/>
        <v>-1.2096375251163052E-2</v>
      </c>
      <c r="AE660" s="5">
        <f t="shared" si="290"/>
        <v>1132.4271726171353</v>
      </c>
      <c r="AF660" s="6">
        <f t="shared" si="291"/>
        <v>1709.1821393438051</v>
      </c>
      <c r="AH660" s="1">
        <f t="shared" si="292"/>
        <v>43301</v>
      </c>
      <c r="AI660">
        <f t="shared" si="293"/>
        <v>0.66255500016627866</v>
      </c>
      <c r="AJ660">
        <f t="shared" ca="1" si="294"/>
        <v>0.56317975972095424</v>
      </c>
      <c r="AK660">
        <f t="shared" ca="1" si="295"/>
        <v>0.58264712752222358</v>
      </c>
      <c r="AL660">
        <f t="shared" ca="1" si="296"/>
        <v>0.59835491584471245</v>
      </c>
      <c r="AM660">
        <f t="shared" ca="1" si="297"/>
        <v>0.61485456158857976</v>
      </c>
      <c r="AN660">
        <f t="shared" ca="1" si="298"/>
        <v>0.63664085944511428</v>
      </c>
    </row>
    <row r="661" spans="2:40" x14ac:dyDescent="0.25">
      <c r="B661" s="1">
        <v>43308</v>
      </c>
      <c r="C661">
        <v>16.567</v>
      </c>
      <c r="D661">
        <v>10.58</v>
      </c>
      <c r="E661">
        <v>54.008000000000003</v>
      </c>
      <c r="G661">
        <v>29259.02</v>
      </c>
      <c r="I661" s="14">
        <f t="shared" si="281"/>
        <v>1.2405279882669262E-2</v>
      </c>
      <c r="J661" s="15">
        <f t="shared" si="282"/>
        <v>5.3365193150139323E-2</v>
      </c>
      <c r="K661" s="15">
        <f t="shared" si="283"/>
        <v>6.3233325458697642E-2</v>
      </c>
      <c r="L661" s="15"/>
      <c r="M661" s="16">
        <f t="shared" si="284"/>
        <v>5.9137009716441424E-2</v>
      </c>
      <c r="O661" s="13">
        <f t="shared" si="285"/>
        <v>4.3001266163835407E-2</v>
      </c>
      <c r="Q661" s="5">
        <f t="shared" si="286"/>
        <v>1434.486011178195</v>
      </c>
      <c r="R661" s="6">
        <f t="shared" si="287"/>
        <v>1810.2580601253478</v>
      </c>
      <c r="T661" s="11">
        <f t="shared" si="288"/>
        <v>0.79242072872133318</v>
      </c>
      <c r="V661" s="9">
        <v>43308</v>
      </c>
      <c r="W661">
        <v>56980</v>
      </c>
      <c r="X661">
        <v>66852.991500000004</v>
      </c>
      <c r="Y661">
        <v>38086.092700000001</v>
      </c>
      <c r="AC661" s="24">
        <f t="shared" si="289"/>
        <v>4.0819192723382899E-2</v>
      </c>
      <c r="AE661" s="5">
        <f t="shared" si="290"/>
        <v>1178.6519356213898</v>
      </c>
      <c r="AF661" s="6">
        <f t="shared" si="291"/>
        <v>1810.2580601253478</v>
      </c>
      <c r="AH661" s="1">
        <f t="shared" si="292"/>
        <v>43308</v>
      </c>
      <c r="AI661">
        <f t="shared" si="293"/>
        <v>0.65109608490834525</v>
      </c>
      <c r="AJ661">
        <f t="shared" ca="1" si="294"/>
        <v>0.56317975972095424</v>
      </c>
      <c r="AK661">
        <f t="shared" ca="1" si="295"/>
        <v>0.58341064231745765</v>
      </c>
      <c r="AL661">
        <f t="shared" ca="1" si="296"/>
        <v>0.59879007422333286</v>
      </c>
      <c r="AM661">
        <f t="shared" ca="1" si="297"/>
        <v>0.61556300289711874</v>
      </c>
      <c r="AN661">
        <f t="shared" ca="1" si="298"/>
        <v>0.64572835910823567</v>
      </c>
    </row>
    <row r="662" spans="2:40" x14ac:dyDescent="0.25">
      <c r="B662" s="1">
        <v>43315</v>
      </c>
      <c r="C662">
        <v>16.934000000000001</v>
      </c>
      <c r="D662">
        <v>11.186999999999999</v>
      </c>
      <c r="E662">
        <v>50.372999999999998</v>
      </c>
      <c r="G662">
        <v>29215.98</v>
      </c>
      <c r="I662" s="14">
        <f t="shared" si="281"/>
        <v>2.2152471781252014E-2</v>
      </c>
      <c r="J662" s="15">
        <f t="shared" si="282"/>
        <v>5.7372400756143582E-2</v>
      </c>
      <c r="K662" s="15">
        <f t="shared" si="283"/>
        <v>-6.7304843726855412E-2</v>
      </c>
      <c r="L662" s="15"/>
      <c r="M662" s="16">
        <f t="shared" si="284"/>
        <v>-1.4709993704505875E-3</v>
      </c>
      <c r="O662" s="13">
        <f t="shared" si="285"/>
        <v>4.0733429368467284E-3</v>
      </c>
      <c r="Q662" s="5">
        <f t="shared" si="286"/>
        <v>1440.3291646398332</v>
      </c>
      <c r="R662" s="6">
        <f t="shared" si="287"/>
        <v>1807.5951716585503</v>
      </c>
      <c r="T662" s="11">
        <f t="shared" si="288"/>
        <v>0.79682065277828007</v>
      </c>
      <c r="V662" s="9">
        <v>43315</v>
      </c>
      <c r="W662">
        <v>58240</v>
      </c>
      <c r="X662">
        <v>70692.521500000003</v>
      </c>
      <c r="Y662">
        <v>35523.178800000002</v>
      </c>
      <c r="AC662" s="24">
        <f t="shared" si="289"/>
        <v>1.5652175636754074E-2</v>
      </c>
      <c r="AE662" s="5">
        <f t="shared" si="290"/>
        <v>1197.1004027323359</v>
      </c>
      <c r="AF662" s="6">
        <f t="shared" si="291"/>
        <v>1807.5951716585503</v>
      </c>
      <c r="AH662" s="1">
        <f t="shared" si="292"/>
        <v>43315</v>
      </c>
      <c r="AI662">
        <f t="shared" si="293"/>
        <v>0.66226134120171498</v>
      </c>
      <c r="AJ662">
        <f t="shared" ca="1" si="294"/>
        <v>0.56317975972095424</v>
      </c>
      <c r="AK662">
        <f t="shared" ca="1" si="295"/>
        <v>0.58341064231745765</v>
      </c>
      <c r="AL662">
        <f t="shared" ca="1" si="296"/>
        <v>0.59970688023440721</v>
      </c>
      <c r="AM662">
        <f t="shared" ca="1" si="297"/>
        <v>0.61603029372803908</v>
      </c>
      <c r="AN662">
        <f t="shared" ca="1" si="298"/>
        <v>0.65065627093584433</v>
      </c>
    </row>
    <row r="663" spans="2:40" x14ac:dyDescent="0.25">
      <c r="B663" s="1">
        <v>43322</v>
      </c>
      <c r="C663">
        <v>15.753</v>
      </c>
      <c r="D663">
        <v>9.1140000000000008</v>
      </c>
      <c r="E663">
        <v>46.401000000000003</v>
      </c>
      <c r="G663">
        <v>26856.15</v>
      </c>
      <c r="I663" s="14">
        <f t="shared" si="281"/>
        <v>-6.9741348765796629E-2</v>
      </c>
      <c r="J663" s="15">
        <f t="shared" si="282"/>
        <v>-0.18530437114507903</v>
      </c>
      <c r="K663" s="15">
        <f t="shared" si="283"/>
        <v>-7.8851765826930986E-2</v>
      </c>
      <c r="L663" s="15"/>
      <c r="M663" s="16">
        <f t="shared" si="284"/>
        <v>-8.0771892642314214E-2</v>
      </c>
      <c r="O663" s="13">
        <f t="shared" si="285"/>
        <v>-0.11129916191260221</v>
      </c>
      <c r="Q663" s="5">
        <f t="shared" si="286"/>
        <v>1280.0217357371412</v>
      </c>
      <c r="R663" s="6">
        <f t="shared" si="287"/>
        <v>1661.5922885125804</v>
      </c>
      <c r="T663" s="11">
        <f t="shared" si="288"/>
        <v>0.77035849563492353</v>
      </c>
      <c r="V663" s="9">
        <v>43322</v>
      </c>
      <c r="W663">
        <v>54180</v>
      </c>
      <c r="X663">
        <v>57592.948799999998</v>
      </c>
      <c r="Y663">
        <v>32721.854299999999</v>
      </c>
      <c r="AC663" s="24">
        <f t="shared" si="289"/>
        <v>-0.12138487588504267</v>
      </c>
      <c r="AE663" s="5">
        <f t="shared" si="290"/>
        <v>1051.7905189247367</v>
      </c>
      <c r="AF663" s="6">
        <f t="shared" si="291"/>
        <v>1661.5922885125804</v>
      </c>
      <c r="AH663" s="1">
        <f t="shared" si="292"/>
        <v>43322</v>
      </c>
      <c r="AI663">
        <f t="shared" si="293"/>
        <v>0.63300156494242976</v>
      </c>
      <c r="AJ663">
        <f t="shared" ca="1" si="294"/>
        <v>0.56317975972095424</v>
      </c>
      <c r="AK663">
        <f t="shared" ca="1" si="295"/>
        <v>0.58341064231745765</v>
      </c>
      <c r="AL663">
        <f t="shared" ca="1" si="296"/>
        <v>0.60051443497386336</v>
      </c>
      <c r="AM663">
        <f t="shared" ca="1" si="297"/>
        <v>0.61724040743262454</v>
      </c>
      <c r="AN663">
        <f t="shared" ca="1" si="298"/>
        <v>0.66114481557237803</v>
      </c>
    </row>
    <row r="664" spans="2:40" x14ac:dyDescent="0.25">
      <c r="B664" s="1">
        <v>43329</v>
      </c>
      <c r="C664">
        <v>16.283000000000001</v>
      </c>
      <c r="D664">
        <v>8.7210000000000001</v>
      </c>
      <c r="E664">
        <v>45.893999999999998</v>
      </c>
      <c r="G664">
        <v>26238.82</v>
      </c>
      <c r="I664" s="14">
        <f t="shared" si="281"/>
        <v>3.3644385196470505E-2</v>
      </c>
      <c r="J664" s="15">
        <f t="shared" si="282"/>
        <v>-4.3120473996050124E-2</v>
      </c>
      <c r="K664" s="15">
        <f t="shared" si="283"/>
        <v>-1.0926488653261845E-2</v>
      </c>
      <c r="L664" s="15"/>
      <c r="M664" s="16">
        <f t="shared" si="284"/>
        <v>-2.2986541257775328E-2</v>
      </c>
      <c r="O664" s="13">
        <f t="shared" si="285"/>
        <v>-6.8008591509471543E-3</v>
      </c>
      <c r="Q664" s="5">
        <f t="shared" si="286"/>
        <v>1271.316488202242</v>
      </c>
      <c r="R664" s="6">
        <f t="shared" si="287"/>
        <v>1623.3980288190846</v>
      </c>
      <c r="T664" s="11">
        <f t="shared" si="288"/>
        <v>0.78312063069772309</v>
      </c>
      <c r="V664" s="9">
        <v>43329</v>
      </c>
      <c r="W664">
        <v>56000</v>
      </c>
      <c r="X664">
        <v>55108.547100000003</v>
      </c>
      <c r="Y664">
        <v>32364.238399999998</v>
      </c>
      <c r="AC664" s="24">
        <f t="shared" si="289"/>
        <v>-7.0460487783737544E-3</v>
      </c>
      <c r="AE664" s="5">
        <f t="shared" si="290"/>
        <v>1044.3795516237619</v>
      </c>
      <c r="AF664" s="6">
        <f t="shared" si="291"/>
        <v>1623.3980288190846</v>
      </c>
      <c r="AH664" s="1">
        <f t="shared" si="292"/>
        <v>43329</v>
      </c>
      <c r="AI664">
        <f t="shared" si="293"/>
        <v>0.64332932101899831</v>
      </c>
      <c r="AJ664">
        <f t="shared" ca="1" si="294"/>
        <v>0.56317975972095424</v>
      </c>
      <c r="AK664">
        <f t="shared" ca="1" si="295"/>
        <v>0.58341064231745765</v>
      </c>
      <c r="AL664">
        <f t="shared" ca="1" si="296"/>
        <v>0.60087462866425656</v>
      </c>
      <c r="AM664">
        <f t="shared" ca="1" si="297"/>
        <v>0.61991452975107386</v>
      </c>
      <c r="AN664">
        <f t="shared" ca="1" si="298"/>
        <v>0.66114481557237803</v>
      </c>
    </row>
    <row r="665" spans="2:40" x14ac:dyDescent="0.25">
      <c r="B665" s="1">
        <v>43336</v>
      </c>
      <c r="C665">
        <v>15.590999999999999</v>
      </c>
      <c r="D665">
        <v>8.7569999999999997</v>
      </c>
      <c r="E665">
        <v>42.682000000000002</v>
      </c>
      <c r="G665">
        <v>25167.96</v>
      </c>
      <c r="I665" s="14">
        <f t="shared" si="281"/>
        <v>-4.2498311122029175E-2</v>
      </c>
      <c r="J665" s="15">
        <f t="shared" si="282"/>
        <v>4.1279669762641635E-3</v>
      </c>
      <c r="K665" s="15">
        <f t="shared" si="283"/>
        <v>-6.9987362182420298E-2</v>
      </c>
      <c r="L665" s="15"/>
      <c r="M665" s="16">
        <f t="shared" si="284"/>
        <v>-4.0812048712556503E-2</v>
      </c>
      <c r="O665" s="13">
        <f t="shared" si="285"/>
        <v>-3.6119235442728437E-2</v>
      </c>
      <c r="Q665" s="5">
        <f t="shared" si="286"/>
        <v>1225.3975086426426</v>
      </c>
      <c r="R665" s="6">
        <f t="shared" si="287"/>
        <v>1557.1438293870519</v>
      </c>
      <c r="T665" s="11">
        <f t="shared" si="288"/>
        <v>0.7869520371313441</v>
      </c>
      <c r="V665" s="9">
        <v>43336</v>
      </c>
      <c r="W665">
        <v>53620</v>
      </c>
      <c r="X665">
        <v>55334.4018</v>
      </c>
      <c r="Y665">
        <v>30099.3377</v>
      </c>
      <c r="AC665" s="24">
        <f t="shared" si="289"/>
        <v>-3.0789858993529685E-2</v>
      </c>
      <c r="AE665" s="5">
        <f t="shared" si="290"/>
        <v>1012.2232524935405</v>
      </c>
      <c r="AF665" s="6">
        <f t="shared" si="291"/>
        <v>1557.1438293870519</v>
      </c>
      <c r="AH665" s="1">
        <f t="shared" si="292"/>
        <v>43336</v>
      </c>
      <c r="AI665">
        <f t="shared" si="293"/>
        <v>0.6500512241646863</v>
      </c>
      <c r="AJ665">
        <f t="shared" ca="1" si="294"/>
        <v>0.56317975972095424</v>
      </c>
      <c r="AK665">
        <f t="shared" ca="1" si="295"/>
        <v>0.58341064231745765</v>
      </c>
      <c r="AL665">
        <f t="shared" ca="1" si="296"/>
        <v>0.60087462866425656</v>
      </c>
      <c r="AM665">
        <f t="shared" ca="1" si="297"/>
        <v>0.62199821780985509</v>
      </c>
      <c r="AN665">
        <f t="shared" ca="1" si="298"/>
        <v>0.66114481557237803</v>
      </c>
    </row>
    <row r="666" spans="2:40" x14ac:dyDescent="0.25">
      <c r="B666" s="1">
        <v>43343</v>
      </c>
      <c r="C666">
        <v>18.725000000000001</v>
      </c>
      <c r="D666">
        <v>9.8650000000000002</v>
      </c>
      <c r="E666">
        <v>47.710999999999999</v>
      </c>
      <c r="G666">
        <v>29293.52</v>
      </c>
      <c r="I666" s="14">
        <f t="shared" si="281"/>
        <v>0.20101340516964927</v>
      </c>
      <c r="J666" s="15">
        <f t="shared" si="282"/>
        <v>0.1265273495489323</v>
      </c>
      <c r="K666" s="15">
        <f t="shared" si="283"/>
        <v>0.11782484419661676</v>
      </c>
      <c r="L666" s="15"/>
      <c r="M666" s="16">
        <f t="shared" si="284"/>
        <v>0.1639211123984623</v>
      </c>
      <c r="O666" s="13">
        <f t="shared" si="285"/>
        <v>0.14845519963839945</v>
      </c>
      <c r="Q666" s="5">
        <f t="shared" si="286"/>
        <v>1407.3141404245832</v>
      </c>
      <c r="R666" s="6">
        <f t="shared" si="287"/>
        <v>1812.3925780645789</v>
      </c>
      <c r="T666" s="11">
        <f t="shared" si="288"/>
        <v>0.77649520167834085</v>
      </c>
      <c r="V666" s="9">
        <v>43343</v>
      </c>
      <c r="W666">
        <v>64400</v>
      </c>
      <c r="X666">
        <v>62335.897499999999</v>
      </c>
      <c r="Y666">
        <v>33645.695399999997</v>
      </c>
      <c r="AC666" s="24">
        <f t="shared" si="289"/>
        <v>0.153365913318355</v>
      </c>
      <c r="AE666" s="5">
        <f t="shared" si="290"/>
        <v>1167.463796094288</v>
      </c>
      <c r="AF666" s="6">
        <f t="shared" si="291"/>
        <v>1812.3925780645789</v>
      </c>
      <c r="AH666" s="1">
        <f t="shared" si="292"/>
        <v>43343</v>
      </c>
      <c r="AI666">
        <f t="shared" si="293"/>
        <v>0.6441561338443581</v>
      </c>
      <c r="AJ666">
        <f t="shared" ca="1" si="294"/>
        <v>0.56317975972095424</v>
      </c>
      <c r="AK666">
        <f t="shared" ca="1" si="295"/>
        <v>0.58341064231745765</v>
      </c>
      <c r="AL666">
        <f t="shared" ca="1" si="296"/>
        <v>0.60133810487675765</v>
      </c>
      <c r="AM666">
        <f t="shared" ca="1" si="297"/>
        <v>0.62735028139657634</v>
      </c>
      <c r="AN666">
        <f t="shared" ca="1" si="298"/>
        <v>0.66114481557237803</v>
      </c>
    </row>
    <row r="667" spans="2:40" x14ac:dyDescent="0.25">
      <c r="B667" s="1">
        <v>43350</v>
      </c>
      <c r="C667">
        <v>16.445</v>
      </c>
      <c r="D667">
        <v>9.7929999999999993</v>
      </c>
      <c r="E667">
        <v>50.247</v>
      </c>
      <c r="G667">
        <v>29811.22</v>
      </c>
      <c r="I667" s="14">
        <f t="shared" si="281"/>
        <v>-0.12176234979973299</v>
      </c>
      <c r="J667" s="15">
        <f t="shared" si="282"/>
        <v>-7.2985301571212302E-3</v>
      </c>
      <c r="K667" s="15">
        <f t="shared" si="283"/>
        <v>5.3153360860179077E-2</v>
      </c>
      <c r="L667" s="15"/>
      <c r="M667" s="16">
        <f t="shared" si="284"/>
        <v>1.7672850514379945E-2</v>
      </c>
      <c r="O667" s="13">
        <f t="shared" si="285"/>
        <v>-2.5302506365558381E-2</v>
      </c>
      <c r="Q667" s="5">
        <f t="shared" si="286"/>
        <v>1371.7055654281498</v>
      </c>
      <c r="R667" s="6">
        <f t="shared" si="287"/>
        <v>1844.4227211700859</v>
      </c>
      <c r="T667" s="11">
        <f t="shared" si="288"/>
        <v>0.7437045475984766</v>
      </c>
      <c r="V667" s="9">
        <v>43350</v>
      </c>
      <c r="W667">
        <v>56560</v>
      </c>
      <c r="X667">
        <v>61884.188099999999</v>
      </c>
      <c r="Y667">
        <v>35433.774799999999</v>
      </c>
      <c r="AC667" s="24">
        <f t="shared" si="289"/>
        <v>-4.0578683926326714E-2</v>
      </c>
      <c r="AE667" s="5">
        <f t="shared" si="290"/>
        <v>1120.0896517171484</v>
      </c>
      <c r="AF667" s="6">
        <f t="shared" si="291"/>
        <v>1844.4227211700859</v>
      </c>
      <c r="AH667" s="1">
        <f t="shared" si="292"/>
        <v>43350</v>
      </c>
      <c r="AI667">
        <f t="shared" si="293"/>
        <v>0.60728467441919887</v>
      </c>
      <c r="AJ667">
        <f t="shared" ca="1" si="294"/>
        <v>0.56317975972095424</v>
      </c>
      <c r="AK667">
        <f t="shared" ca="1" si="295"/>
        <v>0.58341064231745765</v>
      </c>
      <c r="AL667">
        <f t="shared" ca="1" si="296"/>
        <v>0.60328372975222888</v>
      </c>
      <c r="AM667">
        <f t="shared" ca="1" si="297"/>
        <v>0.63309863234685992</v>
      </c>
      <c r="AN667">
        <f t="shared" ca="1" si="298"/>
        <v>0.66114481557237803</v>
      </c>
    </row>
    <row r="668" spans="2:40" x14ac:dyDescent="0.25">
      <c r="B668" s="1">
        <v>43357</v>
      </c>
      <c r="C668">
        <v>16.690000000000001</v>
      </c>
      <c r="D668">
        <v>10.257999999999999</v>
      </c>
      <c r="E668">
        <v>52.570999999999998</v>
      </c>
      <c r="G668">
        <v>30177.43</v>
      </c>
      <c r="I668" s="14">
        <f t="shared" si="281"/>
        <v>1.4898145332927992E-2</v>
      </c>
      <c r="J668" s="15">
        <f t="shared" si="282"/>
        <v>4.7482895946084014E-2</v>
      </c>
      <c r="K668" s="15">
        <f t="shared" si="283"/>
        <v>4.6251517503532513E-2</v>
      </c>
      <c r="L668" s="15"/>
      <c r="M668" s="16">
        <f t="shared" si="284"/>
        <v>1.2284301011498355E-2</v>
      </c>
      <c r="O668" s="13">
        <f t="shared" si="285"/>
        <v>3.6210852927514837E-2</v>
      </c>
      <c r="Q668" s="5">
        <f t="shared" si="286"/>
        <v>1421.3761939177223</v>
      </c>
      <c r="R668" s="6">
        <f t="shared" si="287"/>
        <v>1867.0801650693861</v>
      </c>
      <c r="T668" s="11">
        <f t="shared" si="288"/>
        <v>0.76128289535168392</v>
      </c>
      <c r="V668" s="9">
        <v>43357</v>
      </c>
      <c r="W668">
        <v>57400</v>
      </c>
      <c r="X668">
        <v>64820.299200000001</v>
      </c>
      <c r="Y668">
        <v>37072.847699999998</v>
      </c>
      <c r="AC668" s="24">
        <f t="shared" si="289"/>
        <v>3.522236269264406E-2</v>
      </c>
      <c r="AE668" s="5">
        <f t="shared" si="290"/>
        <v>1159.5418556782072</v>
      </c>
      <c r="AF668" s="6">
        <f t="shared" si="291"/>
        <v>1867.0801650693861</v>
      </c>
      <c r="AH668" s="1">
        <f t="shared" si="292"/>
        <v>43357</v>
      </c>
      <c r="AI668">
        <f t="shared" si="293"/>
        <v>0.62104556481918127</v>
      </c>
      <c r="AJ668">
        <f t="shared" ca="1" si="294"/>
        <v>0.56317975972095424</v>
      </c>
      <c r="AK668">
        <f t="shared" ca="1" si="295"/>
        <v>0.58341064231745765</v>
      </c>
      <c r="AL668">
        <f t="shared" ca="1" si="296"/>
        <v>0.60328372975222888</v>
      </c>
      <c r="AM668">
        <f t="shared" ca="1" si="297"/>
        <v>0.63309863234685992</v>
      </c>
      <c r="AN668">
        <f t="shared" ca="1" si="298"/>
        <v>0.66114481557237803</v>
      </c>
    </row>
    <row r="669" spans="2:40" x14ac:dyDescent="0.25">
      <c r="B669" s="1">
        <v>43364</v>
      </c>
      <c r="C669">
        <v>16.201000000000001</v>
      </c>
      <c r="D669">
        <v>11.866</v>
      </c>
      <c r="E669">
        <v>62.543999999999997</v>
      </c>
      <c r="G669">
        <v>34327.120000000003</v>
      </c>
      <c r="I669" s="14">
        <f t="shared" si="281"/>
        <v>-2.9298981426003623E-2</v>
      </c>
      <c r="J669" s="15">
        <f t="shared" si="282"/>
        <v>0.15675570286605578</v>
      </c>
      <c r="K669" s="15">
        <f t="shared" si="283"/>
        <v>0.18970535085883844</v>
      </c>
      <c r="L669" s="15"/>
      <c r="M669" s="16">
        <f t="shared" si="284"/>
        <v>0.13750972166947295</v>
      </c>
      <c r="O669" s="13">
        <f t="shared" si="285"/>
        <v>0.10572069076629687</v>
      </c>
      <c r="Q669" s="5">
        <f t="shared" si="286"/>
        <v>1571.6450669774738</v>
      </c>
      <c r="R669" s="6">
        <f t="shared" si="287"/>
        <v>2123.8218389026711</v>
      </c>
      <c r="T669" s="11">
        <f t="shared" si="288"/>
        <v>0.74000796026728211</v>
      </c>
      <c r="V669" s="9">
        <v>43364</v>
      </c>
      <c r="W669">
        <v>55720</v>
      </c>
      <c r="X669">
        <v>74983.760800000004</v>
      </c>
      <c r="Y669">
        <v>44105.960299999999</v>
      </c>
      <c r="AC669" s="24">
        <f t="shared" si="289"/>
        <v>9.738088492428551E-2</v>
      </c>
      <c r="AE669" s="5">
        <f t="shared" si="290"/>
        <v>1272.459067690899</v>
      </c>
      <c r="AF669" s="6">
        <f t="shared" si="291"/>
        <v>2123.8218389026711</v>
      </c>
      <c r="AH669" s="1">
        <f t="shared" si="292"/>
        <v>43364</v>
      </c>
      <c r="AI669">
        <f t="shared" si="293"/>
        <v>0.59913644562029222</v>
      </c>
      <c r="AJ669">
        <f t="shared" ca="1" si="294"/>
        <v>0.56317975972095424</v>
      </c>
      <c r="AK669">
        <f t="shared" ca="1" si="295"/>
        <v>0.58341064231745765</v>
      </c>
      <c r="AL669">
        <f t="shared" ca="1" si="296"/>
        <v>0.60328827403090557</v>
      </c>
      <c r="AM669">
        <f t="shared" ca="1" si="297"/>
        <v>0.63309863234685992</v>
      </c>
      <c r="AN669">
        <f t="shared" ca="1" si="298"/>
        <v>0.66114481557237803</v>
      </c>
    </row>
    <row r="670" spans="2:40" x14ac:dyDescent="0.25">
      <c r="B670" s="1">
        <v>43371</v>
      </c>
      <c r="C670">
        <v>18.399000000000001</v>
      </c>
      <c r="D670">
        <v>12.045</v>
      </c>
      <c r="E670">
        <v>61.234000000000002</v>
      </c>
      <c r="G670">
        <v>33461.769999999997</v>
      </c>
      <c r="I670" s="14">
        <f t="shared" si="281"/>
        <v>0.13567063761496212</v>
      </c>
      <c r="J670" s="15">
        <f t="shared" si="282"/>
        <v>1.5085117141412363E-2</v>
      </c>
      <c r="K670" s="15">
        <f t="shared" si="283"/>
        <v>-2.0945254540803204E-2</v>
      </c>
      <c r="L670" s="15"/>
      <c r="M670" s="16">
        <f t="shared" si="284"/>
        <v>-2.5208931014311875E-2</v>
      </c>
      <c r="O670" s="13">
        <f t="shared" si="285"/>
        <v>4.3270166738523762E-2</v>
      </c>
      <c r="Q670" s="5">
        <f t="shared" si="286"/>
        <v>1639.6504110793676</v>
      </c>
      <c r="R670" s="6">
        <f t="shared" si="287"/>
        <v>2070.2825606790848</v>
      </c>
      <c r="T670" s="11">
        <f t="shared" si="288"/>
        <v>0.79199353857356403</v>
      </c>
      <c r="V670" s="9">
        <v>43371</v>
      </c>
      <c r="W670">
        <v>63280</v>
      </c>
      <c r="X670">
        <v>76113.034299999999</v>
      </c>
      <c r="Y670">
        <v>43182.119200000001</v>
      </c>
      <c r="AC670" s="24">
        <f t="shared" si="289"/>
        <v>4.4430573592553341E-2</v>
      </c>
      <c r="AE670" s="5">
        <f t="shared" si="290"/>
        <v>1328.9951539414515</v>
      </c>
      <c r="AF670" s="6">
        <f t="shared" si="291"/>
        <v>2070.2825606790848</v>
      </c>
      <c r="AH670" s="1">
        <f t="shared" si="292"/>
        <v>43371</v>
      </c>
      <c r="AI670">
        <f t="shared" si="293"/>
        <v>0.64193901797903397</v>
      </c>
      <c r="AJ670">
        <f t="shared" ca="1" si="294"/>
        <v>0.56317975972095424</v>
      </c>
      <c r="AK670">
        <f t="shared" ca="1" si="295"/>
        <v>0.58341064231745765</v>
      </c>
      <c r="AL670">
        <f t="shared" ca="1" si="296"/>
        <v>0.60133810487675765</v>
      </c>
      <c r="AM670">
        <f t="shared" ca="1" si="297"/>
        <v>0.63309863234685992</v>
      </c>
      <c r="AN670">
        <f t="shared" ca="1" si="298"/>
        <v>0.66114481557237803</v>
      </c>
    </row>
    <row r="671" spans="2:40" x14ac:dyDescent="0.25">
      <c r="B671" s="1">
        <v>43378</v>
      </c>
      <c r="C671">
        <v>17.097000000000001</v>
      </c>
      <c r="D671">
        <v>10.651</v>
      </c>
      <c r="E671">
        <v>46.95</v>
      </c>
      <c r="G671">
        <v>30168.720000000001</v>
      </c>
      <c r="I671" s="14">
        <f t="shared" si="281"/>
        <v>-7.0764715473667028E-2</v>
      </c>
      <c r="J671" s="15">
        <f t="shared" si="282"/>
        <v>-0.11573266915732672</v>
      </c>
      <c r="K671" s="15">
        <f t="shared" si="283"/>
        <v>-0.23326909886664271</v>
      </c>
      <c r="L671" s="15"/>
      <c r="M671" s="16">
        <f t="shared" si="284"/>
        <v>-9.8412307537825927E-2</v>
      </c>
      <c r="O671" s="13">
        <f t="shared" si="285"/>
        <v>-0.13992216116587883</v>
      </c>
      <c r="Q671" s="5">
        <f t="shared" si="286"/>
        <v>1410.2269820046208</v>
      </c>
      <c r="R671" s="6">
        <f t="shared" si="287"/>
        <v>1866.5412766273369</v>
      </c>
      <c r="T671" s="11">
        <f t="shared" si="288"/>
        <v>0.7555294917199834</v>
      </c>
      <c r="V671" s="9">
        <v>43378</v>
      </c>
      <c r="W671">
        <v>58800</v>
      </c>
      <c r="X671">
        <v>67304.700899999996</v>
      </c>
      <c r="Y671">
        <v>33109.271500000003</v>
      </c>
      <c r="AC671" s="24">
        <f t="shared" si="289"/>
        <v>-0.12794626978260631</v>
      </c>
      <c r="AE671" s="5">
        <f t="shared" si="290"/>
        <v>1158.955181435482</v>
      </c>
      <c r="AF671" s="6">
        <f t="shared" si="291"/>
        <v>1866.5412766273369</v>
      </c>
      <c r="AH671" s="1">
        <f t="shared" si="292"/>
        <v>43378</v>
      </c>
      <c r="AI671">
        <f t="shared" si="293"/>
        <v>0.62091055576847676</v>
      </c>
      <c r="AJ671">
        <f t="shared" ca="1" si="294"/>
        <v>0.56317975972095424</v>
      </c>
      <c r="AK671">
        <f t="shared" ca="1" si="295"/>
        <v>0.58341064231745765</v>
      </c>
      <c r="AL671">
        <f t="shared" ca="1" si="296"/>
        <v>0.60450123341070872</v>
      </c>
      <c r="AM671">
        <f t="shared" ca="1" si="297"/>
        <v>0.63429289702819602</v>
      </c>
      <c r="AN671">
        <f t="shared" ca="1" si="298"/>
        <v>0.66114481557237803</v>
      </c>
    </row>
    <row r="672" spans="2:40" x14ac:dyDescent="0.25">
      <c r="B672" s="1">
        <v>43385</v>
      </c>
      <c r="C672">
        <v>15.590999999999999</v>
      </c>
      <c r="D672">
        <v>10.436999999999999</v>
      </c>
      <c r="E672">
        <v>51.936999999999998</v>
      </c>
      <c r="G672">
        <v>29598.18</v>
      </c>
      <c r="I672" s="14">
        <f t="shared" si="281"/>
        <v>-8.8085629057729542E-2</v>
      </c>
      <c r="J672" s="15">
        <f t="shared" si="282"/>
        <v>-2.0092010139893035E-2</v>
      </c>
      <c r="K672" s="15">
        <f t="shared" si="283"/>
        <v>0.10621938232161865</v>
      </c>
      <c r="L672" s="15"/>
      <c r="M672" s="16">
        <f t="shared" si="284"/>
        <v>-1.8911640931401852E-2</v>
      </c>
      <c r="O672" s="13">
        <f t="shared" si="285"/>
        <v>-6.5275229200130924E-4</v>
      </c>
      <c r="Q672" s="5">
        <f t="shared" si="286"/>
        <v>1409.3064531098751</v>
      </c>
      <c r="R672" s="6">
        <f t="shared" si="287"/>
        <v>1831.2419182201202</v>
      </c>
      <c r="T672" s="11">
        <f t="shared" si="288"/>
        <v>0.76959053803205513</v>
      </c>
      <c r="V672" s="9">
        <v>43385</v>
      </c>
      <c r="W672">
        <v>53620</v>
      </c>
      <c r="X672">
        <v>65949.572700000004</v>
      </c>
      <c r="Y672">
        <v>36625.827799999999</v>
      </c>
      <c r="AC672" s="24">
        <f t="shared" si="289"/>
        <v>-1.8935997313832442E-2</v>
      </c>
      <c r="AE672" s="5">
        <f t="shared" si="290"/>
        <v>1137.0092092329676</v>
      </c>
      <c r="AF672" s="6">
        <f t="shared" si="291"/>
        <v>1831.2419182201202</v>
      </c>
      <c r="AH672" s="1">
        <f t="shared" si="292"/>
        <v>43385</v>
      </c>
      <c r="AI672">
        <f t="shared" si="293"/>
        <v>0.62089514111717492</v>
      </c>
      <c r="AJ672">
        <f t="shared" ca="1" si="294"/>
        <v>0.56317975972095424</v>
      </c>
      <c r="AK672">
        <f t="shared" ca="1" si="295"/>
        <v>0.58814298840154677</v>
      </c>
      <c r="AL672">
        <f t="shared" ca="1" si="296"/>
        <v>0.60728754687908759</v>
      </c>
      <c r="AM672">
        <f t="shared" ca="1" si="297"/>
        <v>0.63429289702819602</v>
      </c>
      <c r="AN672">
        <f t="shared" ca="1" si="298"/>
        <v>0.66114481557237803</v>
      </c>
    </row>
    <row r="673" spans="2:40" x14ac:dyDescent="0.25">
      <c r="B673" s="1">
        <v>43392</v>
      </c>
      <c r="C673">
        <v>15.468</v>
      </c>
      <c r="D673">
        <v>10.507999999999999</v>
      </c>
      <c r="E673">
        <v>51.514000000000003</v>
      </c>
      <c r="G673">
        <v>28673.279999999999</v>
      </c>
      <c r="I673" s="14">
        <f t="shared" si="281"/>
        <v>-7.8891668270155701E-3</v>
      </c>
      <c r="J673" s="15">
        <f t="shared" si="282"/>
        <v>6.8027210884353817E-3</v>
      </c>
      <c r="K673" s="15">
        <f t="shared" si="283"/>
        <v>-8.1444827387026075E-3</v>
      </c>
      <c r="L673" s="15"/>
      <c r="M673" s="16">
        <f t="shared" si="284"/>
        <v>-3.1248542984737671E-2</v>
      </c>
      <c r="O673" s="13">
        <f t="shared" si="285"/>
        <v>-3.0769761590942655E-3</v>
      </c>
      <c r="Q673" s="5">
        <f t="shared" si="286"/>
        <v>1404.9700507527982</v>
      </c>
      <c r="R673" s="6">
        <f t="shared" si="287"/>
        <v>1774.0182764231654</v>
      </c>
      <c r="T673" s="11">
        <f t="shared" si="288"/>
        <v>0.79197044890966151</v>
      </c>
      <c r="V673" s="9">
        <v>43392</v>
      </c>
      <c r="W673">
        <v>53200</v>
      </c>
      <c r="X673">
        <v>66401.282099999997</v>
      </c>
      <c r="Y673">
        <v>36327.814599999998</v>
      </c>
      <c r="AC673" s="24">
        <f t="shared" si="289"/>
        <v>-1.7457556222519922E-3</v>
      </c>
      <c r="AE673" s="5">
        <f t="shared" si="290"/>
        <v>1135.0242690133969</v>
      </c>
      <c r="AF673" s="6">
        <f t="shared" si="291"/>
        <v>1774.0182764231654</v>
      </c>
      <c r="AH673" s="1">
        <f t="shared" si="292"/>
        <v>43392</v>
      </c>
      <c r="AI673">
        <f t="shared" si="293"/>
        <v>0.63980415765607024</v>
      </c>
      <c r="AJ673">
        <f t="shared" ca="1" si="294"/>
        <v>0.56317975972095424</v>
      </c>
      <c r="AK673">
        <f t="shared" ca="1" si="295"/>
        <v>0.59012608912776721</v>
      </c>
      <c r="AL673">
        <f t="shared" ca="1" si="296"/>
        <v>0.60759349480133729</v>
      </c>
      <c r="AM673">
        <f t="shared" ca="1" si="297"/>
        <v>0.63429289702819602</v>
      </c>
      <c r="AN673">
        <f t="shared" ca="1" si="298"/>
        <v>0.66114481557237803</v>
      </c>
    </row>
    <row r="674" spans="2:40" x14ac:dyDescent="0.25">
      <c r="B674" s="1">
        <v>43399</v>
      </c>
      <c r="C674">
        <v>14.817</v>
      </c>
      <c r="D674">
        <v>10.294</v>
      </c>
      <c r="E674">
        <v>52.823999999999998</v>
      </c>
      <c r="G674">
        <v>29369.87</v>
      </c>
      <c r="I674" s="14">
        <f t="shared" si="281"/>
        <v>-4.2086889061287769E-2</v>
      </c>
      <c r="J674" s="15">
        <f t="shared" si="282"/>
        <v>-2.0365435858393455E-2</v>
      </c>
      <c r="K674" s="15">
        <f t="shared" si="283"/>
        <v>2.5429980199557223E-2</v>
      </c>
      <c r="L674" s="15"/>
      <c r="M674" s="16">
        <f t="shared" si="284"/>
        <v>2.4294046582741924E-2</v>
      </c>
      <c r="O674" s="13">
        <f t="shared" si="285"/>
        <v>-1.2340781573374668E-2</v>
      </c>
      <c r="Q674" s="5">
        <f t="shared" si="286"/>
        <v>1387.6316222393248</v>
      </c>
      <c r="R674" s="6">
        <f t="shared" si="287"/>
        <v>1817.1163590692254</v>
      </c>
      <c r="T674" s="11">
        <f t="shared" si="288"/>
        <v>0.76364489005542058</v>
      </c>
      <c r="V674" s="9">
        <v>43399</v>
      </c>
      <c r="W674">
        <v>50960</v>
      </c>
      <c r="X674">
        <v>65046.153899999998</v>
      </c>
      <c r="Y674">
        <v>37251.655599999998</v>
      </c>
      <c r="AC674" s="24">
        <f t="shared" si="289"/>
        <v>-1.710712112149344E-2</v>
      </c>
      <c r="AE674" s="5">
        <f t="shared" si="290"/>
        <v>1115.6072713675501</v>
      </c>
      <c r="AF674" s="6">
        <f t="shared" si="291"/>
        <v>1817.1163590692254</v>
      </c>
      <c r="AH674" s="1">
        <f t="shared" si="292"/>
        <v>43399</v>
      </c>
      <c r="AI674">
        <f t="shared" si="293"/>
        <v>0.61394377184463489</v>
      </c>
      <c r="AJ674">
        <f t="shared" ca="1" si="294"/>
        <v>0.56317975972095424</v>
      </c>
      <c r="AK674">
        <f t="shared" ca="1" si="295"/>
        <v>0.59167595379923432</v>
      </c>
      <c r="AL674">
        <f t="shared" ca="1" si="296"/>
        <v>0.60802954313864443</v>
      </c>
      <c r="AM674">
        <f t="shared" ca="1" si="297"/>
        <v>0.63770260273826695</v>
      </c>
      <c r="AN674">
        <f t="shared" ca="1" si="298"/>
        <v>0.66114481557237803</v>
      </c>
    </row>
    <row r="675" spans="2:40" x14ac:dyDescent="0.25">
      <c r="B675" s="1">
        <v>43406</v>
      </c>
      <c r="C675">
        <v>15.021000000000001</v>
      </c>
      <c r="D675">
        <v>11.759</v>
      </c>
      <c r="E675">
        <v>63.726999999999997</v>
      </c>
      <c r="G675">
        <v>31419.26</v>
      </c>
      <c r="I675" s="14">
        <f t="shared" si="281"/>
        <v>1.3767969224539378E-2</v>
      </c>
      <c r="J675" s="15">
        <f t="shared" si="282"/>
        <v>0.14231591218185358</v>
      </c>
      <c r="K675" s="15">
        <f t="shared" si="283"/>
        <v>0.20640239285173401</v>
      </c>
      <c r="L675" s="15"/>
      <c r="M675" s="16">
        <f t="shared" si="284"/>
        <v>6.9778654110488114E-2</v>
      </c>
      <c r="O675" s="13">
        <f t="shared" si="285"/>
        <v>0.12082875808604232</v>
      </c>
      <c r="Q675" s="5">
        <f t="shared" si="286"/>
        <v>1555.2974278354227</v>
      </c>
      <c r="R675" s="6">
        <f t="shared" si="287"/>
        <v>1943.9122929672264</v>
      </c>
      <c r="T675" s="11">
        <f t="shared" si="288"/>
        <v>0.80008621451813844</v>
      </c>
      <c r="V675" s="9">
        <v>43406</v>
      </c>
      <c r="W675">
        <v>51660</v>
      </c>
      <c r="X675">
        <v>74306.1967</v>
      </c>
      <c r="Y675">
        <v>44940.397299999997</v>
      </c>
      <c r="AC675" s="24">
        <f t="shared" si="289"/>
        <v>0.11514942924595928</v>
      </c>
      <c r="AE675" s="5">
        <f t="shared" si="290"/>
        <v>1244.0688119281656</v>
      </c>
      <c r="AF675" s="6">
        <f t="shared" si="291"/>
        <v>1943.9122929672264</v>
      </c>
      <c r="AH675" s="1">
        <f t="shared" si="292"/>
        <v>43406</v>
      </c>
      <c r="AI675">
        <f t="shared" si="293"/>
        <v>0.63998196648532646</v>
      </c>
      <c r="AJ675">
        <f t="shared" ca="1" si="294"/>
        <v>0.56539284750509577</v>
      </c>
      <c r="AK675">
        <f t="shared" ca="1" si="295"/>
        <v>0.59523884924997905</v>
      </c>
      <c r="AL675">
        <f t="shared" ca="1" si="296"/>
        <v>0.6110531439291127</v>
      </c>
      <c r="AM675">
        <f t="shared" ca="1" si="297"/>
        <v>0.63770260273826695</v>
      </c>
      <c r="AN675">
        <f t="shared" ca="1" si="298"/>
        <v>0.66114481557237803</v>
      </c>
    </row>
    <row r="676" spans="2:40" x14ac:dyDescent="0.25">
      <c r="B676" s="1">
        <v>43413</v>
      </c>
      <c r="C676">
        <v>14.817</v>
      </c>
      <c r="D676">
        <v>10.901</v>
      </c>
      <c r="E676">
        <v>66.093999999999994</v>
      </c>
      <c r="G676">
        <v>29912.49</v>
      </c>
      <c r="I676" s="14">
        <f t="shared" si="281"/>
        <v>-1.3580986618733859E-2</v>
      </c>
      <c r="J676" s="15">
        <f t="shared" si="282"/>
        <v>-7.2965388213283466E-2</v>
      </c>
      <c r="K676" s="15">
        <f t="shared" si="283"/>
        <v>3.7142812308754491E-2</v>
      </c>
      <c r="L676" s="15"/>
      <c r="M676" s="16">
        <f t="shared" si="284"/>
        <v>-4.7956890136814034E-2</v>
      </c>
      <c r="O676" s="13">
        <f t="shared" si="285"/>
        <v>-1.6467854174420943E-2</v>
      </c>
      <c r="Q676" s="5">
        <f t="shared" si="286"/>
        <v>1529.685016595977</v>
      </c>
      <c r="R676" s="6">
        <f t="shared" si="287"/>
        <v>1850.6883046977948</v>
      </c>
      <c r="T676" s="11">
        <f t="shared" si="288"/>
        <v>0.82654924263206198</v>
      </c>
      <c r="V676" s="9">
        <v>43413</v>
      </c>
      <c r="W676">
        <v>50960</v>
      </c>
      <c r="X676">
        <v>68885.683900000004</v>
      </c>
      <c r="Y676">
        <v>46609.271500000003</v>
      </c>
      <c r="AC676" s="24">
        <f t="shared" si="289"/>
        <v>-2.6061964090145859E-2</v>
      </c>
      <c r="AE676" s="5">
        <f t="shared" si="290"/>
        <v>1211.6459352260233</v>
      </c>
      <c r="AF676" s="6">
        <f t="shared" si="291"/>
        <v>1850.6883046977948</v>
      </c>
      <c r="AH676" s="1">
        <f t="shared" si="292"/>
        <v>43413</v>
      </c>
      <c r="AI676">
        <f t="shared" si="293"/>
        <v>0.65470016325838132</v>
      </c>
      <c r="AJ676">
        <f t="shared" ca="1" si="294"/>
        <v>0.56539284750509577</v>
      </c>
      <c r="AK676">
        <f t="shared" ca="1" si="295"/>
        <v>0.59523884924997905</v>
      </c>
      <c r="AL676">
        <f t="shared" ca="1" si="296"/>
        <v>0.6110531439291127</v>
      </c>
      <c r="AM676">
        <f t="shared" ca="1" si="297"/>
        <v>0.63984860986338432</v>
      </c>
      <c r="AN676">
        <f t="shared" ca="1" si="298"/>
        <v>0.66114481557237803</v>
      </c>
    </row>
    <row r="677" spans="2:40" x14ac:dyDescent="0.25">
      <c r="B677" s="1">
        <v>43420</v>
      </c>
      <c r="C677">
        <v>15.143000000000001</v>
      </c>
      <c r="D677">
        <v>11.186999999999999</v>
      </c>
      <c r="E677">
        <v>71.799000000000007</v>
      </c>
      <c r="G677">
        <v>31109.25</v>
      </c>
      <c r="I677" s="14">
        <f t="shared" si="281"/>
        <v>2.2001754741175716E-2</v>
      </c>
      <c r="J677" s="15">
        <f t="shared" si="282"/>
        <v>2.6236125126135157E-2</v>
      </c>
      <c r="K677" s="15">
        <f t="shared" si="283"/>
        <v>8.6316458377462491E-2</v>
      </c>
      <c r="L677" s="15"/>
      <c r="M677" s="16">
        <f t="shared" si="284"/>
        <v>4.0008705393633104E-2</v>
      </c>
      <c r="O677" s="13">
        <f t="shared" si="285"/>
        <v>4.4851446081591119E-2</v>
      </c>
      <c r="Q677" s="5">
        <f t="shared" si="286"/>
        <v>1598.2936016396493</v>
      </c>
      <c r="R677" s="6">
        <f t="shared" si="287"/>
        <v>1924.7319478558911</v>
      </c>
      <c r="T677" s="11">
        <f t="shared" si="288"/>
        <v>0.83039802161548426</v>
      </c>
      <c r="V677" s="9">
        <v>43420</v>
      </c>
      <c r="W677">
        <v>52080</v>
      </c>
      <c r="X677">
        <v>70692.521500000003</v>
      </c>
      <c r="Y677">
        <v>50632.450299999997</v>
      </c>
      <c r="AC677" s="24">
        <f t="shared" si="289"/>
        <v>4.176295064654896E-2</v>
      </c>
      <c r="AE677" s="5">
        <f t="shared" si="290"/>
        <v>1262.2478446199593</v>
      </c>
      <c r="AF677" s="6">
        <f t="shared" si="291"/>
        <v>1924.7319478558911</v>
      </c>
      <c r="AH677" s="1">
        <f t="shared" si="292"/>
        <v>43420</v>
      </c>
      <c r="AI677">
        <f t="shared" si="293"/>
        <v>0.65580448541215086</v>
      </c>
      <c r="AJ677">
        <f t="shared" ca="1" si="294"/>
        <v>0.56539284750509577</v>
      </c>
      <c r="AK677">
        <f t="shared" ca="1" si="295"/>
        <v>0.59523884924997905</v>
      </c>
      <c r="AL677">
        <f t="shared" ca="1" si="296"/>
        <v>0.6110531439291127</v>
      </c>
      <c r="AM677">
        <f t="shared" ca="1" si="297"/>
        <v>0.64047122935875334</v>
      </c>
      <c r="AN677">
        <f t="shared" ca="1" si="298"/>
        <v>0.6615052234073816</v>
      </c>
    </row>
    <row r="678" spans="2:40" x14ac:dyDescent="0.25">
      <c r="B678" s="1">
        <v>43427</v>
      </c>
      <c r="C678">
        <v>15.55</v>
      </c>
      <c r="D678">
        <v>10.973000000000001</v>
      </c>
      <c r="E678">
        <v>63.811999999999998</v>
      </c>
      <c r="G678">
        <v>30723.48</v>
      </c>
      <c r="I678" s="14">
        <f t="shared" si="281"/>
        <v>2.6877104932972351E-2</v>
      </c>
      <c r="J678" s="15">
        <f t="shared" si="282"/>
        <v>-1.9129346562974714E-2</v>
      </c>
      <c r="K678" s="15">
        <f t="shared" si="283"/>
        <v>-0.11124110363654105</v>
      </c>
      <c r="L678" s="15"/>
      <c r="M678" s="16">
        <f t="shared" si="284"/>
        <v>-1.2400491815135362E-2</v>
      </c>
      <c r="O678" s="13">
        <f t="shared" si="285"/>
        <v>-3.4497781755514469E-2</v>
      </c>
      <c r="Q678" s="5">
        <f t="shared" si="286"/>
        <v>1543.1560177890497</v>
      </c>
      <c r="R678" s="6">
        <f t="shared" si="287"/>
        <v>1900.8643250901746</v>
      </c>
      <c r="T678" s="11">
        <f t="shared" si="288"/>
        <v>0.81181807529364003</v>
      </c>
      <c r="V678" s="9">
        <v>43427</v>
      </c>
      <c r="W678">
        <v>53480</v>
      </c>
      <c r="X678">
        <v>69337.393299999996</v>
      </c>
      <c r="Y678">
        <v>45000</v>
      </c>
      <c r="AC678" s="24">
        <f t="shared" si="289"/>
        <v>-3.2207564243951825E-2</v>
      </c>
      <c r="AE678" s="5">
        <f t="shared" si="290"/>
        <v>1221.5939160725723</v>
      </c>
      <c r="AF678" s="6">
        <f t="shared" si="291"/>
        <v>1900.8643250901746</v>
      </c>
      <c r="AH678" s="1">
        <f t="shared" si="292"/>
        <v>43427</v>
      </c>
      <c r="AI678">
        <f t="shared" si="293"/>
        <v>0.64265181893748335</v>
      </c>
      <c r="AJ678">
        <f t="shared" ca="1" si="294"/>
        <v>0.56539284750509577</v>
      </c>
      <c r="AK678">
        <f t="shared" ca="1" si="295"/>
        <v>0.59523884924997905</v>
      </c>
      <c r="AL678">
        <f t="shared" ca="1" si="296"/>
        <v>0.6110531439291127</v>
      </c>
      <c r="AM678">
        <f t="shared" ca="1" si="297"/>
        <v>0.64228659373902508</v>
      </c>
      <c r="AN678">
        <f t="shared" ca="1" si="298"/>
        <v>0.66161565562275859</v>
      </c>
    </row>
    <row r="679" spans="2:40" x14ac:dyDescent="0.25">
      <c r="B679" s="1">
        <v>43434</v>
      </c>
      <c r="C679">
        <v>16.350000000000001</v>
      </c>
      <c r="D679">
        <v>10.615</v>
      </c>
      <c r="E679">
        <v>65.924999999999997</v>
      </c>
      <c r="G679">
        <v>31482.58</v>
      </c>
      <c r="I679" s="14">
        <f t="shared" si="281"/>
        <v>5.1446945337620731E-2</v>
      </c>
      <c r="J679" s="15">
        <f t="shared" si="282"/>
        <v>-3.2625535405085282E-2</v>
      </c>
      <c r="K679" s="15">
        <f t="shared" si="283"/>
        <v>3.311289412649665E-2</v>
      </c>
      <c r="L679" s="15"/>
      <c r="M679" s="16">
        <f t="shared" si="284"/>
        <v>2.4707487563257802E-2</v>
      </c>
      <c r="O679" s="13">
        <f t="shared" si="285"/>
        <v>1.7311434686344034E-2</v>
      </c>
      <c r="Q679" s="5">
        <f t="shared" si="286"/>
        <v>1569.8702624018435</v>
      </c>
      <c r="R679" s="6">
        <f t="shared" si="287"/>
        <v>1947.8299067617804</v>
      </c>
      <c r="T679" s="11">
        <f t="shared" si="288"/>
        <v>0.80595859882432674</v>
      </c>
      <c r="V679" s="9">
        <v>43434</v>
      </c>
      <c r="W679">
        <v>53200</v>
      </c>
      <c r="X679">
        <v>67078.8462</v>
      </c>
      <c r="Y679">
        <v>46490.066200000001</v>
      </c>
      <c r="AC679" s="24">
        <f t="shared" si="289"/>
        <v>1.1794327473580373E-2</v>
      </c>
      <c r="AE679" s="5">
        <f t="shared" si="290"/>
        <v>1236.0017947584656</v>
      </c>
      <c r="AF679" s="6">
        <f t="shared" si="291"/>
        <v>1947.8299067617804</v>
      </c>
      <c r="AH679" s="1">
        <f t="shared" si="292"/>
        <v>43434</v>
      </c>
      <c r="AI679">
        <f t="shared" si="293"/>
        <v>0.63455324844728789</v>
      </c>
      <c r="AJ679">
        <f t="shared" ca="1" si="294"/>
        <v>0.56539284750509577</v>
      </c>
      <c r="AK679">
        <f t="shared" ca="1" si="295"/>
        <v>0.59523884924997905</v>
      </c>
      <c r="AL679">
        <f t="shared" ca="1" si="296"/>
        <v>0.6110531439291127</v>
      </c>
      <c r="AM679">
        <f t="shared" ca="1" si="297"/>
        <v>0.64282119445786212</v>
      </c>
      <c r="AN679">
        <f t="shared" ca="1" si="298"/>
        <v>0.66161565562275859</v>
      </c>
    </row>
    <row r="680" spans="2:40" x14ac:dyDescent="0.25">
      <c r="B680" s="1">
        <v>43441</v>
      </c>
      <c r="C680">
        <v>15.619</v>
      </c>
      <c r="D680">
        <v>9.9359999999999999</v>
      </c>
      <c r="E680">
        <v>62.543999999999997</v>
      </c>
      <c r="G680">
        <v>31550.400000000001</v>
      </c>
      <c r="I680" s="14">
        <f t="shared" si="281"/>
        <v>-4.470948012232423E-2</v>
      </c>
      <c r="J680" s="15">
        <f t="shared" si="282"/>
        <v>-6.396608572774376E-2</v>
      </c>
      <c r="K680" s="15">
        <f t="shared" si="283"/>
        <v>-5.1285551763367465E-2</v>
      </c>
      <c r="L680" s="15"/>
      <c r="M680" s="16">
        <f t="shared" si="284"/>
        <v>2.1542071837823418E-3</v>
      </c>
      <c r="O680" s="13">
        <f t="shared" si="285"/>
        <v>-5.3320372537811821E-2</v>
      </c>
      <c r="Q680" s="5">
        <f t="shared" si="286"/>
        <v>1486.1641951745448</v>
      </c>
      <c r="R680" s="6">
        <f t="shared" si="287"/>
        <v>1952.0259359397128</v>
      </c>
      <c r="T680" s="11">
        <f t="shared" si="288"/>
        <v>0.76134449231029289</v>
      </c>
      <c r="V680" s="9">
        <v>43441</v>
      </c>
      <c r="W680">
        <v>50820</v>
      </c>
      <c r="X680">
        <v>62787.606899999999</v>
      </c>
      <c r="Y680">
        <v>44105.960299999999</v>
      </c>
      <c r="AC680" s="24">
        <f t="shared" si="289"/>
        <v>-5.4288201172183623E-2</v>
      </c>
      <c r="AE680" s="5">
        <f t="shared" si="290"/>
        <v>1168.9014806754381</v>
      </c>
      <c r="AF680" s="6">
        <f t="shared" si="291"/>
        <v>1952.0259359397128</v>
      </c>
      <c r="AH680" s="1">
        <f t="shared" si="292"/>
        <v>43441</v>
      </c>
      <c r="AI680">
        <f t="shared" si="293"/>
        <v>0.59881452349285746</v>
      </c>
      <c r="AJ680">
        <f t="shared" ca="1" si="294"/>
        <v>0.56539284750509577</v>
      </c>
      <c r="AK680">
        <f t="shared" ca="1" si="295"/>
        <v>0.59523884924997905</v>
      </c>
      <c r="AL680">
        <f t="shared" ca="1" si="296"/>
        <v>0.61491673197813124</v>
      </c>
      <c r="AM680">
        <f t="shared" ca="1" si="297"/>
        <v>0.64282119445786212</v>
      </c>
      <c r="AN680">
        <f t="shared" ca="1" si="298"/>
        <v>0.66161565562275859</v>
      </c>
    </row>
    <row r="681" spans="2:40" x14ac:dyDescent="0.25">
      <c r="B681" s="1">
        <v>43448</v>
      </c>
      <c r="C681">
        <v>15.058999999999999</v>
      </c>
      <c r="D681">
        <v>9.9719999999999995</v>
      </c>
      <c r="E681">
        <v>65.290999999999997</v>
      </c>
      <c r="G681">
        <v>31109.45</v>
      </c>
      <c r="I681" s="14">
        <f t="shared" si="281"/>
        <v>-3.5853767846853235E-2</v>
      </c>
      <c r="J681" s="15">
        <f t="shared" si="282"/>
        <v>3.6231884057971175E-3</v>
      </c>
      <c r="K681" s="15">
        <f t="shared" si="283"/>
        <v>4.3921079559989806E-2</v>
      </c>
      <c r="L681" s="15"/>
      <c r="M681" s="16">
        <f t="shared" si="284"/>
        <v>-1.3976051016785895E-2</v>
      </c>
      <c r="O681" s="13">
        <f t="shared" si="285"/>
        <v>3.8968333729778961E-3</v>
      </c>
      <c r="Q681" s="5">
        <f t="shared" si="286"/>
        <v>1491.9555294080258</v>
      </c>
      <c r="R681" s="6">
        <f t="shared" si="287"/>
        <v>1924.7443218729302</v>
      </c>
      <c r="T681" s="11">
        <f t="shared" si="288"/>
        <v>0.77514478803929332</v>
      </c>
      <c r="V681" s="9">
        <v>43448</v>
      </c>
      <c r="W681">
        <v>49000</v>
      </c>
      <c r="X681">
        <v>63013.461600000002</v>
      </c>
      <c r="Y681">
        <v>46043.046399999999</v>
      </c>
      <c r="AC681" s="24">
        <f t="shared" si="289"/>
        <v>2.1721925694722193E-3</v>
      </c>
      <c r="AE681" s="5">
        <f t="shared" si="290"/>
        <v>1171.4405597862062</v>
      </c>
      <c r="AF681" s="6">
        <f t="shared" si="291"/>
        <v>1924.7443218729302</v>
      </c>
      <c r="AH681" s="1">
        <f t="shared" si="292"/>
        <v>43448</v>
      </c>
      <c r="AI681">
        <f t="shared" si="293"/>
        <v>0.60862138751307016</v>
      </c>
      <c r="AJ681">
        <f t="shared" ca="1" si="294"/>
        <v>0.56539284750509577</v>
      </c>
      <c r="AK681">
        <f t="shared" ca="1" si="295"/>
        <v>0.59608035081048905</v>
      </c>
      <c r="AL681">
        <f t="shared" ca="1" si="296"/>
        <v>0.61491673197813124</v>
      </c>
      <c r="AM681">
        <f t="shared" ca="1" si="297"/>
        <v>0.64282119445786212</v>
      </c>
      <c r="AN681">
        <f t="shared" ca="1" si="298"/>
        <v>0.66161565562275859</v>
      </c>
    </row>
    <row r="682" spans="2:40" x14ac:dyDescent="0.25">
      <c r="B682" s="1">
        <v>43455</v>
      </c>
      <c r="C682">
        <v>15.145</v>
      </c>
      <c r="D682">
        <v>9.2569999999999997</v>
      </c>
      <c r="E682">
        <v>61.783000000000001</v>
      </c>
      <c r="G682">
        <v>28456.92</v>
      </c>
      <c r="I682" s="14">
        <f t="shared" si="281"/>
        <v>5.7108705757353828E-3</v>
      </c>
      <c r="J682" s="15">
        <f t="shared" si="282"/>
        <v>-7.1700762133975138E-2</v>
      </c>
      <c r="K682" s="15">
        <f t="shared" si="283"/>
        <v>-5.3728691550137042E-2</v>
      </c>
      <c r="L682" s="15"/>
      <c r="M682" s="16">
        <f t="shared" si="284"/>
        <v>-8.5264445369493957E-2</v>
      </c>
      <c r="O682" s="13">
        <f t="shared" si="285"/>
        <v>-3.9906194369458935E-2</v>
      </c>
      <c r="Q682" s="5">
        <f t="shared" si="286"/>
        <v>1432.4172620608801</v>
      </c>
      <c r="R682" s="6">
        <f t="shared" si="287"/>
        <v>1760.6320647903519</v>
      </c>
      <c r="T682" s="11">
        <f t="shared" si="288"/>
        <v>0.81358126476666537</v>
      </c>
      <c r="V682" s="9">
        <v>43455</v>
      </c>
      <c r="W682">
        <v>49280</v>
      </c>
      <c r="X682">
        <v>58496.367599999998</v>
      </c>
      <c r="Y682">
        <v>43569.536399999997</v>
      </c>
      <c r="AC682" s="24">
        <f t="shared" si="289"/>
        <v>-4.2466541151618957E-2</v>
      </c>
      <c r="AE682" s="5">
        <f t="shared" si="290"/>
        <v>1121.6935310473698</v>
      </c>
      <c r="AF682" s="6">
        <f t="shared" si="291"/>
        <v>1760.6320647903519</v>
      </c>
      <c r="AH682" s="1">
        <f t="shared" si="292"/>
        <v>43455</v>
      </c>
      <c r="AI682">
        <f t="shared" si="293"/>
        <v>0.63709707069372046</v>
      </c>
      <c r="AJ682">
        <f t="shared" ca="1" si="294"/>
        <v>0.56539284750509577</v>
      </c>
      <c r="AK682">
        <f t="shared" ca="1" si="295"/>
        <v>0.598077458637153</v>
      </c>
      <c r="AL682">
        <f t="shared" ca="1" si="296"/>
        <v>0.61491673197813124</v>
      </c>
      <c r="AM682">
        <f t="shared" ca="1" si="297"/>
        <v>0.64282119445786212</v>
      </c>
      <c r="AN682">
        <f t="shared" ca="1" si="298"/>
        <v>0.66161565562275859</v>
      </c>
    </row>
    <row r="683" spans="2:40" x14ac:dyDescent="0.25">
      <c r="B683" s="1">
        <v>43462</v>
      </c>
      <c r="C683">
        <v>14.887</v>
      </c>
      <c r="D683">
        <v>9.4359999999999999</v>
      </c>
      <c r="E683">
        <v>68.037999999999997</v>
      </c>
      <c r="G683">
        <v>30292.55</v>
      </c>
      <c r="I683" s="14">
        <f t="shared" si="281"/>
        <v>-1.7035325189831529E-2</v>
      </c>
      <c r="J683" s="15">
        <f t="shared" si="282"/>
        <v>1.9336718159230992E-2</v>
      </c>
      <c r="K683" s="15">
        <f t="shared" si="283"/>
        <v>0.10124144182056538</v>
      </c>
      <c r="L683" s="15"/>
      <c r="M683" s="16">
        <f t="shared" si="284"/>
        <v>6.4505575445269692E-2</v>
      </c>
      <c r="O683" s="13">
        <f t="shared" si="285"/>
        <v>3.4514278263321617E-2</v>
      </c>
      <c r="Q683" s="5">
        <f t="shared" si="286"/>
        <v>1481.8561100328347</v>
      </c>
      <c r="R683" s="6">
        <f t="shared" si="287"/>
        <v>1874.2026492770469</v>
      </c>
      <c r="T683" s="11">
        <f t="shared" si="288"/>
        <v>0.79065948957250942</v>
      </c>
      <c r="V683" s="9">
        <v>43462</v>
      </c>
      <c r="W683">
        <v>48440</v>
      </c>
      <c r="X683">
        <v>59625.641100000001</v>
      </c>
      <c r="Y683">
        <v>47980.132400000002</v>
      </c>
      <c r="AC683" s="24">
        <f t="shared" si="289"/>
        <v>3.1072328411706995E-2</v>
      </c>
      <c r="AE683" s="5">
        <f t="shared" si="290"/>
        <v>1156.5471608213609</v>
      </c>
      <c r="AF683" s="6">
        <f t="shared" si="291"/>
        <v>1874.2026492770469</v>
      </c>
      <c r="AH683" s="1">
        <f t="shared" si="292"/>
        <v>43462</v>
      </c>
      <c r="AI683">
        <f t="shared" si="293"/>
        <v>0.6170875712226136</v>
      </c>
      <c r="AJ683">
        <f t="shared" ca="1" si="294"/>
        <v>0.56539284750509577</v>
      </c>
      <c r="AK683">
        <f t="shared" ca="1" si="295"/>
        <v>0.59868724605490886</v>
      </c>
      <c r="AL683">
        <f t="shared" ca="1" si="296"/>
        <v>0.61839241661440125</v>
      </c>
      <c r="AM683">
        <f t="shared" ca="1" si="297"/>
        <v>0.64282119445786212</v>
      </c>
      <c r="AN683">
        <f t="shared" ca="1" si="298"/>
        <v>0.66161565562275859</v>
      </c>
    </row>
    <row r="684" spans="2:40" x14ac:dyDescent="0.25">
      <c r="B684" s="1">
        <v>43469</v>
      </c>
      <c r="C684">
        <v>15.145</v>
      </c>
      <c r="D684">
        <v>10.507999999999999</v>
      </c>
      <c r="E684">
        <v>69.644000000000005</v>
      </c>
      <c r="G684">
        <v>32303.05</v>
      </c>
      <c r="I684" s="14">
        <f t="shared" si="281"/>
        <v>1.7330556861691271E-2</v>
      </c>
      <c r="J684" s="15">
        <f t="shared" si="282"/>
        <v>0.11360746078846962</v>
      </c>
      <c r="K684" s="15">
        <f t="shared" si="283"/>
        <v>2.360445633322561E-2</v>
      </c>
      <c r="L684" s="15"/>
      <c r="M684" s="16">
        <f t="shared" si="284"/>
        <v>6.6369453875622986E-2</v>
      </c>
      <c r="O684" s="13">
        <f t="shared" si="285"/>
        <v>5.1514157994462163E-2</v>
      </c>
      <c r="Q684" s="5">
        <f t="shared" si="286"/>
        <v>1558.1926798101254</v>
      </c>
      <c r="R684" s="6">
        <f t="shared" si="287"/>
        <v>1998.5924555618103</v>
      </c>
      <c r="T684" s="11">
        <f t="shared" si="288"/>
        <v>0.7796450324196349</v>
      </c>
      <c r="V684" s="9">
        <v>43469</v>
      </c>
      <c r="W684">
        <v>49280</v>
      </c>
      <c r="X684">
        <v>66401.282099999997</v>
      </c>
      <c r="Y684">
        <v>49112.582799999996</v>
      </c>
      <c r="AC684" s="24">
        <f t="shared" si="289"/>
        <v>5.6047367394632577E-2</v>
      </c>
      <c r="AE684" s="5">
        <f t="shared" si="290"/>
        <v>1221.3685844531351</v>
      </c>
      <c r="AF684" s="6">
        <f t="shared" si="291"/>
        <v>1998.5924555618103</v>
      </c>
      <c r="AH684" s="1">
        <f t="shared" si="292"/>
        <v>43469</v>
      </c>
      <c r="AI684">
        <f t="shared" si="293"/>
        <v>0.61111437754817544</v>
      </c>
      <c r="AJ684">
        <f t="shared" ca="1" si="294"/>
        <v>0.56539284750509577</v>
      </c>
      <c r="AK684">
        <f t="shared" ca="1" si="295"/>
        <v>0.59868724605490886</v>
      </c>
      <c r="AL684">
        <f t="shared" ca="1" si="296"/>
        <v>0.61899135616989431</v>
      </c>
      <c r="AM684">
        <f t="shared" ca="1" si="297"/>
        <v>0.64282119445786212</v>
      </c>
      <c r="AN684">
        <f t="shared" ca="1" si="298"/>
        <v>0.66161565562275859</v>
      </c>
    </row>
    <row r="685" spans="2:40" x14ac:dyDescent="0.25">
      <c r="B685" s="1">
        <v>43476</v>
      </c>
      <c r="C685">
        <v>15.877000000000001</v>
      </c>
      <c r="D685">
        <v>11.259</v>
      </c>
      <c r="E685">
        <v>79.025000000000006</v>
      </c>
      <c r="G685">
        <v>33884.6</v>
      </c>
      <c r="I685" s="14">
        <f t="shared" si="281"/>
        <v>4.8332783096731724E-2</v>
      </c>
      <c r="J685" s="15">
        <f t="shared" si="282"/>
        <v>7.1469356680624374E-2</v>
      </c>
      <c r="K685" s="15">
        <f t="shared" si="283"/>
        <v>0.13469932801102757</v>
      </c>
      <c r="L685" s="15"/>
      <c r="M685" s="16">
        <f t="shared" si="284"/>
        <v>4.8959773148355978E-2</v>
      </c>
      <c r="O685" s="13">
        <f t="shared" si="285"/>
        <v>8.4833822596127886E-2</v>
      </c>
      <c r="Q685" s="5">
        <f t="shared" si="286"/>
        <v>1690.3801211797224</v>
      </c>
      <c r="R685" s="6">
        <f t="shared" si="287"/>
        <v>2096.4430888021325</v>
      </c>
      <c r="T685" s="11">
        <f t="shared" si="288"/>
        <v>0.8063086139607889</v>
      </c>
      <c r="V685" s="9">
        <v>43476</v>
      </c>
      <c r="W685">
        <v>51660</v>
      </c>
      <c r="X685">
        <v>71144.230899999995</v>
      </c>
      <c r="Y685">
        <v>55728.476799999997</v>
      </c>
      <c r="AC685" s="24">
        <f t="shared" si="289"/>
        <v>8.3394660194710618E-2</v>
      </c>
      <c r="AE685" s="5">
        <f t="shared" si="290"/>
        <v>1323.2242025260991</v>
      </c>
      <c r="AF685" s="6">
        <f t="shared" si="291"/>
        <v>2096.4430888021325</v>
      </c>
      <c r="AH685" s="1">
        <f t="shared" si="292"/>
        <v>43476</v>
      </c>
      <c r="AI685">
        <f t="shared" si="293"/>
        <v>0.63117582804604733</v>
      </c>
      <c r="AJ685">
        <f t="shared" ca="1" si="294"/>
        <v>0.56539284750509577</v>
      </c>
      <c r="AK685">
        <f t="shared" ca="1" si="295"/>
        <v>0.59905596508843351</v>
      </c>
      <c r="AL685">
        <f t="shared" ca="1" si="296"/>
        <v>0.61899135616989431</v>
      </c>
      <c r="AM685">
        <f t="shared" ca="1" si="297"/>
        <v>0.64282119445786212</v>
      </c>
      <c r="AN685">
        <f t="shared" ca="1" si="298"/>
        <v>0.66161565562275859</v>
      </c>
    </row>
    <row r="686" spans="2:40" x14ac:dyDescent="0.25">
      <c r="B686" s="1">
        <v>43483</v>
      </c>
      <c r="C686">
        <v>15.705</v>
      </c>
      <c r="D686">
        <v>10.757999999999999</v>
      </c>
      <c r="E686">
        <v>80.588999999999999</v>
      </c>
      <c r="G686">
        <v>35100.449999999997</v>
      </c>
      <c r="I686" s="14">
        <f t="shared" si="281"/>
        <v>-1.0833280846507587E-2</v>
      </c>
      <c r="J686" s="15">
        <f t="shared" si="282"/>
        <v>-4.4497735145217265E-2</v>
      </c>
      <c r="K686" s="15">
        <f t="shared" si="283"/>
        <v>1.9791205314773741E-2</v>
      </c>
      <c r="L686" s="15"/>
      <c r="M686" s="16">
        <f t="shared" si="284"/>
        <v>3.5882082125803461E-2</v>
      </c>
      <c r="O686" s="13">
        <f t="shared" si="285"/>
        <v>-1.1846603558983704E-2</v>
      </c>
      <c r="Q686" s="5">
        <f t="shared" si="286"/>
        <v>1670.3548580201195</v>
      </c>
      <c r="R686" s="6">
        <f t="shared" si="287"/>
        <v>2171.6678318866038</v>
      </c>
      <c r="T686" s="11">
        <f t="shared" si="288"/>
        <v>0.76915761862578391</v>
      </c>
      <c r="V686" s="9">
        <v>43483</v>
      </c>
      <c r="W686">
        <v>51100</v>
      </c>
      <c r="X686">
        <v>67982.264999999999</v>
      </c>
      <c r="Y686">
        <v>56831.125800000002</v>
      </c>
      <c r="AC686" s="24">
        <f t="shared" si="289"/>
        <v>-1.4689021075103312E-2</v>
      </c>
      <c r="AE686" s="5">
        <f t="shared" si="290"/>
        <v>1303.7873343281065</v>
      </c>
      <c r="AF686" s="6">
        <f t="shared" si="291"/>
        <v>2171.6678318866038</v>
      </c>
      <c r="AH686" s="1">
        <f t="shared" si="292"/>
        <v>43483</v>
      </c>
      <c r="AI686">
        <f t="shared" si="293"/>
        <v>0.60036222629657909</v>
      </c>
      <c r="AJ686">
        <f t="shared" ca="1" si="294"/>
        <v>0.56539284750509577</v>
      </c>
      <c r="AK686">
        <f t="shared" ca="1" si="295"/>
        <v>0.59916590927880087</v>
      </c>
      <c r="AL686">
        <f t="shared" ca="1" si="296"/>
        <v>0.62090284844282584</v>
      </c>
      <c r="AM686">
        <f t="shared" ca="1" si="297"/>
        <v>0.64282119445786212</v>
      </c>
      <c r="AN686">
        <f t="shared" ca="1" si="298"/>
        <v>0.66161565562275859</v>
      </c>
    </row>
    <row r="687" spans="2:40" x14ac:dyDescent="0.25">
      <c r="B687" s="1">
        <v>43490</v>
      </c>
      <c r="C687">
        <v>15.834</v>
      </c>
      <c r="D687">
        <v>10.83</v>
      </c>
      <c r="E687">
        <v>78.349000000000004</v>
      </c>
      <c r="G687">
        <v>34810.519999999997</v>
      </c>
      <c r="I687" s="14">
        <f t="shared" si="281"/>
        <v>8.2139446036293418E-3</v>
      </c>
      <c r="J687" s="15">
        <f t="shared" si="282"/>
        <v>6.6926938092584098E-3</v>
      </c>
      <c r="K687" s="15">
        <f t="shared" si="283"/>
        <v>-2.7795356686396322E-2</v>
      </c>
      <c r="L687" s="15"/>
      <c r="M687" s="16">
        <f t="shared" si="284"/>
        <v>-8.260008062574653E-3</v>
      </c>
      <c r="O687" s="13">
        <f t="shared" si="285"/>
        <v>-4.2962394245028568E-3</v>
      </c>
      <c r="Q687" s="5">
        <f t="shared" si="286"/>
        <v>1663.1786136261837</v>
      </c>
      <c r="R687" s="6">
        <f t="shared" si="287"/>
        <v>2153.7298380859866</v>
      </c>
      <c r="T687" s="11">
        <f t="shared" si="288"/>
        <v>0.77223177402057341</v>
      </c>
      <c r="V687" s="9">
        <v>43490</v>
      </c>
      <c r="W687">
        <v>51520</v>
      </c>
      <c r="X687">
        <v>68433.974400000006</v>
      </c>
      <c r="Y687">
        <v>55251.655599999998</v>
      </c>
      <c r="AC687" s="24">
        <f t="shared" si="289"/>
        <v>-4.0072239864421769E-3</v>
      </c>
      <c r="AE687" s="5">
        <f t="shared" si="290"/>
        <v>1298.5627664487674</v>
      </c>
      <c r="AF687" s="6">
        <f t="shared" si="291"/>
        <v>2153.7298380859866</v>
      </c>
      <c r="AH687" s="1">
        <f t="shared" si="292"/>
        <v>43490</v>
      </c>
      <c r="AI687">
        <f t="shared" si="293"/>
        <v>0.60293670240590458</v>
      </c>
      <c r="AJ687">
        <f t="shared" ca="1" si="294"/>
        <v>0.56539284750509577</v>
      </c>
      <c r="AK687">
        <f t="shared" ca="1" si="295"/>
        <v>0.59916590927880087</v>
      </c>
      <c r="AL687">
        <f t="shared" ca="1" si="296"/>
        <v>0.62090284844282584</v>
      </c>
      <c r="AM687">
        <f t="shared" ca="1" si="297"/>
        <v>0.64282119445786212</v>
      </c>
      <c r="AN687">
        <f t="shared" ca="1" si="298"/>
        <v>0.66161565562275859</v>
      </c>
    </row>
    <row r="688" spans="2:40" x14ac:dyDescent="0.25">
      <c r="B688" s="1">
        <v>43497</v>
      </c>
      <c r="C688">
        <v>16.436</v>
      </c>
      <c r="D688">
        <v>11.08</v>
      </c>
      <c r="E688">
        <v>80.165999999999997</v>
      </c>
      <c r="G688">
        <v>36599.879999999997</v>
      </c>
      <c r="I688" s="14">
        <f t="shared" si="281"/>
        <v>3.8019451812555172E-2</v>
      </c>
      <c r="J688" s="15">
        <f t="shared" si="282"/>
        <v>2.3084025854108958E-2</v>
      </c>
      <c r="K688" s="15">
        <f t="shared" si="283"/>
        <v>2.319110645955913E-2</v>
      </c>
      <c r="L688" s="15"/>
      <c r="M688" s="16">
        <f t="shared" si="284"/>
        <v>5.1402851781587877E-2</v>
      </c>
      <c r="O688" s="13">
        <f t="shared" si="285"/>
        <v>2.8098194708741087E-2</v>
      </c>
      <c r="Q688" s="5">
        <f t="shared" si="286"/>
        <v>1709.9109301472663</v>
      </c>
      <c r="R688" s="6">
        <f t="shared" si="287"/>
        <v>2264.4376937307038</v>
      </c>
      <c r="T688" s="11">
        <f t="shared" si="288"/>
        <v>0.75511502695848332</v>
      </c>
      <c r="V688" s="9">
        <v>43497</v>
      </c>
      <c r="W688">
        <v>53480</v>
      </c>
      <c r="X688">
        <v>70014.957399999999</v>
      </c>
      <c r="Y688">
        <v>56533.1126</v>
      </c>
      <c r="AC688" s="24">
        <f t="shared" si="289"/>
        <v>2.7509622943157529E-2</v>
      </c>
      <c r="AE688" s="5">
        <f t="shared" si="290"/>
        <v>1334.2857385217965</v>
      </c>
      <c r="AF688" s="6">
        <f t="shared" si="291"/>
        <v>2264.4376937307038</v>
      </c>
      <c r="AH688" s="1">
        <f t="shared" si="292"/>
        <v>43497</v>
      </c>
      <c r="AI688">
        <f t="shared" si="293"/>
        <v>0.5892349090530884</v>
      </c>
      <c r="AJ688">
        <f t="shared" ca="1" si="294"/>
        <v>0.56539284750509577</v>
      </c>
      <c r="AK688">
        <f t="shared" ca="1" si="295"/>
        <v>0.60006560234701023</v>
      </c>
      <c r="AL688">
        <f t="shared" ca="1" si="296"/>
        <v>0.62090284844282584</v>
      </c>
      <c r="AM688">
        <f t="shared" ca="1" si="297"/>
        <v>0.64282119445786212</v>
      </c>
      <c r="AN688">
        <f t="shared" ca="1" si="298"/>
        <v>0.66161565562275859</v>
      </c>
    </row>
    <row r="689" spans="2:40" x14ac:dyDescent="0.25">
      <c r="B689" s="1">
        <v>43504</v>
      </c>
      <c r="C689">
        <v>15.962999999999999</v>
      </c>
      <c r="D689">
        <v>11.044</v>
      </c>
      <c r="E689">
        <v>75.728999999999999</v>
      </c>
      <c r="G689">
        <v>36664.239999999998</v>
      </c>
      <c r="I689" s="14">
        <f t="shared" si="281"/>
        <v>-2.8778291555122903E-2</v>
      </c>
      <c r="J689" s="15">
        <f t="shared" si="282"/>
        <v>-3.2490974729241229E-3</v>
      </c>
      <c r="K689" s="15">
        <f t="shared" si="283"/>
        <v>-5.5347653618741055E-2</v>
      </c>
      <c r="L689" s="15"/>
      <c r="M689" s="16">
        <f t="shared" si="284"/>
        <v>1.7584757108493054E-3</v>
      </c>
      <c r="O689" s="13">
        <f t="shared" si="285"/>
        <v>-2.9125014215596028E-2</v>
      </c>
      <c r="Q689" s="5">
        <f t="shared" si="286"/>
        <v>1660.1097499993241</v>
      </c>
      <c r="R689" s="6">
        <f t="shared" si="287"/>
        <v>2268.4196524138611</v>
      </c>
      <c r="T689" s="11">
        <f t="shared" si="288"/>
        <v>0.73183537633029017</v>
      </c>
      <c r="V689" s="9">
        <v>43504</v>
      </c>
      <c r="W689">
        <v>51940</v>
      </c>
      <c r="X689">
        <v>69789.102700000003</v>
      </c>
      <c r="Y689">
        <v>53403.9735</v>
      </c>
      <c r="AC689" s="24">
        <f t="shared" si="289"/>
        <v>-2.7193112650139999E-2</v>
      </c>
      <c r="AE689" s="5">
        <f t="shared" si="290"/>
        <v>1298.002356126698</v>
      </c>
      <c r="AF689" s="6">
        <f t="shared" si="291"/>
        <v>2268.4196524138611</v>
      </c>
      <c r="AH689" s="1">
        <f t="shared" si="292"/>
        <v>43504</v>
      </c>
      <c r="AI689">
        <f t="shared" si="293"/>
        <v>0.57220556820051938</v>
      </c>
      <c r="AJ689">
        <f t="shared" ca="1" si="294"/>
        <v>0.56539284750509577</v>
      </c>
      <c r="AK689">
        <f t="shared" ca="1" si="295"/>
        <v>0.60006560234701023</v>
      </c>
      <c r="AL689">
        <f t="shared" ca="1" si="296"/>
        <v>0.62090284844282584</v>
      </c>
      <c r="AM689">
        <f t="shared" ca="1" si="297"/>
        <v>0.64282119445786212</v>
      </c>
      <c r="AN689">
        <f t="shared" ca="1" si="298"/>
        <v>0.66161565562275859</v>
      </c>
    </row>
    <row r="690" spans="2:40" x14ac:dyDescent="0.25">
      <c r="B690" s="1">
        <v>43511</v>
      </c>
      <c r="C690">
        <v>16.350000000000001</v>
      </c>
      <c r="D690">
        <v>11.295</v>
      </c>
      <c r="E690">
        <v>76.617000000000004</v>
      </c>
      <c r="G690">
        <v>37469.97</v>
      </c>
      <c r="I690" s="14">
        <f t="shared" si="281"/>
        <v>2.424356323999266E-2</v>
      </c>
      <c r="J690" s="15">
        <f t="shared" si="282"/>
        <v>2.2727272727272707E-2</v>
      </c>
      <c r="K690" s="15">
        <f t="shared" si="283"/>
        <v>1.1726023055896651E-2</v>
      </c>
      <c r="L690" s="15"/>
      <c r="M690" s="16">
        <f t="shared" si="284"/>
        <v>2.197590895106516E-2</v>
      </c>
      <c r="O690" s="13">
        <f t="shared" si="285"/>
        <v>1.956561967438734E-2</v>
      </c>
      <c r="Q690" s="5">
        <f t="shared" si="286"/>
        <v>1692.5908259855532</v>
      </c>
      <c r="R690" s="6">
        <f t="shared" si="287"/>
        <v>2318.270236158115</v>
      </c>
      <c r="T690" s="11">
        <f t="shared" si="288"/>
        <v>0.73010937188692437</v>
      </c>
      <c r="V690" s="9">
        <v>43511</v>
      </c>
      <c r="W690">
        <v>53200</v>
      </c>
      <c r="X690">
        <v>71370.085600000006</v>
      </c>
      <c r="Y690">
        <v>54029.801299999999</v>
      </c>
      <c r="AC690" s="24">
        <f t="shared" si="289"/>
        <v>1.9822314236705316E-2</v>
      </c>
      <c r="AE690" s="5">
        <f t="shared" si="290"/>
        <v>1323.7317667098253</v>
      </c>
      <c r="AF690" s="6">
        <f t="shared" si="291"/>
        <v>2318.270236158115</v>
      </c>
      <c r="AH690" s="1">
        <f t="shared" si="292"/>
        <v>43511</v>
      </c>
      <c r="AI690">
        <f t="shared" si="293"/>
        <v>0.57099976787155793</v>
      </c>
      <c r="AJ690">
        <f t="shared" ca="1" si="294"/>
        <v>0.56507742009242357</v>
      </c>
      <c r="AK690">
        <f t="shared" ca="1" si="295"/>
        <v>0.59916590927880087</v>
      </c>
      <c r="AL690">
        <f t="shared" ca="1" si="296"/>
        <v>0.61899135616989431</v>
      </c>
      <c r="AM690">
        <f t="shared" ca="1" si="297"/>
        <v>0.64282119445786212</v>
      </c>
      <c r="AN690">
        <f t="shared" ca="1" si="298"/>
        <v>0.66161565562275859</v>
      </c>
    </row>
    <row r="691" spans="2:40" x14ac:dyDescent="0.25">
      <c r="B691" s="1">
        <v>43518</v>
      </c>
      <c r="C691">
        <v>16.306999999999999</v>
      </c>
      <c r="D691">
        <v>10.973000000000001</v>
      </c>
      <c r="E691">
        <v>77.631</v>
      </c>
      <c r="G691">
        <v>36646.79</v>
      </c>
      <c r="I691" s="14">
        <f t="shared" si="281"/>
        <v>-2.6299694189604317E-3</v>
      </c>
      <c r="J691" s="15">
        <f t="shared" si="282"/>
        <v>-2.850818946436473E-2</v>
      </c>
      <c r="K691" s="15">
        <f t="shared" si="283"/>
        <v>1.3234660714984914E-2</v>
      </c>
      <c r="L691" s="15"/>
      <c r="M691" s="16">
        <f t="shared" si="284"/>
        <v>-2.1969059489505893E-2</v>
      </c>
      <c r="O691" s="13">
        <f t="shared" si="285"/>
        <v>-5.9678327227800825E-3</v>
      </c>
      <c r="Q691" s="5">
        <f t="shared" si="286"/>
        <v>1682.4897270679592</v>
      </c>
      <c r="R691" s="6">
        <f t="shared" si="287"/>
        <v>2267.3400194272067</v>
      </c>
      <c r="T691" s="11">
        <f t="shared" si="288"/>
        <v>0.74205443941001981</v>
      </c>
      <c r="V691" s="9">
        <v>43518</v>
      </c>
      <c r="W691">
        <v>53060</v>
      </c>
      <c r="X691">
        <v>69337.393299999996</v>
      </c>
      <c r="Y691">
        <v>54745.033100000001</v>
      </c>
      <c r="AC691" s="24">
        <f t="shared" si="289"/>
        <v>-8.1717868476313873E-3</v>
      </c>
      <c r="AE691" s="5">
        <f t="shared" si="290"/>
        <v>1312.914512868834</v>
      </c>
      <c r="AF691" s="6">
        <f t="shared" si="291"/>
        <v>2267.3400194272067</v>
      </c>
      <c r="AH691" s="1">
        <f t="shared" si="292"/>
        <v>43518</v>
      </c>
      <c r="AI691">
        <f t="shared" si="293"/>
        <v>0.57905497261963945</v>
      </c>
      <c r="AJ691">
        <f t="shared" ca="1" si="294"/>
        <v>0.5649568400595274</v>
      </c>
      <c r="AK691">
        <f t="shared" ca="1" si="295"/>
        <v>0.59905596508843351</v>
      </c>
      <c r="AL691">
        <f t="shared" ca="1" si="296"/>
        <v>0.61899135616989431</v>
      </c>
      <c r="AM691">
        <f t="shared" ca="1" si="297"/>
        <v>0.64282119445786212</v>
      </c>
      <c r="AN691">
        <f t="shared" ca="1" si="298"/>
        <v>0.66161565562275859</v>
      </c>
    </row>
    <row r="692" spans="2:40" x14ac:dyDescent="0.25">
      <c r="B692" s="1">
        <v>43525</v>
      </c>
      <c r="C692">
        <v>16.221</v>
      </c>
      <c r="D692">
        <v>10.401</v>
      </c>
      <c r="E692">
        <v>74.334999999999994</v>
      </c>
      <c r="G692">
        <v>33834.86</v>
      </c>
      <c r="I692" s="14">
        <f t="shared" si="281"/>
        <v>-5.2738087937694855E-3</v>
      </c>
      <c r="J692" s="15">
        <f t="shared" si="282"/>
        <v>-5.21279504237675E-2</v>
      </c>
      <c r="K692" s="15">
        <f t="shared" si="283"/>
        <v>-4.2457265782999132E-2</v>
      </c>
      <c r="L692" s="15"/>
      <c r="M692" s="16">
        <f t="shared" si="284"/>
        <v>-7.6730594957975851E-2</v>
      </c>
      <c r="O692" s="13">
        <f t="shared" si="285"/>
        <v>-3.3286341666845375E-2</v>
      </c>
      <c r="Q692" s="5">
        <f t="shared" si="286"/>
        <v>1626.4857991618176</v>
      </c>
      <c r="R692" s="6">
        <f t="shared" si="287"/>
        <v>2093.3656707645287</v>
      </c>
      <c r="T692" s="11">
        <f t="shared" si="288"/>
        <v>0.77697165950361669</v>
      </c>
      <c r="V692" s="9">
        <v>43525</v>
      </c>
      <c r="W692">
        <v>52780</v>
      </c>
      <c r="X692">
        <v>65723.717999999993</v>
      </c>
      <c r="Y692">
        <v>52420.529799999997</v>
      </c>
      <c r="AC692" s="24">
        <f t="shared" si="289"/>
        <v>-3.5104909885545425E-2</v>
      </c>
      <c r="AE692" s="5">
        <f t="shared" si="290"/>
        <v>1266.8247672071489</v>
      </c>
      <c r="AF692" s="6">
        <f t="shared" si="291"/>
        <v>2093.3656707645287</v>
      </c>
      <c r="AH692" s="1">
        <f t="shared" si="292"/>
        <v>43525</v>
      </c>
      <c r="AI692">
        <f t="shared" si="293"/>
        <v>0.60516171870941471</v>
      </c>
      <c r="AJ692">
        <f t="shared" ca="1" si="294"/>
        <v>0.5649568400595274</v>
      </c>
      <c r="AK692">
        <f t="shared" ca="1" si="295"/>
        <v>0.59905596508843351</v>
      </c>
      <c r="AL692">
        <f t="shared" ca="1" si="296"/>
        <v>0.61899135616989431</v>
      </c>
      <c r="AM692">
        <f t="shared" ca="1" si="297"/>
        <v>0.64282119445786212</v>
      </c>
      <c r="AN692">
        <f t="shared" ca="1" si="298"/>
        <v>0.66161565562275859</v>
      </c>
    </row>
    <row r="693" spans="2:40" x14ac:dyDescent="0.25">
      <c r="B693" s="1">
        <v>43532</v>
      </c>
      <c r="C693">
        <v>15.404</v>
      </c>
      <c r="D693">
        <v>9.7929999999999993</v>
      </c>
      <c r="E693">
        <v>81.941000000000003</v>
      </c>
      <c r="G693">
        <v>33020.07</v>
      </c>
      <c r="I693" s="14">
        <f t="shared" si="281"/>
        <v>-5.0366808458171541E-2</v>
      </c>
      <c r="J693" s="15">
        <f t="shared" si="282"/>
        <v>-5.8455917700221183E-2</v>
      </c>
      <c r="K693" s="15">
        <f t="shared" si="283"/>
        <v>0.10232057577184372</v>
      </c>
      <c r="L693" s="15"/>
      <c r="M693" s="16">
        <f t="shared" si="284"/>
        <v>-2.4081376426561274E-2</v>
      </c>
      <c r="O693" s="13">
        <f t="shared" si="285"/>
        <v>-2.1673834621829999E-3</v>
      </c>
      <c r="Q693" s="5">
        <f t="shared" si="286"/>
        <v>1622.9605807392386</v>
      </c>
      <c r="R693" s="6">
        <f t="shared" si="287"/>
        <v>2042.9545440484071</v>
      </c>
      <c r="T693" s="11">
        <f t="shared" si="288"/>
        <v>0.79441835133693661</v>
      </c>
      <c r="V693" s="9">
        <v>43532</v>
      </c>
      <c r="W693">
        <v>50120</v>
      </c>
      <c r="X693">
        <v>61884.188099999999</v>
      </c>
      <c r="Y693">
        <v>57784.768199999999</v>
      </c>
      <c r="AC693" s="24">
        <f t="shared" si="289"/>
        <v>-6.6497388405166186E-3</v>
      </c>
      <c r="AE693" s="5">
        <f t="shared" si="290"/>
        <v>1258.4007133485229</v>
      </c>
      <c r="AF693" s="6">
        <f t="shared" si="291"/>
        <v>2042.9545440484071</v>
      </c>
      <c r="AH693" s="1">
        <f t="shared" si="292"/>
        <v>43532</v>
      </c>
      <c r="AI693">
        <f t="shared" si="293"/>
        <v>0.6159709803698431</v>
      </c>
      <c r="AJ693">
        <f t="shared" ca="1" si="294"/>
        <v>0.5711203479044541</v>
      </c>
      <c r="AK693">
        <f t="shared" ca="1" si="295"/>
        <v>0.60005578112750735</v>
      </c>
      <c r="AL693">
        <f t="shared" ca="1" si="296"/>
        <v>0.61899135616989431</v>
      </c>
      <c r="AM693">
        <f t="shared" ca="1" si="297"/>
        <v>0.64282119445786212</v>
      </c>
      <c r="AN693">
        <f t="shared" ca="1" si="298"/>
        <v>0.66161565562275859</v>
      </c>
    </row>
    <row r="694" spans="2:40" x14ac:dyDescent="0.25">
      <c r="B694" s="1">
        <v>43539</v>
      </c>
      <c r="C694">
        <v>15.619</v>
      </c>
      <c r="D694">
        <v>10.723000000000001</v>
      </c>
      <c r="E694">
        <v>85.406999999999996</v>
      </c>
      <c r="G694">
        <v>33933.08</v>
      </c>
      <c r="I694" s="14">
        <f t="shared" si="281"/>
        <v>1.3957413658789886E-2</v>
      </c>
      <c r="J694" s="15">
        <f t="shared" si="282"/>
        <v>9.4965791892168028E-2</v>
      </c>
      <c r="K694" s="15">
        <f t="shared" si="283"/>
        <v>4.2298727132937142E-2</v>
      </c>
      <c r="L694" s="15"/>
      <c r="M694" s="16">
        <f t="shared" si="284"/>
        <v>2.7650153376416187E-2</v>
      </c>
      <c r="O694" s="13">
        <f t="shared" si="285"/>
        <v>5.0407310894631685E-2</v>
      </c>
      <c r="Q694" s="5">
        <f t="shared" si="286"/>
        <v>1704.7696593022933</v>
      </c>
      <c r="R694" s="6">
        <f t="shared" si="287"/>
        <v>2099.442550532392</v>
      </c>
      <c r="T694" s="11">
        <f t="shared" si="288"/>
        <v>0.81201062580635286</v>
      </c>
      <c r="V694" s="9">
        <v>43539</v>
      </c>
      <c r="W694">
        <v>50820</v>
      </c>
      <c r="X694">
        <v>67756.410300000003</v>
      </c>
      <c r="Y694">
        <v>60228.476799999997</v>
      </c>
      <c r="AC694" s="24">
        <f t="shared" si="289"/>
        <v>5.3128594699010781E-2</v>
      </c>
      <c r="AE694" s="5">
        <f t="shared" si="290"/>
        <v>1325.2577748169626</v>
      </c>
      <c r="AF694" s="6">
        <f t="shared" si="291"/>
        <v>2099.442550532392</v>
      </c>
      <c r="AH694" s="1">
        <f t="shared" si="292"/>
        <v>43539</v>
      </c>
      <c r="AI694">
        <f t="shared" si="293"/>
        <v>0.63124269558168855</v>
      </c>
      <c r="AJ694">
        <f t="shared" ca="1" si="294"/>
        <v>0.57252099561319159</v>
      </c>
      <c r="AK694">
        <f t="shared" ca="1" si="295"/>
        <v>0.60068368655705684</v>
      </c>
      <c r="AL694">
        <f t="shared" ca="1" si="296"/>
        <v>0.61899135616989431</v>
      </c>
      <c r="AM694">
        <f t="shared" ca="1" si="297"/>
        <v>0.64282119445786212</v>
      </c>
      <c r="AN694">
        <f t="shared" ca="1" si="298"/>
        <v>0.66161565562275859</v>
      </c>
    </row>
    <row r="695" spans="2:40" x14ac:dyDescent="0.25">
      <c r="B695" s="1">
        <v>43546</v>
      </c>
      <c r="C695">
        <v>14.457000000000001</v>
      </c>
      <c r="D695">
        <v>10.079000000000001</v>
      </c>
      <c r="E695">
        <v>79.447999999999993</v>
      </c>
      <c r="G695">
        <v>32827.980000000003</v>
      </c>
      <c r="I695" s="14">
        <f t="shared" si="281"/>
        <v>-7.4396568282220299E-2</v>
      </c>
      <c r="J695" s="15">
        <f t="shared" si="282"/>
        <v>-6.00578196400261E-2</v>
      </c>
      <c r="K695" s="15">
        <f t="shared" si="283"/>
        <v>-6.9771798564520537E-2</v>
      </c>
      <c r="L695" s="15"/>
      <c r="M695" s="16">
        <f t="shared" si="284"/>
        <v>-3.2567040775549949E-2</v>
      </c>
      <c r="O695" s="13">
        <f t="shared" si="285"/>
        <v>-6.8075395495588983E-2</v>
      </c>
      <c r="Q695" s="5">
        <f t="shared" si="286"/>
        <v>1588.7167905164092</v>
      </c>
      <c r="R695" s="6">
        <f t="shared" si="287"/>
        <v>2031.0699193832791</v>
      </c>
      <c r="T695" s="11">
        <f t="shared" si="288"/>
        <v>0.78220684347430669</v>
      </c>
      <c r="V695" s="9">
        <v>43546</v>
      </c>
      <c r="W695">
        <v>47040</v>
      </c>
      <c r="X695">
        <v>63691.025699999998</v>
      </c>
      <c r="Y695">
        <v>56026.490100000003</v>
      </c>
      <c r="AC695" s="24">
        <f t="shared" si="289"/>
        <v>-6.7405232686690589E-2</v>
      </c>
      <c r="AE695" s="5">
        <f t="shared" si="290"/>
        <v>1235.9284661355794</v>
      </c>
      <c r="AF695" s="6">
        <f t="shared" si="291"/>
        <v>2031.0699193832791</v>
      </c>
      <c r="AH695" s="1">
        <f t="shared" si="292"/>
        <v>43546</v>
      </c>
      <c r="AI695">
        <f t="shared" si="293"/>
        <v>0.60851103861104938</v>
      </c>
      <c r="AJ695">
        <f t="shared" ca="1" si="294"/>
        <v>0.57572935535648151</v>
      </c>
      <c r="AK695">
        <f t="shared" ca="1" si="295"/>
        <v>0.60240023679873245</v>
      </c>
      <c r="AL695">
        <f t="shared" ca="1" si="296"/>
        <v>0.62090284844282584</v>
      </c>
      <c r="AM695">
        <f t="shared" ca="1" si="297"/>
        <v>0.64282119445786212</v>
      </c>
      <c r="AN695">
        <f t="shared" ca="1" si="298"/>
        <v>0.66161565562275859</v>
      </c>
    </row>
    <row r="696" spans="2:40" x14ac:dyDescent="0.25">
      <c r="B696" s="1">
        <v>43553</v>
      </c>
      <c r="C696">
        <v>14.843999999999999</v>
      </c>
      <c r="D696">
        <v>11.151999999999999</v>
      </c>
      <c r="E696">
        <v>81.983999999999995</v>
      </c>
      <c r="G696">
        <v>33466.03</v>
      </c>
      <c r="I696" s="14">
        <f t="shared" si="281"/>
        <v>2.6769039219755042E-2</v>
      </c>
      <c r="J696" s="15">
        <f t="shared" si="282"/>
        <v>0.10645897410457383</v>
      </c>
      <c r="K696" s="15">
        <f t="shared" si="283"/>
        <v>3.1920249723089267E-2</v>
      </c>
      <c r="L696" s="15"/>
      <c r="M696" s="16">
        <f t="shared" si="284"/>
        <v>1.9436163906521031E-2</v>
      </c>
      <c r="O696" s="13">
        <f t="shared" si="285"/>
        <v>5.5049421015806045E-2</v>
      </c>
      <c r="Q696" s="5">
        <f t="shared" si="286"/>
        <v>1676.1747299924273</v>
      </c>
      <c r="R696" s="6">
        <f t="shared" si="287"/>
        <v>2070.5461272420171</v>
      </c>
      <c r="T696" s="11">
        <f t="shared" si="288"/>
        <v>0.80953266770497145</v>
      </c>
      <c r="V696" s="9">
        <v>43553</v>
      </c>
      <c r="W696">
        <v>48300</v>
      </c>
      <c r="X696">
        <v>70466.666800000006</v>
      </c>
      <c r="Y696">
        <v>57814.569499999998</v>
      </c>
      <c r="AC696" s="24">
        <f t="shared" si="289"/>
        <v>5.8936332605690644E-2</v>
      </c>
      <c r="AE696" s="5">
        <f t="shared" si="290"/>
        <v>1308.769557292587</v>
      </c>
      <c r="AF696" s="6">
        <f t="shared" si="291"/>
        <v>2070.5461272420171</v>
      </c>
      <c r="AH696" s="1">
        <f t="shared" si="292"/>
        <v>43553</v>
      </c>
      <c r="AI696">
        <f t="shared" si="293"/>
        <v>0.63208906098405926</v>
      </c>
      <c r="AJ696">
        <f t="shared" ca="1" si="294"/>
        <v>0.57950911462486343</v>
      </c>
      <c r="AK696">
        <f t="shared" ca="1" si="295"/>
        <v>0.60460546463353715</v>
      </c>
      <c r="AL696">
        <f t="shared" ca="1" si="296"/>
        <v>0.62090284844282584</v>
      </c>
      <c r="AM696">
        <f t="shared" ca="1" si="297"/>
        <v>0.64282119445786212</v>
      </c>
      <c r="AN696">
        <f t="shared" ca="1" si="298"/>
        <v>0.66161565562275859</v>
      </c>
    </row>
    <row r="697" spans="2:40" x14ac:dyDescent="0.25">
      <c r="B697" s="1">
        <v>43560</v>
      </c>
      <c r="C697">
        <v>14.5</v>
      </c>
      <c r="D697">
        <v>10.83</v>
      </c>
      <c r="E697">
        <v>81.433999999999997</v>
      </c>
      <c r="G697">
        <v>32666.880000000001</v>
      </c>
      <c r="I697" s="14">
        <f t="shared" si="281"/>
        <v>-2.3174346537321422E-2</v>
      </c>
      <c r="J697" s="15">
        <f t="shared" si="282"/>
        <v>-2.887374461979908E-2</v>
      </c>
      <c r="K697" s="15">
        <f t="shared" si="283"/>
        <v>-6.7086260733801861E-3</v>
      </c>
      <c r="L697" s="15"/>
      <c r="M697" s="16">
        <f t="shared" si="284"/>
        <v>-2.3879438343896719E-2</v>
      </c>
      <c r="O697" s="13">
        <f t="shared" si="285"/>
        <v>-1.9585572410166896E-2</v>
      </c>
      <c r="Q697" s="5">
        <f t="shared" si="286"/>
        <v>1643.3458884460686</v>
      </c>
      <c r="R697" s="6">
        <f t="shared" si="287"/>
        <v>2021.1026486583471</v>
      </c>
      <c r="T697" s="11">
        <f t="shared" si="288"/>
        <v>0.81309372858274076</v>
      </c>
      <c r="V697" s="9">
        <v>43560</v>
      </c>
      <c r="W697">
        <v>47180</v>
      </c>
      <c r="X697">
        <v>68433.974400000006</v>
      </c>
      <c r="Y697">
        <v>57427.152300000002</v>
      </c>
      <c r="AC697" s="24">
        <f t="shared" si="289"/>
        <v>-2.0057701949124082E-2</v>
      </c>
      <c r="AE697" s="5">
        <f t="shared" si="290"/>
        <v>1282.5186475923254</v>
      </c>
      <c r="AF697" s="6">
        <f t="shared" si="291"/>
        <v>2021.1026486583471</v>
      </c>
      <c r="AH697" s="1">
        <f t="shared" si="292"/>
        <v>43560</v>
      </c>
      <c r="AI697">
        <f t="shared" si="293"/>
        <v>0.63456383496587354</v>
      </c>
      <c r="AJ697">
        <f t="shared" ca="1" si="294"/>
        <v>0.58416024430999991</v>
      </c>
      <c r="AK697">
        <f t="shared" ca="1" si="295"/>
        <v>0.60675393549175283</v>
      </c>
      <c r="AL697">
        <f t="shared" ca="1" si="296"/>
        <v>0.62097806029382907</v>
      </c>
      <c r="AM697">
        <f t="shared" ca="1" si="297"/>
        <v>0.64282119445786212</v>
      </c>
      <c r="AN697">
        <f t="shared" ca="1" si="298"/>
        <v>0.66161565562275859</v>
      </c>
    </row>
    <row r="698" spans="2:40" x14ac:dyDescent="0.25">
      <c r="B698" s="1">
        <v>43567</v>
      </c>
      <c r="C698">
        <v>12.865</v>
      </c>
      <c r="D698">
        <v>9.9640000000000004</v>
      </c>
      <c r="E698">
        <v>80.378</v>
      </c>
      <c r="G698">
        <v>31357.03</v>
      </c>
      <c r="I698" s="14">
        <f t="shared" si="281"/>
        <v>-0.11275862068965514</v>
      </c>
      <c r="J698" s="15">
        <f t="shared" si="282"/>
        <v>-7.9963065558633417E-2</v>
      </c>
      <c r="K698" s="15">
        <f t="shared" si="283"/>
        <v>-1.2967556548861614E-2</v>
      </c>
      <c r="L698" s="15"/>
      <c r="M698" s="16">
        <f t="shared" si="284"/>
        <v>-4.009718712041066E-2</v>
      </c>
      <c r="O698" s="13">
        <f t="shared" si="285"/>
        <v>-6.8563080932383391E-2</v>
      </c>
      <c r="Q698" s="5">
        <f t="shared" si="286"/>
        <v>1530.6730312966413</v>
      </c>
      <c r="R698" s="6">
        <f t="shared" si="287"/>
        <v>1940.0621175655358</v>
      </c>
      <c r="T698" s="11">
        <f t="shared" si="288"/>
        <v>0.78898145447909085</v>
      </c>
      <c r="V698" s="9">
        <v>43567</v>
      </c>
      <c r="W698">
        <v>41860</v>
      </c>
      <c r="X698">
        <v>60077.3505</v>
      </c>
      <c r="Y698">
        <v>56682.119200000001</v>
      </c>
      <c r="AC698" s="24">
        <f t="shared" si="289"/>
        <v>-6.6671040407721219E-2</v>
      </c>
      <c r="AE698" s="5">
        <f t="shared" si="290"/>
        <v>1197.0117950150416</v>
      </c>
      <c r="AF698" s="6">
        <f t="shared" si="291"/>
        <v>1940.0621175655358</v>
      </c>
      <c r="AH698" s="1">
        <f t="shared" si="292"/>
        <v>43567</v>
      </c>
      <c r="AI698">
        <f t="shared" si="293"/>
        <v>0.61699663334341981</v>
      </c>
      <c r="AJ698">
        <f t="shared" ca="1" si="294"/>
        <v>0.59019287049706526</v>
      </c>
      <c r="AK698">
        <f t="shared" ca="1" si="295"/>
        <v>0.60728898310903201</v>
      </c>
      <c r="AL698">
        <f t="shared" ca="1" si="296"/>
        <v>0.62325604251690325</v>
      </c>
      <c r="AM698">
        <f t="shared" ca="1" si="297"/>
        <v>0.64282119445786212</v>
      </c>
      <c r="AN698">
        <f t="shared" ca="1" si="298"/>
        <v>0.66161565562275859</v>
      </c>
    </row>
    <row r="699" spans="2:40" x14ac:dyDescent="0.25">
      <c r="B699" s="1">
        <v>43574</v>
      </c>
      <c r="C699">
        <v>12.736000000000001</v>
      </c>
      <c r="D699">
        <v>9.5890000000000004</v>
      </c>
      <c r="E699">
        <v>85.322000000000003</v>
      </c>
      <c r="G699">
        <v>32036.78</v>
      </c>
      <c r="I699" s="14">
        <f t="shared" si="281"/>
        <v>-1.002720559657988E-2</v>
      </c>
      <c r="J699" s="15">
        <f t="shared" si="282"/>
        <v>-3.7635487755921293E-2</v>
      </c>
      <c r="K699" s="15">
        <f t="shared" si="283"/>
        <v>6.1509368235089346E-2</v>
      </c>
      <c r="L699" s="15"/>
      <c r="M699" s="16">
        <f t="shared" si="284"/>
        <v>2.1677754557749784E-2</v>
      </c>
      <c r="O699" s="13">
        <f t="shared" si="285"/>
        <v>4.6155582941960578E-3</v>
      </c>
      <c r="Q699" s="5">
        <f t="shared" si="286"/>
        <v>1537.7379419019446</v>
      </c>
      <c r="R699" s="6">
        <f t="shared" si="287"/>
        <v>1982.1183079769098</v>
      </c>
      <c r="T699" s="11">
        <f t="shared" si="288"/>
        <v>0.77580532691384541</v>
      </c>
      <c r="V699" s="9">
        <v>43574</v>
      </c>
      <c r="W699">
        <v>41440</v>
      </c>
      <c r="X699">
        <v>57818.803500000002</v>
      </c>
      <c r="Y699">
        <v>60168.874199999998</v>
      </c>
      <c r="AC699" s="24">
        <f t="shared" si="289"/>
        <v>5.0794655178087022E-3</v>
      </c>
      <c r="AE699" s="5">
        <f t="shared" si="290"/>
        <v>1203.0919751522308</v>
      </c>
      <c r="AF699" s="6">
        <f t="shared" si="291"/>
        <v>1982.1183079769098</v>
      </c>
      <c r="AH699" s="1">
        <f t="shared" si="292"/>
        <v>43574</v>
      </c>
      <c r="AI699">
        <f t="shared" si="293"/>
        <v>0.60697283825615411</v>
      </c>
      <c r="AJ699">
        <f t="shared" ca="1" si="294"/>
        <v>0.598846715705601</v>
      </c>
      <c r="AK699">
        <f t="shared" ca="1" si="295"/>
        <v>0.60774503253251788</v>
      </c>
      <c r="AL699">
        <f t="shared" ca="1" si="296"/>
        <v>0.62325604251690325</v>
      </c>
      <c r="AM699">
        <f t="shared" ca="1" si="297"/>
        <v>0.64282119445786212</v>
      </c>
      <c r="AN699">
        <f t="shared" ca="1" si="298"/>
        <v>0.66161565562275859</v>
      </c>
    </row>
    <row r="700" spans="2:40" x14ac:dyDescent="0.25">
      <c r="B700" s="1">
        <v>43581</v>
      </c>
      <c r="C700">
        <v>13.295</v>
      </c>
      <c r="D700">
        <v>8.7270000000000003</v>
      </c>
      <c r="E700">
        <v>76.828000000000003</v>
      </c>
      <c r="G700">
        <v>30001.11</v>
      </c>
      <c r="I700" s="14">
        <f t="shared" si="281"/>
        <v>4.3891331658291399E-2</v>
      </c>
      <c r="J700" s="15">
        <f t="shared" si="282"/>
        <v>-8.9894670977161306E-2</v>
      </c>
      <c r="K700" s="15">
        <f t="shared" si="283"/>
        <v>-9.9552284287756976E-2</v>
      </c>
      <c r="L700" s="15"/>
      <c r="M700" s="16">
        <f t="shared" si="284"/>
        <v>-6.3541654311076168E-2</v>
      </c>
      <c r="O700" s="13">
        <f t="shared" si="285"/>
        <v>-4.8518541202208963E-2</v>
      </c>
      <c r="Q700" s="5">
        <f t="shared" si="286"/>
        <v>1463.1291402095751</v>
      </c>
      <c r="R700" s="6">
        <f t="shared" si="287"/>
        <v>1856.1712316477858</v>
      </c>
      <c r="T700" s="11">
        <f t="shared" si="288"/>
        <v>0.78825116738325163</v>
      </c>
      <c r="V700" s="9">
        <v>43581</v>
      </c>
      <c r="W700">
        <v>43260</v>
      </c>
      <c r="X700">
        <v>52624.145400000001</v>
      </c>
      <c r="Y700">
        <v>54178.8079</v>
      </c>
      <c r="AC700" s="24">
        <f t="shared" si="289"/>
        <v>-5.876454162663082E-2</v>
      </c>
      <c r="AE700" s="5">
        <f t="shared" si="290"/>
        <v>1132.3928266977321</v>
      </c>
      <c r="AF700" s="6">
        <f t="shared" si="291"/>
        <v>1856.1712316477858</v>
      </c>
      <c r="AH700" s="1">
        <f t="shared" si="292"/>
        <v>43581</v>
      </c>
      <c r="AI700">
        <f t="shared" si="293"/>
        <v>0.6100691613954542</v>
      </c>
      <c r="AJ700">
        <f t="shared" ca="1" si="294"/>
        <v>0.598846715705601</v>
      </c>
      <c r="AK700">
        <f t="shared" ca="1" si="295"/>
        <v>0.60774503253251788</v>
      </c>
      <c r="AL700">
        <f t="shared" ca="1" si="296"/>
        <v>0.62325604251690325</v>
      </c>
      <c r="AM700">
        <f t="shared" ca="1" si="297"/>
        <v>0.64282119445786212</v>
      </c>
      <c r="AN700">
        <f t="shared" ca="1" si="298"/>
        <v>0.66161565562275859</v>
      </c>
    </row>
    <row r="701" spans="2:40" x14ac:dyDescent="0.25">
      <c r="B701" s="1">
        <v>43588</v>
      </c>
      <c r="C701">
        <v>13.553000000000001</v>
      </c>
      <c r="D701">
        <v>9.3640000000000008</v>
      </c>
      <c r="E701">
        <v>79.194000000000003</v>
      </c>
      <c r="G701">
        <v>32412.27</v>
      </c>
      <c r="I701" s="14">
        <f t="shared" si="281"/>
        <v>1.9405791650996651E-2</v>
      </c>
      <c r="J701" s="15">
        <f t="shared" si="282"/>
        <v>7.2991864329093659E-2</v>
      </c>
      <c r="K701" s="15">
        <f t="shared" si="283"/>
        <v>3.0796063935023765E-2</v>
      </c>
      <c r="L701" s="15"/>
      <c r="M701" s="16">
        <f t="shared" si="284"/>
        <v>8.0369026346025274E-2</v>
      </c>
      <c r="O701" s="13">
        <f t="shared" si="285"/>
        <v>4.1064573305038023E-2</v>
      </c>
      <c r="Q701" s="5">
        <f t="shared" si="286"/>
        <v>1523.2119140424486</v>
      </c>
      <c r="R701" s="6">
        <f t="shared" si="287"/>
        <v>2005.3499062668209</v>
      </c>
      <c r="T701" s="11">
        <f t="shared" si="288"/>
        <v>0.75957413181726219</v>
      </c>
      <c r="V701" s="9">
        <v>43588</v>
      </c>
      <c r="W701">
        <v>44100</v>
      </c>
      <c r="X701">
        <v>56463.675300000003</v>
      </c>
      <c r="Y701">
        <v>55847.682099999998</v>
      </c>
      <c r="AC701" s="24">
        <f t="shared" si="289"/>
        <v>4.230973015446568E-2</v>
      </c>
      <c r="AE701" s="5">
        <f t="shared" si="290"/>
        <v>1180.3040616241658</v>
      </c>
      <c r="AF701" s="6">
        <f t="shared" si="291"/>
        <v>2005.3499062668209</v>
      </c>
      <c r="AH701" s="1">
        <f t="shared" si="292"/>
        <v>43588</v>
      </c>
      <c r="AI701">
        <f t="shared" si="293"/>
        <v>0.58857761328118119</v>
      </c>
      <c r="AJ701">
        <f t="shared" ca="1" si="294"/>
        <v>0.598846715705601</v>
      </c>
      <c r="AK701">
        <f t="shared" ca="1" si="295"/>
        <v>0.60774503253251788</v>
      </c>
      <c r="AL701">
        <f t="shared" ca="1" si="296"/>
        <v>0.62325604251690325</v>
      </c>
      <c r="AM701">
        <f t="shared" ca="1" si="297"/>
        <v>0.64282119445786212</v>
      </c>
      <c r="AN701">
        <f t="shared" ca="1" si="298"/>
        <v>0.66161565562275859</v>
      </c>
    </row>
    <row r="702" spans="2:40" x14ac:dyDescent="0.25">
      <c r="B702" s="1">
        <v>43595</v>
      </c>
      <c r="C702">
        <v>13.295</v>
      </c>
      <c r="D702">
        <v>10.151</v>
      </c>
      <c r="E702">
        <v>77.968999999999994</v>
      </c>
      <c r="G702">
        <v>33393.81</v>
      </c>
      <c r="I702" s="14">
        <f t="shared" si="281"/>
        <v>-1.9036375710174913E-2</v>
      </c>
      <c r="J702" s="15">
        <f t="shared" si="282"/>
        <v>8.4045279794959349E-2</v>
      </c>
      <c r="K702" s="15">
        <f t="shared" si="283"/>
        <v>-1.5468343561381048E-2</v>
      </c>
      <c r="L702" s="15"/>
      <c r="M702" s="16">
        <f t="shared" si="284"/>
        <v>3.028297616920983E-2</v>
      </c>
      <c r="O702" s="13">
        <f t="shared" si="285"/>
        <v>1.6513520174467795E-2</v>
      </c>
      <c r="Q702" s="5">
        <f t="shared" si="286"/>
        <v>1548.3655047149782</v>
      </c>
      <c r="R702" s="6">
        <f t="shared" si="287"/>
        <v>2066.0778696892262</v>
      </c>
      <c r="T702" s="11">
        <f t="shared" si="288"/>
        <v>0.74942262701254292</v>
      </c>
      <c r="V702" s="9">
        <v>43595</v>
      </c>
      <c r="W702">
        <v>43260</v>
      </c>
      <c r="X702">
        <v>61206.624000000003</v>
      </c>
      <c r="Y702">
        <v>54983.443700000003</v>
      </c>
      <c r="AC702" s="24">
        <f t="shared" si="289"/>
        <v>1.9449547250025533E-2</v>
      </c>
      <c r="AE702" s="5">
        <f t="shared" si="290"/>
        <v>1203.2604412401222</v>
      </c>
      <c r="AF702" s="6">
        <f t="shared" si="291"/>
        <v>2066.0778696892262</v>
      </c>
      <c r="AH702" s="1">
        <f t="shared" si="292"/>
        <v>43595</v>
      </c>
      <c r="AI702">
        <f t="shared" si="293"/>
        <v>0.58238871772103795</v>
      </c>
      <c r="AJ702">
        <f t="shared" ca="1" si="294"/>
        <v>0.59019287049706526</v>
      </c>
      <c r="AK702">
        <f t="shared" ca="1" si="295"/>
        <v>0.60728898310903201</v>
      </c>
      <c r="AL702">
        <f t="shared" ca="1" si="296"/>
        <v>0.62097806029382907</v>
      </c>
      <c r="AM702">
        <f t="shared" ca="1" si="297"/>
        <v>0.64282119445786212</v>
      </c>
      <c r="AN702">
        <f t="shared" ca="1" si="298"/>
        <v>0.66161565562275859</v>
      </c>
    </row>
    <row r="703" spans="2:40" x14ac:dyDescent="0.25">
      <c r="B703" s="1">
        <v>43602</v>
      </c>
      <c r="C703">
        <v>13.423999999999999</v>
      </c>
      <c r="D703">
        <v>9.8889999999999993</v>
      </c>
      <c r="E703">
        <v>72.094999999999999</v>
      </c>
      <c r="G703">
        <v>33315.699999999997</v>
      </c>
      <c r="I703" s="14">
        <f t="shared" si="281"/>
        <v>9.7028958254983255E-3</v>
      </c>
      <c r="J703" s="15">
        <f t="shared" si="282"/>
        <v>-2.5810264998522348E-2</v>
      </c>
      <c r="K703" s="15">
        <f t="shared" si="283"/>
        <v>-7.5337634187946478E-2</v>
      </c>
      <c r="L703" s="15"/>
      <c r="M703" s="16">
        <f t="shared" si="284"/>
        <v>-2.3390562502452195E-3</v>
      </c>
      <c r="O703" s="13">
        <f t="shared" si="285"/>
        <v>-3.0481667786990168E-2</v>
      </c>
      <c r="Q703" s="5">
        <f t="shared" si="286"/>
        <v>1501.1687417874209</v>
      </c>
      <c r="R703" s="6">
        <f t="shared" si="287"/>
        <v>2061.2451973346365</v>
      </c>
      <c r="T703" s="11">
        <f t="shared" si="288"/>
        <v>0.72828246912524452</v>
      </c>
      <c r="V703" s="9">
        <v>43602</v>
      </c>
      <c r="W703">
        <v>43680</v>
      </c>
      <c r="X703">
        <v>59625.641100000001</v>
      </c>
      <c r="Y703">
        <v>50841.059600000001</v>
      </c>
      <c r="AC703" s="24">
        <f t="shared" si="289"/>
        <v>-3.32538866620877E-2</v>
      </c>
      <c r="AE703" s="5">
        <f t="shared" si="290"/>
        <v>1163.2473549021495</v>
      </c>
      <c r="AF703" s="6">
        <f t="shared" si="291"/>
        <v>2061.2451973346365</v>
      </c>
      <c r="AH703" s="1">
        <f t="shared" si="292"/>
        <v>43602</v>
      </c>
      <c r="AI703">
        <f t="shared" si="293"/>
        <v>0.56434205712465757</v>
      </c>
      <c r="AJ703">
        <f t="shared" ca="1" si="294"/>
        <v>0.58864334285837194</v>
      </c>
      <c r="AK703">
        <f t="shared" ca="1" si="295"/>
        <v>0.60720671537843773</v>
      </c>
      <c r="AL703">
        <f t="shared" ca="1" si="296"/>
        <v>0.62090284844282584</v>
      </c>
      <c r="AM703">
        <f t="shared" ca="1" si="297"/>
        <v>0.64282119445786212</v>
      </c>
      <c r="AN703">
        <f t="shared" ca="1" si="298"/>
        <v>0.66161565562275859</v>
      </c>
    </row>
    <row r="704" spans="2:40" x14ac:dyDescent="0.25">
      <c r="B704" s="1">
        <v>43609</v>
      </c>
      <c r="C704">
        <v>13.037000000000001</v>
      </c>
      <c r="D704">
        <v>9.6639999999999997</v>
      </c>
      <c r="E704">
        <v>74.292000000000002</v>
      </c>
      <c r="G704">
        <v>35084.92</v>
      </c>
      <c r="I704" s="14">
        <f t="shared" ref="I704:I767" si="299">+C704/C703-1</f>
        <v>-2.8828963051251377E-2</v>
      </c>
      <c r="J704" s="15">
        <f t="shared" ref="J704:J767" si="300">+D704/D703-1</f>
        <v>-2.2752553342097248E-2</v>
      </c>
      <c r="K704" s="15">
        <f t="shared" ref="K704:K767" si="301">+E704/E703-1</f>
        <v>3.0473680560371808E-2</v>
      </c>
      <c r="L704" s="15"/>
      <c r="M704" s="16">
        <f t="shared" ref="M704:M767" si="302">+G704/G703-1</f>
        <v>5.3104692382270224E-2</v>
      </c>
      <c r="O704" s="13">
        <f t="shared" ref="O704:O767" si="303">+AVERAGE(I704:L704)</f>
        <v>-7.0359452776589393E-3</v>
      </c>
      <c r="Q704" s="5">
        <f t="shared" ref="Q704:Q767" si="304">+Q703*(1+O704)</f>
        <v>1490.6066006676724</v>
      </c>
      <c r="R704" s="6">
        <f t="shared" ref="R704:R767" si="305">+R703*(1+M704)</f>
        <v>2170.7069894635242</v>
      </c>
      <c r="T704" s="11">
        <f t="shared" ref="T704:T767" si="306">+Q704/R704</f>
        <v>0.68669175890757417</v>
      </c>
      <c r="V704" s="9">
        <v>43609</v>
      </c>
      <c r="W704">
        <v>42420</v>
      </c>
      <c r="X704">
        <v>58270.512900000002</v>
      </c>
      <c r="Y704">
        <v>52390.728499999997</v>
      </c>
      <c r="AC704" s="24">
        <f t="shared" ref="AC704:AC767" si="307">+SUMPRODUCT(I704:L704,W703:Z703)/SUM(W703:AA703)</f>
        <v>-6.9191910778401205E-3</v>
      </c>
      <c r="AE704" s="5">
        <f t="shared" ref="AE704:AE767" si="308">+AE703*(1+AC704)</f>
        <v>1155.1986241827894</v>
      </c>
      <c r="AF704" s="6">
        <f t="shared" ref="AF704:AF767" si="309">+AF703*(1+M704)</f>
        <v>2170.7069894635242</v>
      </c>
      <c r="AH704" s="1">
        <f t="shared" ref="AH704:AH767" si="310">+B704</f>
        <v>43609</v>
      </c>
      <c r="AI704">
        <f t="shared" ref="AI704:AI767" si="311">+(AE704/$AE$6)/(AF704/$AF$6)</f>
        <v>0.53217621253815051</v>
      </c>
      <c r="AJ704">
        <f t="shared" ref="AJ704:AJ767" ca="1" si="312">+_xlfn.PERCENTILE.INC(OFFSET(AI704,-52,0,52,1),0.1)</f>
        <v>0.58300760727705225</v>
      </c>
      <c r="AK704">
        <f t="shared" ref="AK704:AK767" ca="1" si="313">+_xlfn.PERCENTILE.INC(OFFSET(AI704,-52,0,52,1),0.25)</f>
        <v>0.60652005836946921</v>
      </c>
      <c r="AL704">
        <f t="shared" ref="AL704:AL767" ca="1" si="314">+_xlfn.PERCENTILE.INC(OFFSET(AI704,-52,0,52,1),0.5)</f>
        <v>0.62090284844282584</v>
      </c>
      <c r="AM704">
        <f t="shared" ref="AM704:AM767" ca="1" si="315">+_xlfn.PERCENTILE.INC(OFFSET(AI704,-52,0,52,1),0.75)</f>
        <v>0.64282119445786212</v>
      </c>
      <c r="AN704">
        <f t="shared" ref="AN704:AN767" ca="1" si="316">+_xlfn.PERCENTILE.INC(OFFSET(AI704,-52,0,52,1),0.9)</f>
        <v>0.66161565562275859</v>
      </c>
    </row>
    <row r="705" spans="2:40" x14ac:dyDescent="0.25">
      <c r="B705" s="1">
        <v>43616</v>
      </c>
      <c r="C705">
        <v>12.779</v>
      </c>
      <c r="D705">
        <v>9.2520000000000007</v>
      </c>
      <c r="E705">
        <v>75.602000000000004</v>
      </c>
      <c r="G705">
        <v>33949.53</v>
      </c>
      <c r="I705" s="14">
        <f t="shared" si="299"/>
        <v>-1.9789828948377775E-2</v>
      </c>
      <c r="J705" s="15">
        <f t="shared" si="300"/>
        <v>-4.2632450331125726E-2</v>
      </c>
      <c r="K705" s="15">
        <f t="shared" si="301"/>
        <v>1.7633123351101121E-2</v>
      </c>
      <c r="L705" s="15"/>
      <c r="M705" s="16">
        <f t="shared" si="302"/>
        <v>-3.23611967762788E-2</v>
      </c>
      <c r="O705" s="13">
        <f t="shared" si="303"/>
        <v>-1.4929718642800793E-2</v>
      </c>
      <c r="Q705" s="5">
        <f t="shared" si="304"/>
        <v>1468.3522635126023</v>
      </c>
      <c r="R705" s="6">
        <f t="shared" si="305"/>
        <v>2100.4603134338513</v>
      </c>
      <c r="T705" s="11">
        <f t="shared" si="306"/>
        <v>0.69906213134402284</v>
      </c>
      <c r="V705" s="9">
        <v>43616</v>
      </c>
      <c r="W705">
        <v>41580</v>
      </c>
      <c r="X705">
        <v>55786.111199999999</v>
      </c>
      <c r="Y705">
        <v>53314.569499999998</v>
      </c>
      <c r="AC705" s="24">
        <f t="shared" si="307"/>
        <v>-1.5677212249691798E-2</v>
      </c>
      <c r="AE705" s="5">
        <f t="shared" si="308"/>
        <v>1137.088330160924</v>
      </c>
      <c r="AF705" s="6">
        <f t="shared" si="309"/>
        <v>2100.4603134338513</v>
      </c>
      <c r="AH705" s="1">
        <f t="shared" si="310"/>
        <v>43616</v>
      </c>
      <c r="AI705">
        <f t="shared" si="311"/>
        <v>0.54135197075064079</v>
      </c>
      <c r="AJ705">
        <f t="shared" ca="1" si="312"/>
        <v>0.58300760727705225</v>
      </c>
      <c r="AK705">
        <f t="shared" ca="1" si="313"/>
        <v>0.60652005836946921</v>
      </c>
      <c r="AL705">
        <f t="shared" ca="1" si="314"/>
        <v>0.62090284844282584</v>
      </c>
      <c r="AM705">
        <f t="shared" ca="1" si="315"/>
        <v>0.64282119445786212</v>
      </c>
      <c r="AN705">
        <f t="shared" ca="1" si="316"/>
        <v>0.66161565562275859</v>
      </c>
    </row>
    <row r="706" spans="2:40" x14ac:dyDescent="0.25">
      <c r="B706" s="1">
        <v>43623</v>
      </c>
      <c r="C706">
        <v>13.467000000000001</v>
      </c>
      <c r="D706">
        <v>9.4390000000000001</v>
      </c>
      <c r="E706">
        <v>76.108999999999995</v>
      </c>
      <c r="G706">
        <v>35662.879999999997</v>
      </c>
      <c r="I706" s="14">
        <f t="shared" si="299"/>
        <v>5.3838328507707978E-2</v>
      </c>
      <c r="J706" s="15">
        <f t="shared" si="300"/>
        <v>2.0211846087332397E-2</v>
      </c>
      <c r="K706" s="15">
        <f t="shared" si="301"/>
        <v>6.7061717943968091E-3</v>
      </c>
      <c r="L706" s="15"/>
      <c r="M706" s="16">
        <f t="shared" si="302"/>
        <v>5.0467561701148744E-2</v>
      </c>
      <c r="O706" s="13">
        <f t="shared" si="303"/>
        <v>2.6918782129812396E-2</v>
      </c>
      <c r="Q706" s="5">
        <f t="shared" si="304"/>
        <v>1507.878518183915</v>
      </c>
      <c r="R706" s="6">
        <f t="shared" si="305"/>
        <v>2206.4654239028882</v>
      </c>
      <c r="T706" s="11">
        <f t="shared" si="306"/>
        <v>0.68339095725176446</v>
      </c>
      <c r="V706" s="9">
        <v>43623</v>
      </c>
      <c r="W706">
        <v>43820</v>
      </c>
      <c r="X706">
        <v>56915.384700000002</v>
      </c>
      <c r="Y706">
        <v>53672.185400000002</v>
      </c>
      <c r="AC706" s="24">
        <f t="shared" si="307"/>
        <v>2.4712356206836646E-2</v>
      </c>
      <c r="AE706" s="5">
        <f t="shared" si="308"/>
        <v>1165.1884620144976</v>
      </c>
      <c r="AF706" s="6">
        <f t="shared" si="309"/>
        <v>2206.4654239028882</v>
      </c>
      <c r="AH706" s="1">
        <f t="shared" si="310"/>
        <v>43623</v>
      </c>
      <c r="AI706">
        <f t="shared" si="311"/>
        <v>0.52807918465065429</v>
      </c>
      <c r="AJ706">
        <f t="shared" ca="1" si="312"/>
        <v>0.57938834712977927</v>
      </c>
      <c r="AK706">
        <f t="shared" ca="1" si="313"/>
        <v>0.60460546463353715</v>
      </c>
      <c r="AL706">
        <f t="shared" ca="1" si="314"/>
        <v>0.62090284844282584</v>
      </c>
      <c r="AM706">
        <f t="shared" ca="1" si="315"/>
        <v>0.64282119445786212</v>
      </c>
      <c r="AN706">
        <f t="shared" ca="1" si="316"/>
        <v>0.66161565562275859</v>
      </c>
    </row>
    <row r="707" spans="2:40" x14ac:dyDescent="0.25">
      <c r="B707" s="1">
        <v>43630</v>
      </c>
      <c r="C707">
        <v>14.285</v>
      </c>
      <c r="D707">
        <v>10.151</v>
      </c>
      <c r="E707">
        <v>83.801000000000002</v>
      </c>
      <c r="G707">
        <v>40487.61</v>
      </c>
      <c r="I707" s="14">
        <f t="shared" si="299"/>
        <v>6.0741070765575111E-2</v>
      </c>
      <c r="J707" s="15">
        <f t="shared" si="300"/>
        <v>7.5431719461807267E-2</v>
      </c>
      <c r="K707" s="15">
        <f t="shared" si="301"/>
        <v>0.10106557700140595</v>
      </c>
      <c r="L707" s="15"/>
      <c r="M707" s="16">
        <f t="shared" si="302"/>
        <v>0.13528716693660203</v>
      </c>
      <c r="O707" s="13">
        <f t="shared" si="303"/>
        <v>7.9079455742929447E-2</v>
      </c>
      <c r="Q707" s="5">
        <f t="shared" si="304"/>
        <v>1627.1207307283541</v>
      </c>
      <c r="R707" s="6">
        <f t="shared" si="305"/>
        <v>2504.9718800462788</v>
      </c>
      <c r="T707" s="11">
        <f t="shared" si="306"/>
        <v>0.6495564855196273</v>
      </c>
      <c r="V707" s="9">
        <v>43630</v>
      </c>
      <c r="W707">
        <v>46480</v>
      </c>
      <c r="X707">
        <v>61206.624000000003</v>
      </c>
      <c r="Y707">
        <v>59096.0265</v>
      </c>
      <c r="AC707" s="24">
        <f t="shared" si="307"/>
        <v>8.0172943794523027E-2</v>
      </c>
      <c r="AE707" s="5">
        <f t="shared" si="308"/>
        <v>1258.6050510896127</v>
      </c>
      <c r="AF707" s="6">
        <f t="shared" si="309"/>
        <v>2504.9718800462788</v>
      </c>
      <c r="AH707" s="1">
        <f t="shared" si="310"/>
        <v>43630</v>
      </c>
      <c r="AI707">
        <f t="shared" si="311"/>
        <v>0.50244278633034412</v>
      </c>
      <c r="AJ707">
        <f t="shared" ca="1" si="312"/>
        <v>0.57289050864243141</v>
      </c>
      <c r="AK707">
        <f t="shared" ca="1" si="313"/>
        <v>0.60229308337857324</v>
      </c>
      <c r="AL707">
        <f t="shared" ca="1" si="314"/>
        <v>0.62090284844282584</v>
      </c>
      <c r="AM707">
        <f t="shared" ca="1" si="315"/>
        <v>0.64282119445786212</v>
      </c>
      <c r="AN707">
        <f t="shared" ca="1" si="316"/>
        <v>0.66161565562275859</v>
      </c>
    </row>
    <row r="708" spans="2:40" x14ac:dyDescent="0.25">
      <c r="B708" s="1">
        <v>43637</v>
      </c>
      <c r="C708">
        <v>13.855</v>
      </c>
      <c r="D708">
        <v>9.4390000000000001</v>
      </c>
      <c r="E708">
        <v>82.701999999999998</v>
      </c>
      <c r="G708">
        <v>40294.82</v>
      </c>
      <c r="I708" s="14">
        <f t="shared" si="299"/>
        <v>-3.0101505075253776E-2</v>
      </c>
      <c r="J708" s="15">
        <f t="shared" si="300"/>
        <v>-7.0140872820411704E-2</v>
      </c>
      <c r="K708" s="15">
        <f t="shared" si="301"/>
        <v>-1.3114401976110135E-2</v>
      </c>
      <c r="L708" s="15"/>
      <c r="M708" s="16">
        <f t="shared" si="302"/>
        <v>-4.7617036421759851E-3</v>
      </c>
      <c r="O708" s="13">
        <f t="shared" si="303"/>
        <v>-3.7785593290591869E-2</v>
      </c>
      <c r="Q708" s="5">
        <f t="shared" si="304"/>
        <v>1565.6390085623621</v>
      </c>
      <c r="R708" s="6">
        <f t="shared" si="305"/>
        <v>2493.0439463215139</v>
      </c>
      <c r="T708" s="11">
        <f t="shared" si="306"/>
        <v>0.62800297237939273</v>
      </c>
      <c r="V708" s="9">
        <v>43637</v>
      </c>
      <c r="W708">
        <v>45080</v>
      </c>
      <c r="X708">
        <v>56915.384700000002</v>
      </c>
      <c r="Y708">
        <v>58321.192000000003</v>
      </c>
      <c r="AC708" s="24">
        <f t="shared" si="307"/>
        <v>-3.8776293655079015E-2</v>
      </c>
      <c r="AE708" s="5">
        <f t="shared" si="308"/>
        <v>1209.8010120327961</v>
      </c>
      <c r="AF708" s="6">
        <f t="shared" si="309"/>
        <v>2493.0439463215139</v>
      </c>
      <c r="AH708" s="1">
        <f t="shared" si="310"/>
        <v>43637</v>
      </c>
      <c r="AI708">
        <f t="shared" si="311"/>
        <v>0.48527063223969941</v>
      </c>
      <c r="AJ708">
        <f t="shared" ca="1" si="312"/>
        <v>0.5711203479044541</v>
      </c>
      <c r="AK708">
        <f t="shared" ca="1" si="313"/>
        <v>0.60005578112750735</v>
      </c>
      <c r="AL708">
        <f t="shared" ca="1" si="314"/>
        <v>0.61899135616989431</v>
      </c>
      <c r="AM708">
        <f t="shared" ca="1" si="315"/>
        <v>0.64211721821864631</v>
      </c>
      <c r="AN708">
        <f t="shared" ca="1" si="316"/>
        <v>0.66161565562275859</v>
      </c>
    </row>
    <row r="709" spans="2:40" x14ac:dyDescent="0.25">
      <c r="B709" s="1">
        <v>43644</v>
      </c>
      <c r="C709">
        <v>15.576000000000001</v>
      </c>
      <c r="D709">
        <v>10.263</v>
      </c>
      <c r="E709">
        <v>83.843000000000004</v>
      </c>
      <c r="G709">
        <v>41796.36</v>
      </c>
      <c r="I709" s="14">
        <f t="shared" si="299"/>
        <v>0.124215084806929</v>
      </c>
      <c r="J709" s="15">
        <f t="shared" si="300"/>
        <v>8.729738319737268E-2</v>
      </c>
      <c r="K709" s="15">
        <f t="shared" si="301"/>
        <v>1.3796522454112337E-2</v>
      </c>
      <c r="L709" s="15"/>
      <c r="M709" s="16">
        <f t="shared" si="302"/>
        <v>3.7263846817034985E-2</v>
      </c>
      <c r="O709" s="13">
        <f t="shared" si="303"/>
        <v>7.5102996819471343E-2</v>
      </c>
      <c r="Q709" s="5">
        <f t="shared" si="304"/>
        <v>1683.2231900428615</v>
      </c>
      <c r="R709" s="6">
        <f t="shared" si="305"/>
        <v>2585.9443540453753</v>
      </c>
      <c r="T709" s="11">
        <f t="shared" si="306"/>
        <v>0.65091237845457761</v>
      </c>
      <c r="V709" s="9">
        <v>43644</v>
      </c>
      <c r="W709">
        <v>50680</v>
      </c>
      <c r="X709">
        <v>61884.188099999999</v>
      </c>
      <c r="Y709">
        <v>59125.827799999999</v>
      </c>
      <c r="AC709" s="24">
        <f t="shared" si="307"/>
        <v>7.0939699687691371E-2</v>
      </c>
      <c r="AE709" s="5">
        <f t="shared" si="308"/>
        <v>1295.6239325082677</v>
      </c>
      <c r="AF709" s="6">
        <f t="shared" si="309"/>
        <v>2585.9443540453753</v>
      </c>
      <c r="AH709" s="1">
        <f t="shared" si="310"/>
        <v>43644</v>
      </c>
      <c r="AI709">
        <f t="shared" si="311"/>
        <v>0.50102544955440809</v>
      </c>
      <c r="AJ709">
        <f t="shared" ca="1" si="312"/>
        <v>0.56500782819934758</v>
      </c>
      <c r="AK709">
        <f t="shared" ca="1" si="313"/>
        <v>0.59905596508843351</v>
      </c>
      <c r="AL709">
        <f t="shared" ca="1" si="314"/>
        <v>0.6170421022830167</v>
      </c>
      <c r="AM709">
        <f t="shared" ca="1" si="315"/>
        <v>0.64047122935875334</v>
      </c>
      <c r="AN709">
        <f t="shared" ca="1" si="316"/>
        <v>0.65569405319677387</v>
      </c>
    </row>
    <row r="710" spans="2:40" x14ac:dyDescent="0.25">
      <c r="B710" s="1">
        <v>43651</v>
      </c>
      <c r="C710">
        <v>16.565000000000001</v>
      </c>
      <c r="D710">
        <v>10.675000000000001</v>
      </c>
      <c r="E710">
        <v>84.814999999999998</v>
      </c>
      <c r="G710">
        <v>41755.69</v>
      </c>
      <c r="I710" s="14">
        <f t="shared" si="299"/>
        <v>6.3495120698510599E-2</v>
      </c>
      <c r="J710" s="15">
        <f t="shared" si="300"/>
        <v>4.0144207346779703E-2</v>
      </c>
      <c r="K710" s="15">
        <f t="shared" si="301"/>
        <v>1.1593096621065557E-2</v>
      </c>
      <c r="L710" s="15"/>
      <c r="M710" s="16">
        <f t="shared" si="302"/>
        <v>-9.7305124178270752E-4</v>
      </c>
      <c r="O710" s="13">
        <f t="shared" si="303"/>
        <v>3.841080822211862E-2</v>
      </c>
      <c r="Q710" s="5">
        <f t="shared" si="304"/>
        <v>1747.8771531906204</v>
      </c>
      <c r="R710" s="6">
        <f t="shared" si="305"/>
        <v>2583.4280976804907</v>
      </c>
      <c r="T710" s="11">
        <f t="shared" si="306"/>
        <v>0.67657278898527784</v>
      </c>
      <c r="V710" s="9">
        <v>43651</v>
      </c>
      <c r="W710">
        <v>53900</v>
      </c>
      <c r="X710">
        <v>64368.589800000002</v>
      </c>
      <c r="Y710">
        <v>59811.258300000001</v>
      </c>
      <c r="AC710" s="24">
        <f t="shared" si="307"/>
        <v>3.7204701721155337E-2</v>
      </c>
      <c r="AE710" s="5">
        <f t="shared" si="308"/>
        <v>1343.8272344600282</v>
      </c>
      <c r="AF710" s="6">
        <f t="shared" si="309"/>
        <v>2583.4280976804907</v>
      </c>
      <c r="AH710" s="1">
        <f t="shared" si="310"/>
        <v>43651</v>
      </c>
      <c r="AI710">
        <f t="shared" si="311"/>
        <v>0.52017210607354325</v>
      </c>
      <c r="AJ710">
        <f t="shared" ca="1" si="312"/>
        <v>0.54365097938804252</v>
      </c>
      <c r="AK710">
        <f t="shared" ca="1" si="313"/>
        <v>0.59641961988291525</v>
      </c>
      <c r="AL710">
        <f t="shared" ca="1" si="314"/>
        <v>0.6164838068566314</v>
      </c>
      <c r="AM710">
        <f t="shared" ca="1" si="315"/>
        <v>0.63984860986338432</v>
      </c>
      <c r="AN710">
        <f t="shared" ca="1" si="316"/>
        <v>0.65433975542337774</v>
      </c>
    </row>
    <row r="711" spans="2:40" x14ac:dyDescent="0.25">
      <c r="B711" s="1">
        <v>43658</v>
      </c>
      <c r="C711">
        <v>17.021999999999998</v>
      </c>
      <c r="D711">
        <v>11.087</v>
      </c>
      <c r="E711">
        <v>88.364999999999995</v>
      </c>
      <c r="G711">
        <v>42753.1</v>
      </c>
      <c r="I711" s="14">
        <f t="shared" si="299"/>
        <v>2.7588288560217222E-2</v>
      </c>
      <c r="J711" s="15">
        <f t="shared" si="300"/>
        <v>3.8594847775175634E-2</v>
      </c>
      <c r="K711" s="15">
        <f t="shared" si="301"/>
        <v>4.1855803808288572E-2</v>
      </c>
      <c r="L711" s="15"/>
      <c r="M711" s="16">
        <f t="shared" si="302"/>
        <v>2.3886804409171347E-2</v>
      </c>
      <c r="O711" s="13">
        <f t="shared" si="303"/>
        <v>3.6012980047893807E-2</v>
      </c>
      <c r="Q711" s="5">
        <f t="shared" si="304"/>
        <v>1810.8234182346439</v>
      </c>
      <c r="R711" s="6">
        <f t="shared" si="305"/>
        <v>2645.1379393549423</v>
      </c>
      <c r="T711" s="11">
        <f t="shared" si="306"/>
        <v>0.68458562833068781</v>
      </c>
      <c r="V711" s="9">
        <v>43658</v>
      </c>
      <c r="W711">
        <v>53200</v>
      </c>
      <c r="X711">
        <v>66852.991500000004</v>
      </c>
      <c r="Y711">
        <v>62314.569499999998</v>
      </c>
      <c r="AC711" s="24">
        <f t="shared" si="307"/>
        <v>3.635870672758678E-2</v>
      </c>
      <c r="AE711" s="5">
        <f t="shared" si="308"/>
        <v>1392.6870547703043</v>
      </c>
      <c r="AF711" s="6">
        <f t="shared" si="309"/>
        <v>2645.1379393549423</v>
      </c>
      <c r="AH711" s="1">
        <f t="shared" si="310"/>
        <v>43658</v>
      </c>
      <c r="AI711">
        <f t="shared" si="311"/>
        <v>0.52650829056950144</v>
      </c>
      <c r="AJ711">
        <f t="shared" ca="1" si="312"/>
        <v>0.53309378835939958</v>
      </c>
      <c r="AK711">
        <f t="shared" ca="1" si="313"/>
        <v>0.58907058511011157</v>
      </c>
      <c r="AL711">
        <f t="shared" ca="1" si="314"/>
        <v>0.614957376107239</v>
      </c>
      <c r="AM711">
        <f t="shared" ca="1" si="315"/>
        <v>0.6377738424343079</v>
      </c>
      <c r="AN711">
        <f t="shared" ca="1" si="316"/>
        <v>0.65099159883397939</v>
      </c>
    </row>
    <row r="712" spans="2:40" x14ac:dyDescent="0.25">
      <c r="B712" s="1">
        <v>43665</v>
      </c>
      <c r="C712">
        <v>16.260999999999999</v>
      </c>
      <c r="D712">
        <v>10.113</v>
      </c>
      <c r="E712">
        <v>88.406999999999996</v>
      </c>
      <c r="G712">
        <v>40161.599999999999</v>
      </c>
      <c r="I712" s="14">
        <f t="shared" si="299"/>
        <v>-4.4706849958876749E-2</v>
      </c>
      <c r="J712" s="15">
        <f t="shared" si="300"/>
        <v>-8.7850635879859307E-2</v>
      </c>
      <c r="K712" s="15">
        <f t="shared" si="301"/>
        <v>4.7530130707862384E-4</v>
      </c>
      <c r="L712" s="15"/>
      <c r="M712" s="16">
        <f t="shared" si="302"/>
        <v>-6.0615487531898271E-2</v>
      </c>
      <c r="O712" s="13">
        <f t="shared" si="303"/>
        <v>-4.4027394843885813E-2</v>
      </c>
      <c r="Q712" s="5">
        <f t="shared" si="304"/>
        <v>1731.0975806074721</v>
      </c>
      <c r="R712" s="6">
        <f t="shared" si="305"/>
        <v>2484.8016135718217</v>
      </c>
      <c r="T712" s="11">
        <f t="shared" si="306"/>
        <v>0.69667436271464567</v>
      </c>
      <c r="V712" s="9">
        <v>43665</v>
      </c>
      <c r="W712">
        <v>50820</v>
      </c>
      <c r="X712">
        <v>60980.7693</v>
      </c>
      <c r="Y712">
        <v>62344.370900000002</v>
      </c>
      <c r="AC712" s="24">
        <f t="shared" si="307"/>
        <v>-4.5084026951617132E-2</v>
      </c>
      <c r="AE712" s="5">
        <f t="shared" si="308"/>
        <v>1329.8991140578714</v>
      </c>
      <c r="AF712" s="6">
        <f t="shared" si="309"/>
        <v>2484.8016135718217</v>
      </c>
      <c r="AH712" s="1">
        <f t="shared" si="310"/>
        <v>43665</v>
      </c>
      <c r="AI712">
        <f t="shared" si="311"/>
        <v>0.53521339763868891</v>
      </c>
      <c r="AJ712">
        <f t="shared" ca="1" si="312"/>
        <v>0.52848888743940392</v>
      </c>
      <c r="AK712">
        <f t="shared" ca="1" si="313"/>
        <v>0.58703038939114538</v>
      </c>
      <c r="AL712">
        <f t="shared" ca="1" si="314"/>
        <v>0.61252907469640516</v>
      </c>
      <c r="AM712">
        <f t="shared" ca="1" si="315"/>
        <v>0.63519714389783521</v>
      </c>
      <c r="AN712">
        <f t="shared" ca="1" si="316"/>
        <v>0.64946171513265349</v>
      </c>
    </row>
    <row r="713" spans="2:40" x14ac:dyDescent="0.25">
      <c r="B713" s="1">
        <v>43672</v>
      </c>
      <c r="C713">
        <v>15.634</v>
      </c>
      <c r="D713">
        <v>10.301</v>
      </c>
      <c r="E713">
        <v>88.998999999999995</v>
      </c>
      <c r="G713">
        <v>41983.73</v>
      </c>
      <c r="I713" s="14">
        <f t="shared" si="299"/>
        <v>-3.8558514236516794E-2</v>
      </c>
      <c r="J713" s="15">
        <f t="shared" si="300"/>
        <v>1.8589933748640375E-2</v>
      </c>
      <c r="K713" s="15">
        <f t="shared" si="301"/>
        <v>6.6963023290009804E-3</v>
      </c>
      <c r="L713" s="15"/>
      <c r="M713" s="16">
        <f t="shared" si="302"/>
        <v>4.5369955380263782E-2</v>
      </c>
      <c r="O713" s="13">
        <f t="shared" si="303"/>
        <v>-4.4240927196251461E-3</v>
      </c>
      <c r="Q713" s="5">
        <f t="shared" si="304"/>
        <v>1723.4390444041458</v>
      </c>
      <c r="R713" s="6">
        <f t="shared" si="305"/>
        <v>2597.5369519083829</v>
      </c>
      <c r="T713" s="11">
        <f t="shared" si="306"/>
        <v>0.66348971210513608</v>
      </c>
      <c r="V713" s="9">
        <v>43672</v>
      </c>
      <c r="W713">
        <v>48860</v>
      </c>
      <c r="X713">
        <v>62110.042800000003</v>
      </c>
      <c r="Y713">
        <v>62761.589399999997</v>
      </c>
      <c r="AC713" s="24">
        <f t="shared" si="307"/>
        <v>-2.3453911820037671E-3</v>
      </c>
      <c r="AE713" s="5">
        <f t="shared" si="308"/>
        <v>1326.7799804028054</v>
      </c>
      <c r="AF713" s="6">
        <f t="shared" si="309"/>
        <v>2597.5369519083829</v>
      </c>
      <c r="AH713" s="1">
        <f t="shared" si="310"/>
        <v>43672</v>
      </c>
      <c r="AI713">
        <f t="shared" si="311"/>
        <v>0.51078387140095716</v>
      </c>
      <c r="AJ713">
        <f t="shared" ca="1" si="312"/>
        <v>0.52848888743940392</v>
      </c>
      <c r="AK713">
        <f t="shared" ca="1" si="313"/>
        <v>0.58155528144568835</v>
      </c>
      <c r="AL713">
        <f t="shared" ca="1" si="314"/>
        <v>0.61059176947181482</v>
      </c>
      <c r="AM713">
        <f t="shared" ca="1" si="315"/>
        <v>0.63455589507693433</v>
      </c>
      <c r="AN713">
        <f t="shared" ca="1" si="316"/>
        <v>0.64407345256182214</v>
      </c>
    </row>
    <row r="714" spans="2:40" x14ac:dyDescent="0.25">
      <c r="B714" s="1">
        <v>43679</v>
      </c>
      <c r="C714">
        <v>15.992000000000001</v>
      </c>
      <c r="D714">
        <v>10.712999999999999</v>
      </c>
      <c r="E714">
        <v>91.619</v>
      </c>
      <c r="G714">
        <v>41359.15</v>
      </c>
      <c r="I714" s="14">
        <f t="shared" si="299"/>
        <v>2.2898810285275628E-2</v>
      </c>
      <c r="J714" s="15">
        <f t="shared" si="300"/>
        <v>3.9996116881856114E-2</v>
      </c>
      <c r="K714" s="15">
        <f t="shared" si="301"/>
        <v>2.9438533017224877E-2</v>
      </c>
      <c r="L714" s="15"/>
      <c r="M714" s="16">
        <f t="shared" si="302"/>
        <v>-1.4876715337107993E-2</v>
      </c>
      <c r="O714" s="13">
        <f t="shared" si="303"/>
        <v>3.0777820061452205E-2</v>
      </c>
      <c r="Q714" s="5">
        <f t="shared" si="304"/>
        <v>1776.4827411996976</v>
      </c>
      <c r="R714" s="6">
        <f t="shared" si="305"/>
        <v>2558.8941340972228</v>
      </c>
      <c r="T714" s="11">
        <f t="shared" si="306"/>
        <v>0.69423846712847315</v>
      </c>
      <c r="V714" s="9">
        <v>43679</v>
      </c>
      <c r="W714">
        <v>49980</v>
      </c>
      <c r="X714">
        <v>64594.444499999998</v>
      </c>
      <c r="Y714">
        <v>64609.271500000003</v>
      </c>
      <c r="AC714" s="24">
        <f t="shared" si="307"/>
        <v>3.137370814196417E-2</v>
      </c>
      <c r="AE714" s="5">
        <f t="shared" si="308"/>
        <v>1368.4059882765641</v>
      </c>
      <c r="AF714" s="6">
        <f t="shared" si="309"/>
        <v>2558.8941340972228</v>
      </c>
      <c r="AH714" s="1">
        <f t="shared" si="310"/>
        <v>43679</v>
      </c>
      <c r="AI714">
        <f t="shared" si="311"/>
        <v>0.53476459617558092</v>
      </c>
      <c r="AJ714">
        <f t="shared" ca="1" si="312"/>
        <v>0.52666537997761675</v>
      </c>
      <c r="AK714">
        <f t="shared" ca="1" si="313"/>
        <v>0.57734262151485938</v>
      </c>
      <c r="AL714">
        <f t="shared" ca="1" si="314"/>
        <v>0.60934527445426223</v>
      </c>
      <c r="AM714">
        <f t="shared" ca="1" si="315"/>
        <v>0.63338948581864429</v>
      </c>
      <c r="AN714">
        <f t="shared" ca="1" si="316"/>
        <v>0.64326157081084678</v>
      </c>
    </row>
    <row r="715" spans="2:40" x14ac:dyDescent="0.25">
      <c r="B715" s="1">
        <v>43686</v>
      </c>
      <c r="C715">
        <v>15.723000000000001</v>
      </c>
      <c r="D715">
        <v>10.788</v>
      </c>
      <c r="E715">
        <v>98.465000000000003</v>
      </c>
      <c r="G715">
        <v>44355.09</v>
      </c>
      <c r="I715" s="14">
        <f t="shared" si="299"/>
        <v>-1.68209104552276E-2</v>
      </c>
      <c r="J715" s="15">
        <f t="shared" si="300"/>
        <v>7.0008401008121446E-3</v>
      </c>
      <c r="K715" s="15">
        <f t="shared" si="301"/>
        <v>7.4722492059507317E-2</v>
      </c>
      <c r="L715" s="15"/>
      <c r="M715" s="16">
        <f t="shared" si="302"/>
        <v>7.2437175328796455E-2</v>
      </c>
      <c r="O715" s="13">
        <f t="shared" si="303"/>
        <v>2.1634140568363953E-2</v>
      </c>
      <c r="Q715" s="5">
        <f t="shared" si="304"/>
        <v>1814.9154185400844</v>
      </c>
      <c r="R715" s="6">
        <f t="shared" si="305"/>
        <v>2744.253197136652</v>
      </c>
      <c r="T715" s="11">
        <f t="shared" si="306"/>
        <v>0.66135129966643136</v>
      </c>
      <c r="V715" s="9">
        <v>43686</v>
      </c>
      <c r="W715">
        <v>49140</v>
      </c>
      <c r="X715">
        <v>65046.153899999998</v>
      </c>
      <c r="Y715">
        <v>69437.0861</v>
      </c>
      <c r="AC715" s="24">
        <f t="shared" si="307"/>
        <v>2.4774974805312728E-2</v>
      </c>
      <c r="AE715" s="5">
        <f t="shared" si="308"/>
        <v>1402.3082121595551</v>
      </c>
      <c r="AF715" s="6">
        <f t="shared" si="309"/>
        <v>2744.253197136652</v>
      </c>
      <c r="AH715" s="1">
        <f t="shared" si="310"/>
        <v>43686</v>
      </c>
      <c r="AI715">
        <f t="shared" si="311"/>
        <v>0.51099811548829399</v>
      </c>
      <c r="AJ715">
        <f t="shared" ca="1" si="312"/>
        <v>0.52666537997761675</v>
      </c>
      <c r="AK715">
        <f t="shared" ca="1" si="313"/>
        <v>0.57190411811827901</v>
      </c>
      <c r="AL715">
        <f t="shared" ca="1" si="314"/>
        <v>0.60856621306205971</v>
      </c>
      <c r="AM715">
        <f t="shared" ca="1" si="315"/>
        <v>0.63231718697365191</v>
      </c>
      <c r="AN715">
        <f t="shared" ca="1" si="316"/>
        <v>0.64258053884163846</v>
      </c>
    </row>
    <row r="716" spans="2:40" x14ac:dyDescent="0.25">
      <c r="B716" s="1">
        <v>43693</v>
      </c>
      <c r="C716">
        <v>17.559999999999999</v>
      </c>
      <c r="D716">
        <v>9.2889999999999997</v>
      </c>
      <c r="E716">
        <v>54.936999999999998</v>
      </c>
      <c r="G716">
        <v>30406.65</v>
      </c>
      <c r="I716" s="14">
        <f t="shared" si="299"/>
        <v>0.11683520956560445</v>
      </c>
      <c r="J716" s="15">
        <f t="shared" si="300"/>
        <v>-0.13895068594734894</v>
      </c>
      <c r="K716" s="15">
        <f t="shared" si="301"/>
        <v>-0.44206570862743111</v>
      </c>
      <c r="L716" s="15"/>
      <c r="M716" s="16">
        <f t="shared" si="302"/>
        <v>-0.31447213837239418</v>
      </c>
      <c r="O716" s="13">
        <f t="shared" si="303"/>
        <v>-0.15472706166972519</v>
      </c>
      <c r="Q716" s="5">
        <f t="shared" si="304"/>
        <v>1534.0988886502978</v>
      </c>
      <c r="R716" s="6">
        <f t="shared" si="305"/>
        <v>1881.2620259978096</v>
      </c>
      <c r="T716" s="11">
        <f t="shared" si="306"/>
        <v>0.81546263489617898</v>
      </c>
      <c r="V716" s="9">
        <v>43693</v>
      </c>
      <c r="W716">
        <v>54880</v>
      </c>
      <c r="X716">
        <v>56011.965900000003</v>
      </c>
      <c r="Y716">
        <v>38741.721799999999</v>
      </c>
      <c r="AC716" s="24">
        <f t="shared" si="307"/>
        <v>-0.18512188422559403</v>
      </c>
      <c r="AE716" s="5">
        <f t="shared" si="308"/>
        <v>1142.7102736595541</v>
      </c>
      <c r="AF716" s="6">
        <f t="shared" si="309"/>
        <v>1881.2620259978096</v>
      </c>
      <c r="AH716" s="1">
        <f t="shared" si="310"/>
        <v>43693</v>
      </c>
      <c r="AI716">
        <f t="shared" si="311"/>
        <v>0.60741686052662847</v>
      </c>
      <c r="AJ716">
        <f t="shared" ca="1" si="312"/>
        <v>0.52080572452313911</v>
      </c>
      <c r="AK716">
        <f t="shared" ca="1" si="313"/>
        <v>0.56933534018483289</v>
      </c>
      <c r="AL716">
        <f t="shared" ca="1" si="314"/>
        <v>0.60789785651512407</v>
      </c>
      <c r="AM716">
        <f t="shared" ca="1" si="315"/>
        <v>0.63145428693228123</v>
      </c>
      <c r="AN716">
        <f t="shared" ca="1" si="316"/>
        <v>0.64258053884163846</v>
      </c>
    </row>
    <row r="717" spans="2:40" x14ac:dyDescent="0.25">
      <c r="B717" s="1">
        <v>43700</v>
      </c>
      <c r="C717">
        <v>18.456</v>
      </c>
      <c r="D717">
        <v>9.4019999999999992</v>
      </c>
      <c r="E717">
        <v>51.219000000000001</v>
      </c>
      <c r="G717">
        <v>26585.97</v>
      </c>
      <c r="I717" s="14">
        <f t="shared" si="299"/>
        <v>5.1025056947608283E-2</v>
      </c>
      <c r="J717" s="15">
        <f t="shared" si="300"/>
        <v>1.2164926256862829E-2</v>
      </c>
      <c r="K717" s="15">
        <f t="shared" si="301"/>
        <v>-6.7677521524655448E-2</v>
      </c>
      <c r="L717" s="15"/>
      <c r="M717" s="16">
        <f t="shared" si="302"/>
        <v>-0.12565277661301066</v>
      </c>
      <c r="O717" s="13">
        <f t="shared" si="303"/>
        <v>-1.4958461067281121E-3</v>
      </c>
      <c r="Q717" s="5">
        <f t="shared" si="304"/>
        <v>1531.8041128003742</v>
      </c>
      <c r="R717" s="6">
        <f t="shared" si="305"/>
        <v>1644.876228894567</v>
      </c>
      <c r="T717" s="11">
        <f t="shared" si="306"/>
        <v>0.93125797910631702</v>
      </c>
      <c r="V717" s="9">
        <v>43700</v>
      </c>
      <c r="W717">
        <v>57680</v>
      </c>
      <c r="X717">
        <v>56689.53</v>
      </c>
      <c r="Y717">
        <v>36119.205300000001</v>
      </c>
      <c r="AC717" s="24">
        <f t="shared" si="307"/>
        <v>5.7453161928484936E-3</v>
      </c>
      <c r="AE717" s="5">
        <f t="shared" si="308"/>
        <v>1149.2755054985446</v>
      </c>
      <c r="AF717" s="6">
        <f t="shared" si="309"/>
        <v>1644.876228894567</v>
      </c>
      <c r="AH717" s="1">
        <f t="shared" si="310"/>
        <v>43700</v>
      </c>
      <c r="AI717">
        <f t="shared" si="311"/>
        <v>0.69870029447195003</v>
      </c>
      <c r="AJ717">
        <f t="shared" ca="1" si="312"/>
        <v>0.52080572452313911</v>
      </c>
      <c r="AK717">
        <f t="shared" ca="1" si="313"/>
        <v>0.56933534018483289</v>
      </c>
      <c r="AL717">
        <f t="shared" ca="1" si="314"/>
        <v>0.60735076747291372</v>
      </c>
      <c r="AM717">
        <f t="shared" ca="1" si="315"/>
        <v>0.63119254492995758</v>
      </c>
      <c r="AN717">
        <f t="shared" ca="1" si="316"/>
        <v>0.64174331282966324</v>
      </c>
    </row>
    <row r="718" spans="2:40" x14ac:dyDescent="0.25">
      <c r="B718" s="1">
        <v>43707</v>
      </c>
      <c r="C718">
        <v>18.814</v>
      </c>
      <c r="D718">
        <v>8.2409999999999997</v>
      </c>
      <c r="E718">
        <v>51.598999999999997</v>
      </c>
      <c r="G718">
        <v>24608.560000000001</v>
      </c>
      <c r="I718" s="14">
        <f t="shared" si="299"/>
        <v>1.9397485912440393E-2</v>
      </c>
      <c r="J718" s="15">
        <f t="shared" si="300"/>
        <v>-0.12348436502871729</v>
      </c>
      <c r="K718" s="15">
        <f t="shared" si="301"/>
        <v>7.4191218102657164E-3</v>
      </c>
      <c r="L718" s="15"/>
      <c r="M718" s="16">
        <f t="shared" si="302"/>
        <v>-7.4377951979935242E-2</v>
      </c>
      <c r="O718" s="13">
        <f t="shared" si="303"/>
        <v>-3.2222585768670396E-2</v>
      </c>
      <c r="Q718" s="5">
        <f t="shared" si="304"/>
        <v>1482.445423394862</v>
      </c>
      <c r="R718" s="6">
        <f t="shared" si="305"/>
        <v>1522.53370372891</v>
      </c>
      <c r="T718" s="11">
        <f t="shared" si="306"/>
        <v>0.9736700210735133</v>
      </c>
      <c r="V718" s="9">
        <v>43707</v>
      </c>
      <c r="W718">
        <v>58800</v>
      </c>
      <c r="X718">
        <v>49688.034299999999</v>
      </c>
      <c r="Y718">
        <v>36387.417200000004</v>
      </c>
      <c r="AC718" s="24">
        <f t="shared" si="307"/>
        <v>-3.7301468667377144E-2</v>
      </c>
      <c r="AE718" s="5">
        <f t="shared" si="308"/>
        <v>1106.4058412400066</v>
      </c>
      <c r="AF718" s="6">
        <f t="shared" si="309"/>
        <v>1522.53370372891</v>
      </c>
      <c r="AH718" s="1">
        <f t="shared" si="310"/>
        <v>43707</v>
      </c>
      <c r="AI718">
        <f t="shared" si="311"/>
        <v>0.72668725725430905</v>
      </c>
      <c r="AJ718">
        <f t="shared" ca="1" si="312"/>
        <v>0.52080572452313911</v>
      </c>
      <c r="AK718">
        <f t="shared" ca="1" si="313"/>
        <v>0.56933534018483289</v>
      </c>
      <c r="AL718">
        <f t="shared" ca="1" si="314"/>
        <v>0.60735076747291372</v>
      </c>
      <c r="AM718">
        <f t="shared" ca="1" si="315"/>
        <v>0.63119254492995758</v>
      </c>
      <c r="AN718">
        <f t="shared" ca="1" si="316"/>
        <v>0.64174331282966324</v>
      </c>
    </row>
    <row r="719" spans="2:40" x14ac:dyDescent="0.25">
      <c r="B719" s="1">
        <v>43714</v>
      </c>
      <c r="C719">
        <v>18.411000000000001</v>
      </c>
      <c r="D719">
        <v>9.6639999999999997</v>
      </c>
      <c r="E719">
        <v>58.868000000000002</v>
      </c>
      <c r="G719">
        <v>27659.66</v>
      </c>
      <c r="I719" s="14">
        <f t="shared" si="299"/>
        <v>-2.142021898586155E-2</v>
      </c>
      <c r="J719" s="15">
        <f t="shared" si="300"/>
        <v>0.17267321926950618</v>
      </c>
      <c r="K719" s="15">
        <f t="shared" si="301"/>
        <v>0.14087482315548772</v>
      </c>
      <c r="L719" s="15"/>
      <c r="M719" s="16">
        <f t="shared" si="302"/>
        <v>0.12398531242787048</v>
      </c>
      <c r="O719" s="13">
        <f t="shared" si="303"/>
        <v>9.7375941146377445E-2</v>
      </c>
      <c r="Q719" s="5">
        <f t="shared" si="304"/>
        <v>1626.7999416960768</v>
      </c>
      <c r="R719" s="6">
        <f t="shared" si="305"/>
        <v>1711.3055206677018</v>
      </c>
      <c r="T719" s="11">
        <f t="shared" si="306"/>
        <v>0.95061923312287722</v>
      </c>
      <c r="V719" s="9">
        <v>43714</v>
      </c>
      <c r="W719">
        <v>57540</v>
      </c>
      <c r="X719">
        <v>58270.512900000002</v>
      </c>
      <c r="Y719">
        <v>41513.245000000003</v>
      </c>
      <c r="AC719" s="24">
        <f t="shared" si="307"/>
        <v>8.5910724002271274E-2</v>
      </c>
      <c r="AE719" s="5">
        <f t="shared" si="308"/>
        <v>1201.4579681012774</v>
      </c>
      <c r="AF719" s="6">
        <f t="shared" si="309"/>
        <v>1711.3055206677018</v>
      </c>
      <c r="AH719" s="1">
        <f t="shared" si="310"/>
        <v>43714</v>
      </c>
      <c r="AI719">
        <f t="shared" si="311"/>
        <v>0.702070994098414</v>
      </c>
      <c r="AJ719">
        <f t="shared" ca="1" si="312"/>
        <v>0.52080572452313911</v>
      </c>
      <c r="AK719">
        <f t="shared" ca="1" si="313"/>
        <v>0.56933534018483289</v>
      </c>
      <c r="AL719">
        <f t="shared" ca="1" si="314"/>
        <v>0.60735076747291372</v>
      </c>
      <c r="AM719">
        <f t="shared" ca="1" si="315"/>
        <v>0.63119254492995758</v>
      </c>
      <c r="AN719">
        <f t="shared" ca="1" si="316"/>
        <v>0.64174331282966324</v>
      </c>
    </row>
    <row r="720" spans="2:40" x14ac:dyDescent="0.25">
      <c r="B720" s="1">
        <v>43721</v>
      </c>
      <c r="C720">
        <v>20.471</v>
      </c>
      <c r="D720">
        <v>11.648999999999999</v>
      </c>
      <c r="E720">
        <v>64.150000000000006</v>
      </c>
      <c r="G720">
        <v>30136.28</v>
      </c>
      <c r="I720" s="14">
        <f t="shared" si="299"/>
        <v>0.11188963119873985</v>
      </c>
      <c r="J720" s="15">
        <f t="shared" si="300"/>
        <v>0.2054014900662251</v>
      </c>
      <c r="K720" s="15">
        <f t="shared" si="301"/>
        <v>8.9726167017734726E-2</v>
      </c>
      <c r="L720" s="15"/>
      <c r="M720" s="16">
        <f t="shared" si="302"/>
        <v>8.9539061579209545E-2</v>
      </c>
      <c r="O720" s="13">
        <f t="shared" si="303"/>
        <v>0.13567242942756655</v>
      </c>
      <c r="Q720" s="5">
        <f t="shared" si="304"/>
        <v>1847.5118419786072</v>
      </c>
      <c r="R720" s="6">
        <f t="shared" si="305"/>
        <v>1864.5342110636084</v>
      </c>
      <c r="T720" s="11">
        <f t="shared" si="306"/>
        <v>0.99087044421926107</v>
      </c>
      <c r="V720" s="9">
        <v>43721</v>
      </c>
      <c r="W720">
        <v>63980</v>
      </c>
      <c r="X720">
        <v>70240.812099999996</v>
      </c>
      <c r="Y720">
        <v>45238.410600000003</v>
      </c>
      <c r="AC720" s="24">
        <f t="shared" si="307"/>
        <v>0.14067680689489065</v>
      </c>
      <c r="AE720" s="5">
        <f t="shared" si="308"/>
        <v>1370.4752386721887</v>
      </c>
      <c r="AF720" s="6">
        <f t="shared" si="309"/>
        <v>1864.5342110636084</v>
      </c>
      <c r="AH720" s="1">
        <f t="shared" si="310"/>
        <v>43721</v>
      </c>
      <c r="AI720">
        <f t="shared" si="311"/>
        <v>0.73502284406485208</v>
      </c>
      <c r="AJ720">
        <f t="shared" ca="1" si="312"/>
        <v>0.52080572452313911</v>
      </c>
      <c r="AK720">
        <f t="shared" ca="1" si="313"/>
        <v>0.56933534018483289</v>
      </c>
      <c r="AL720">
        <f t="shared" ca="1" si="314"/>
        <v>0.60796394956883892</v>
      </c>
      <c r="AM720">
        <f t="shared" ca="1" si="315"/>
        <v>0.63145428693228123</v>
      </c>
      <c r="AN720">
        <f t="shared" ca="1" si="316"/>
        <v>0.64258053884163846</v>
      </c>
    </row>
    <row r="721" spans="2:40" x14ac:dyDescent="0.25">
      <c r="B721" s="1">
        <v>43728</v>
      </c>
      <c r="C721">
        <v>20.337</v>
      </c>
      <c r="D721">
        <v>11.537000000000001</v>
      </c>
      <c r="E721">
        <v>63.009</v>
      </c>
      <c r="G721">
        <v>30060.46</v>
      </c>
      <c r="I721" s="14">
        <f t="shared" si="299"/>
        <v>-6.5458453421913809E-3</v>
      </c>
      <c r="J721" s="15">
        <f t="shared" si="300"/>
        <v>-9.6145591896298344E-3</v>
      </c>
      <c r="K721" s="15">
        <f t="shared" si="301"/>
        <v>-1.7786438035853558E-2</v>
      </c>
      <c r="L721" s="15"/>
      <c r="M721" s="16">
        <f t="shared" si="302"/>
        <v>-2.5159044181962686E-3</v>
      </c>
      <c r="O721" s="13">
        <f t="shared" si="303"/>
        <v>-1.1315614189224924E-2</v>
      </c>
      <c r="Q721" s="5">
        <f t="shared" si="304"/>
        <v>1826.6061107647531</v>
      </c>
      <c r="R721" s="6">
        <f t="shared" si="305"/>
        <v>1859.8432212041153</v>
      </c>
      <c r="T721" s="11">
        <f t="shared" si="306"/>
        <v>0.98212907945120043</v>
      </c>
      <c r="V721" s="9">
        <v>43728</v>
      </c>
      <c r="W721">
        <v>63560</v>
      </c>
      <c r="X721">
        <v>69563.248000000007</v>
      </c>
      <c r="Y721">
        <v>44433.774799999999</v>
      </c>
      <c r="AC721" s="24">
        <f t="shared" si="307"/>
        <v>-1.0580497278805627E-2</v>
      </c>
      <c r="AE721" s="5">
        <f t="shared" si="308"/>
        <v>1355.974929138747</v>
      </c>
      <c r="AF721" s="6">
        <f t="shared" si="309"/>
        <v>1859.8432212041153</v>
      </c>
      <c r="AH721" s="1">
        <f t="shared" si="310"/>
        <v>43728</v>
      </c>
      <c r="AI721">
        <f t="shared" si="311"/>
        <v>0.72908023304289615</v>
      </c>
      <c r="AJ721">
        <f t="shared" ca="1" si="312"/>
        <v>0.52080572452313911</v>
      </c>
      <c r="AK721">
        <f t="shared" ca="1" si="313"/>
        <v>0.56933534018483289</v>
      </c>
      <c r="AL721">
        <f t="shared" ca="1" si="314"/>
        <v>0.60796394956883892</v>
      </c>
      <c r="AM721">
        <f t="shared" ca="1" si="315"/>
        <v>0.63270510784986644</v>
      </c>
      <c r="AN721">
        <f t="shared" ca="1" si="316"/>
        <v>0.65349532882629147</v>
      </c>
    </row>
    <row r="722" spans="2:40" x14ac:dyDescent="0.25">
      <c r="B722" s="1">
        <v>43735</v>
      </c>
      <c r="C722">
        <v>19.350999999999999</v>
      </c>
      <c r="D722">
        <v>11.462</v>
      </c>
      <c r="E722">
        <v>61.53</v>
      </c>
      <c r="G722">
        <v>28877.51</v>
      </c>
      <c r="I722" s="14">
        <f t="shared" si="299"/>
        <v>-4.8483060431725455E-2</v>
      </c>
      <c r="J722" s="15">
        <f t="shared" si="300"/>
        <v>-6.5008234376354723E-3</v>
      </c>
      <c r="K722" s="15">
        <f t="shared" si="301"/>
        <v>-2.347283721373139E-2</v>
      </c>
      <c r="L722" s="15"/>
      <c r="M722" s="16">
        <f t="shared" si="302"/>
        <v>-3.9352358546742128E-2</v>
      </c>
      <c r="O722" s="13">
        <f t="shared" si="303"/>
        <v>-2.6152240361030771E-2</v>
      </c>
      <c r="Q722" s="5">
        <f t="shared" si="304"/>
        <v>1778.8362687111057</v>
      </c>
      <c r="R722" s="6">
        <f t="shared" si="305"/>
        <v>1786.6540039225631</v>
      </c>
      <c r="T722" s="11">
        <f t="shared" si="306"/>
        <v>0.99562437092224143</v>
      </c>
      <c r="V722" s="9">
        <v>43735</v>
      </c>
      <c r="W722">
        <v>60480</v>
      </c>
      <c r="X722">
        <v>69111.5386</v>
      </c>
      <c r="Y722">
        <v>43390.728499999997</v>
      </c>
      <c r="AC722" s="24">
        <f t="shared" si="307"/>
        <v>-2.5776442995804266E-2</v>
      </c>
      <c r="AE722" s="5">
        <f t="shared" si="308"/>
        <v>1321.0227186740624</v>
      </c>
      <c r="AF722" s="6">
        <f t="shared" si="309"/>
        <v>1786.6540039225631</v>
      </c>
      <c r="AH722" s="1">
        <f t="shared" si="310"/>
        <v>43735</v>
      </c>
      <c r="AI722">
        <f t="shared" si="311"/>
        <v>0.73938362759313425</v>
      </c>
      <c r="AJ722">
        <f t="shared" ca="1" si="312"/>
        <v>0.52080572452313911</v>
      </c>
      <c r="AK722">
        <f t="shared" ca="1" si="313"/>
        <v>0.56933534018483289</v>
      </c>
      <c r="AL722">
        <f t="shared" ca="1" si="314"/>
        <v>0.60856621306205971</v>
      </c>
      <c r="AM722">
        <f t="shared" ca="1" si="315"/>
        <v>0.63455589507693433</v>
      </c>
      <c r="AN722">
        <f t="shared" ca="1" si="316"/>
        <v>0.65569405319677387</v>
      </c>
    </row>
    <row r="723" spans="2:40" x14ac:dyDescent="0.25">
      <c r="B723" s="1">
        <v>43742</v>
      </c>
      <c r="C723">
        <v>20.247</v>
      </c>
      <c r="D723">
        <v>12.773</v>
      </c>
      <c r="E723">
        <v>69.221000000000004</v>
      </c>
      <c r="G723">
        <v>31816.5</v>
      </c>
      <c r="I723" s="14">
        <f t="shared" si="299"/>
        <v>4.6302516665805538E-2</v>
      </c>
      <c r="J723" s="15">
        <f t="shared" si="300"/>
        <v>0.11437794451230143</v>
      </c>
      <c r="K723" s="15">
        <f t="shared" si="301"/>
        <v>0.12499593694132938</v>
      </c>
      <c r="L723" s="15"/>
      <c r="M723" s="16">
        <f t="shared" si="302"/>
        <v>0.10177435658406853</v>
      </c>
      <c r="O723" s="13">
        <f t="shared" si="303"/>
        <v>9.5225466039812121E-2</v>
      </c>
      <c r="Q723" s="5">
        <f t="shared" si="304"/>
        <v>1948.2267814076413</v>
      </c>
      <c r="R723" s="6">
        <f t="shared" si="305"/>
        <v>1968.4895656101319</v>
      </c>
      <c r="T723" s="11">
        <f t="shared" si="306"/>
        <v>0.98970643047518003</v>
      </c>
      <c r="V723" s="9">
        <v>43742</v>
      </c>
      <c r="W723">
        <v>63280</v>
      </c>
      <c r="X723">
        <v>77016.453099999999</v>
      </c>
      <c r="Y723">
        <v>48814.569499999998</v>
      </c>
      <c r="AC723" s="24">
        <f t="shared" si="307"/>
        <v>9.3240058469107892E-2</v>
      </c>
      <c r="AE723" s="5">
        <f t="shared" si="308"/>
        <v>1444.1949542022519</v>
      </c>
      <c r="AF723" s="6">
        <f t="shared" si="309"/>
        <v>1968.4895656101319</v>
      </c>
      <c r="AH723" s="1">
        <f t="shared" si="310"/>
        <v>43742</v>
      </c>
      <c r="AI723">
        <f t="shared" si="311"/>
        <v>0.73365639291800089</v>
      </c>
      <c r="AJ723">
        <f t="shared" ca="1" si="312"/>
        <v>0.52080572452313911</v>
      </c>
      <c r="AK723">
        <f t="shared" ca="1" si="313"/>
        <v>0.56933534018483289</v>
      </c>
      <c r="AL723">
        <f t="shared" ca="1" si="314"/>
        <v>0.60856621306205971</v>
      </c>
      <c r="AM723">
        <f t="shared" ca="1" si="315"/>
        <v>0.63455589507693433</v>
      </c>
      <c r="AN723">
        <f t="shared" ca="1" si="316"/>
        <v>0.69441071356597006</v>
      </c>
    </row>
    <row r="724" spans="2:40" x14ac:dyDescent="0.25">
      <c r="B724" s="1">
        <v>43749</v>
      </c>
      <c r="C724">
        <v>22.398</v>
      </c>
      <c r="D724">
        <v>12.734999999999999</v>
      </c>
      <c r="E724">
        <v>69.474999999999994</v>
      </c>
      <c r="G724">
        <v>31798.11</v>
      </c>
      <c r="I724" s="14">
        <f t="shared" si="299"/>
        <v>0.10623796117943396</v>
      </c>
      <c r="J724" s="15">
        <f t="shared" si="300"/>
        <v>-2.9750254442966195E-3</v>
      </c>
      <c r="K724" s="15">
        <f t="shared" si="301"/>
        <v>3.6694066829427996E-3</v>
      </c>
      <c r="L724" s="15"/>
      <c r="M724" s="16">
        <f t="shared" si="302"/>
        <v>-5.7800198010460324E-4</v>
      </c>
      <c r="O724" s="13">
        <f t="shared" si="303"/>
        <v>3.5644114139360049E-2</v>
      </c>
      <c r="Q724" s="5">
        <f t="shared" si="304"/>
        <v>2017.6695991734932</v>
      </c>
      <c r="R724" s="6">
        <f t="shared" si="305"/>
        <v>1967.3517747433939</v>
      </c>
      <c r="T724" s="11">
        <f t="shared" si="306"/>
        <v>1.0255764246516932</v>
      </c>
      <c r="V724" s="9">
        <v>43749</v>
      </c>
      <c r="W724">
        <v>70000</v>
      </c>
      <c r="X724">
        <v>76790.598400000003</v>
      </c>
      <c r="Y724">
        <v>48993.377500000002</v>
      </c>
      <c r="AC724" s="24">
        <f t="shared" si="307"/>
        <v>3.5284737460781306E-2</v>
      </c>
      <c r="AE724" s="5">
        <f t="shared" si="308"/>
        <v>1495.1529940034634</v>
      </c>
      <c r="AF724" s="6">
        <f t="shared" si="309"/>
        <v>1967.3517747433939</v>
      </c>
      <c r="AH724" s="1">
        <f t="shared" si="310"/>
        <v>43749</v>
      </c>
      <c r="AI724">
        <f t="shared" si="311"/>
        <v>0.75998253754007961</v>
      </c>
      <c r="AJ724">
        <f t="shared" ca="1" si="312"/>
        <v>0.52080572452313911</v>
      </c>
      <c r="AK724">
        <f t="shared" ca="1" si="313"/>
        <v>0.56933534018483289</v>
      </c>
      <c r="AL724">
        <f t="shared" ca="1" si="314"/>
        <v>0.60856621306205971</v>
      </c>
      <c r="AM724">
        <f t="shared" ca="1" si="315"/>
        <v>0.63519714389783521</v>
      </c>
      <c r="AN724">
        <f t="shared" ca="1" si="316"/>
        <v>0.70173392413576763</v>
      </c>
    </row>
    <row r="725" spans="2:40" x14ac:dyDescent="0.25">
      <c r="B725" s="1">
        <v>43756</v>
      </c>
      <c r="C725">
        <v>22.263000000000002</v>
      </c>
      <c r="D725">
        <v>12.436</v>
      </c>
      <c r="E725">
        <v>73.658000000000001</v>
      </c>
      <c r="G725">
        <v>31968.47</v>
      </c>
      <c r="I725" s="14">
        <f t="shared" si="299"/>
        <v>-6.0273238682024832E-3</v>
      </c>
      <c r="J725" s="15">
        <f t="shared" si="300"/>
        <v>-2.3478602277188787E-2</v>
      </c>
      <c r="K725" s="15">
        <f t="shared" si="301"/>
        <v>6.0208708168405956E-2</v>
      </c>
      <c r="L725" s="15"/>
      <c r="M725" s="16">
        <f t="shared" si="302"/>
        <v>5.357551124894E-3</v>
      </c>
      <c r="O725" s="13">
        <f t="shared" si="303"/>
        <v>1.0234260674338228E-2</v>
      </c>
      <c r="Q725" s="5">
        <f t="shared" si="304"/>
        <v>2038.3189558061222</v>
      </c>
      <c r="R725" s="6">
        <f t="shared" si="305"/>
        <v>1977.8919624572325</v>
      </c>
      <c r="T725" s="11">
        <f t="shared" si="306"/>
        <v>1.0305512103268868</v>
      </c>
      <c r="V725" s="9">
        <v>43756</v>
      </c>
      <c r="W725">
        <v>69580</v>
      </c>
      <c r="X725">
        <v>74983.760800000004</v>
      </c>
      <c r="Y725">
        <v>51943.708599999998</v>
      </c>
      <c r="AC725" s="24">
        <f t="shared" si="307"/>
        <v>3.7029556454468895E-3</v>
      </c>
      <c r="AE725" s="5">
        <f t="shared" si="308"/>
        <v>1500.6894792234152</v>
      </c>
      <c r="AF725" s="6">
        <f t="shared" si="309"/>
        <v>1977.8919624572325</v>
      </c>
      <c r="AH725" s="1">
        <f t="shared" si="310"/>
        <v>43756</v>
      </c>
      <c r="AI725">
        <f t="shared" si="311"/>
        <v>0.75873177489382937</v>
      </c>
      <c r="AJ725">
        <f t="shared" ca="1" si="312"/>
        <v>0.52080572452313911</v>
      </c>
      <c r="AK725">
        <f t="shared" ca="1" si="313"/>
        <v>0.56933534018483289</v>
      </c>
      <c r="AL725">
        <f t="shared" ca="1" si="314"/>
        <v>0.60856621306205971</v>
      </c>
      <c r="AM725">
        <f t="shared" ca="1" si="315"/>
        <v>0.6377738424343079</v>
      </c>
      <c r="AN725">
        <f t="shared" ca="1" si="316"/>
        <v>0.7242256309387195</v>
      </c>
    </row>
    <row r="726" spans="2:40" x14ac:dyDescent="0.25">
      <c r="B726" s="1">
        <v>43763</v>
      </c>
      <c r="C726">
        <v>24.951000000000001</v>
      </c>
      <c r="D726">
        <v>14.532999999999999</v>
      </c>
      <c r="E726">
        <v>82.153000000000006</v>
      </c>
      <c r="G726">
        <v>34522.25</v>
      </c>
      <c r="I726" s="14">
        <f t="shared" si="299"/>
        <v>0.12073844495351027</v>
      </c>
      <c r="J726" s="15">
        <f t="shared" si="300"/>
        <v>0.16862335155998709</v>
      </c>
      <c r="K726" s="15">
        <f t="shared" si="301"/>
        <v>0.11533031035325436</v>
      </c>
      <c r="L726" s="15"/>
      <c r="M726" s="16">
        <f t="shared" si="302"/>
        <v>7.9884336034849346E-2</v>
      </c>
      <c r="O726" s="13">
        <f t="shared" si="303"/>
        <v>0.13489736895558391</v>
      </c>
      <c r="Q726" s="5">
        <f t="shared" si="304"/>
        <v>2313.2828200366612</v>
      </c>
      <c r="R726" s="6">
        <f t="shared" si="305"/>
        <v>2135.8945486267935</v>
      </c>
      <c r="T726" s="11">
        <f t="shared" si="306"/>
        <v>1.083051043659395</v>
      </c>
      <c r="V726" s="9">
        <v>43763</v>
      </c>
      <c r="W726">
        <v>77980</v>
      </c>
      <c r="X726">
        <v>87631.623999999996</v>
      </c>
      <c r="Y726">
        <v>57933.774799999999</v>
      </c>
      <c r="AC726" s="24">
        <f t="shared" si="307"/>
        <v>0.13758091829699493</v>
      </c>
      <c r="AE726" s="5">
        <f t="shared" si="308"/>
        <v>1707.1557158536118</v>
      </c>
      <c r="AF726" s="6">
        <f t="shared" si="309"/>
        <v>2135.8945486267935</v>
      </c>
      <c r="AH726" s="1">
        <f t="shared" si="310"/>
        <v>43763</v>
      </c>
      <c r="AI726">
        <f t="shared" si="311"/>
        <v>0.79926966289191304</v>
      </c>
      <c r="AJ726">
        <f t="shared" ca="1" si="312"/>
        <v>0.52080572452313911</v>
      </c>
      <c r="AK726">
        <f t="shared" ca="1" si="313"/>
        <v>0.56933534018483289</v>
      </c>
      <c r="AL726">
        <f t="shared" ca="1" si="314"/>
        <v>0.60856621306205971</v>
      </c>
      <c r="AM726">
        <f t="shared" ca="1" si="315"/>
        <v>0.63781829464162199</v>
      </c>
      <c r="AN726">
        <f t="shared" ca="1" si="316"/>
        <v>0.72884093546403739</v>
      </c>
    </row>
    <row r="727" spans="2:40" x14ac:dyDescent="0.25">
      <c r="B727" s="1">
        <v>43770</v>
      </c>
      <c r="C727">
        <v>33.402999999999999</v>
      </c>
      <c r="D727">
        <v>18.728000000000002</v>
      </c>
      <c r="E727">
        <v>81.433999999999997</v>
      </c>
      <c r="G727">
        <v>35743.040000000001</v>
      </c>
      <c r="I727" s="14">
        <f t="shared" si="299"/>
        <v>0.33874393811871251</v>
      </c>
      <c r="J727" s="15">
        <f t="shared" si="300"/>
        <v>0.28865340948186891</v>
      </c>
      <c r="K727" s="15">
        <f t="shared" si="301"/>
        <v>-8.7519628011151207E-3</v>
      </c>
      <c r="L727" s="15"/>
      <c r="M727" s="16">
        <f t="shared" si="302"/>
        <v>3.5362411198574861E-2</v>
      </c>
      <c r="O727" s="13">
        <f t="shared" si="303"/>
        <v>0.20621512826648877</v>
      </c>
      <c r="Q727" s="5">
        <f t="shared" si="304"/>
        <v>2790.3167334871864</v>
      </c>
      <c r="R727" s="6">
        <f t="shared" si="305"/>
        <v>2211.4249299321286</v>
      </c>
      <c r="T727" s="11">
        <f t="shared" si="306"/>
        <v>1.2617732104398518</v>
      </c>
      <c r="V727" s="9">
        <v>43770</v>
      </c>
      <c r="W727">
        <v>102760</v>
      </c>
      <c r="X727">
        <v>112927.35060000001</v>
      </c>
      <c r="Y727">
        <v>57427.152300000002</v>
      </c>
      <c r="AC727" s="24">
        <f t="shared" si="307"/>
        <v>0.22905139346823622</v>
      </c>
      <c r="AE727" s="5">
        <f t="shared" si="308"/>
        <v>2098.182111437146</v>
      </c>
      <c r="AF727" s="6">
        <f t="shared" si="309"/>
        <v>2211.4249299321286</v>
      </c>
      <c r="AH727" s="1">
        <f t="shared" si="310"/>
        <v>43770</v>
      </c>
      <c r="AI727">
        <f t="shared" si="311"/>
        <v>0.94879192281762947</v>
      </c>
      <c r="AJ727">
        <f t="shared" ca="1" si="312"/>
        <v>0.52080572452313911</v>
      </c>
      <c r="AK727">
        <f t="shared" ca="1" si="313"/>
        <v>0.56933534018483289</v>
      </c>
      <c r="AL727">
        <f t="shared" ca="1" si="314"/>
        <v>0.60856621306205971</v>
      </c>
      <c r="AM727">
        <f t="shared" ca="1" si="315"/>
        <v>0.64064942959836568</v>
      </c>
      <c r="AN727">
        <f t="shared" ca="1" si="316"/>
        <v>0.7331987769304904</v>
      </c>
    </row>
    <row r="728" spans="2:40" x14ac:dyDescent="0.25">
      <c r="B728" s="1">
        <v>43777</v>
      </c>
      <c r="C728">
        <v>28.17</v>
      </c>
      <c r="D728">
        <v>17.23</v>
      </c>
      <c r="E728">
        <v>76.659000000000006</v>
      </c>
      <c r="G728">
        <v>34131.050000000003</v>
      </c>
      <c r="I728" s="14">
        <f t="shared" si="299"/>
        <v>-0.1566625752177947</v>
      </c>
      <c r="J728" s="15">
        <f t="shared" si="300"/>
        <v>-7.9987184963690838E-2</v>
      </c>
      <c r="K728" s="15">
        <f t="shared" si="301"/>
        <v>-5.8636441781074189E-2</v>
      </c>
      <c r="L728" s="15"/>
      <c r="M728" s="16">
        <f t="shared" si="302"/>
        <v>-4.5099409563372328E-2</v>
      </c>
      <c r="O728" s="13">
        <f t="shared" si="303"/>
        <v>-9.8428733987519904E-2</v>
      </c>
      <c r="Q728" s="5">
        <f t="shared" si="304"/>
        <v>2515.6693899858506</v>
      </c>
      <c r="R728" s="6">
        <f t="shared" si="305"/>
        <v>2111.6909712984675</v>
      </c>
      <c r="T728" s="11">
        <f t="shared" si="306"/>
        <v>1.1913056522844243</v>
      </c>
      <c r="V728" s="9">
        <v>43777</v>
      </c>
      <c r="W728">
        <v>86660</v>
      </c>
      <c r="X728">
        <v>103893.16250000001</v>
      </c>
      <c r="Y728">
        <v>54059.602599999998</v>
      </c>
      <c r="AC728" s="24">
        <f t="shared" si="307"/>
        <v>-0.10434711697536211</v>
      </c>
      <c r="AE728" s="5">
        <f t="shared" si="308"/>
        <v>1879.2428572194017</v>
      </c>
      <c r="AF728" s="6">
        <f t="shared" si="309"/>
        <v>2111.6909712984675</v>
      </c>
      <c r="AH728" s="1">
        <f t="shared" si="310"/>
        <v>43777</v>
      </c>
      <c r="AI728">
        <f t="shared" si="311"/>
        <v>0.88992323344729984</v>
      </c>
      <c r="AJ728">
        <f t="shared" ca="1" si="312"/>
        <v>0.52080572452313911</v>
      </c>
      <c r="AK728">
        <f t="shared" ca="1" si="313"/>
        <v>0.56933534018483289</v>
      </c>
      <c r="AL728">
        <f t="shared" ca="1" si="314"/>
        <v>0.60856621306205971</v>
      </c>
      <c r="AM728">
        <f t="shared" ca="1" si="315"/>
        <v>0.64566390501770787</v>
      </c>
      <c r="AN728">
        <f t="shared" ca="1" si="316"/>
        <v>0.73488619895016694</v>
      </c>
    </row>
    <row r="729" spans="2:40" x14ac:dyDescent="0.25">
      <c r="B729" s="1">
        <v>43784</v>
      </c>
      <c r="C729">
        <v>29.216999999999999</v>
      </c>
      <c r="D729">
        <v>16.219000000000001</v>
      </c>
      <c r="E729">
        <v>79.363</v>
      </c>
      <c r="G729">
        <v>31851.61</v>
      </c>
      <c r="I729" s="14">
        <f t="shared" si="299"/>
        <v>3.7167199148029795E-2</v>
      </c>
      <c r="J729" s="15">
        <f t="shared" si="300"/>
        <v>-5.8676726639582122E-2</v>
      </c>
      <c r="K729" s="15">
        <f t="shared" si="301"/>
        <v>3.527309252664379E-2</v>
      </c>
      <c r="L729" s="15"/>
      <c r="M729" s="16">
        <f t="shared" si="302"/>
        <v>-6.6784936297008213E-2</v>
      </c>
      <c r="O729" s="13">
        <f t="shared" si="303"/>
        <v>4.5878550116971546E-3</v>
      </c>
      <c r="Q729" s="5">
        <f t="shared" si="304"/>
        <v>2527.21091640447</v>
      </c>
      <c r="R729" s="6">
        <f t="shared" si="305"/>
        <v>1970.661824301332</v>
      </c>
      <c r="T729" s="11">
        <f t="shared" si="306"/>
        <v>1.2824173509833194</v>
      </c>
      <c r="V729" s="9">
        <v>43784</v>
      </c>
      <c r="W729">
        <v>89880</v>
      </c>
      <c r="X729">
        <v>97795.085600000006</v>
      </c>
      <c r="Y729">
        <v>55966.8874</v>
      </c>
      <c r="AC729" s="24">
        <f t="shared" si="307"/>
        <v>-3.9587134903064352E-3</v>
      </c>
      <c r="AE729" s="5">
        <f t="shared" si="308"/>
        <v>1871.8034731689652</v>
      </c>
      <c r="AF729" s="6">
        <f t="shared" si="309"/>
        <v>1970.661824301332</v>
      </c>
      <c r="AH729" s="1">
        <f t="shared" si="310"/>
        <v>43784</v>
      </c>
      <c r="AI729">
        <f t="shared" si="311"/>
        <v>0.94983494889214926</v>
      </c>
      <c r="AJ729">
        <f t="shared" ca="1" si="312"/>
        <v>0.52080572452313911</v>
      </c>
      <c r="AK729">
        <f t="shared" ca="1" si="313"/>
        <v>0.56933534018483289</v>
      </c>
      <c r="AL729">
        <f t="shared" ca="1" si="314"/>
        <v>0.60856621306205971</v>
      </c>
      <c r="AM729">
        <f t="shared" ca="1" si="315"/>
        <v>0.64593998555615029</v>
      </c>
      <c r="AN729">
        <f t="shared" ca="1" si="316"/>
        <v>0.73894754924030603</v>
      </c>
    </row>
    <row r="730" spans="2:40" x14ac:dyDescent="0.25">
      <c r="B730" s="1">
        <v>43791</v>
      </c>
      <c r="C730">
        <v>32.084000000000003</v>
      </c>
      <c r="D730">
        <v>18.541</v>
      </c>
      <c r="E730">
        <v>82.828999999999994</v>
      </c>
      <c r="G730">
        <v>33588.83</v>
      </c>
      <c r="I730" s="14">
        <f t="shared" si="299"/>
        <v>9.8127802306876344E-2</v>
      </c>
      <c r="J730" s="15">
        <f t="shared" si="300"/>
        <v>0.14316542326900539</v>
      </c>
      <c r="K730" s="15">
        <f t="shared" si="301"/>
        <v>4.3672744225898619E-2</v>
      </c>
      <c r="L730" s="15"/>
      <c r="M730" s="16">
        <f t="shared" si="302"/>
        <v>5.4541042038377396E-2</v>
      </c>
      <c r="O730" s="13">
        <f t="shared" si="303"/>
        <v>9.4988656600593455E-2</v>
      </c>
      <c r="Q730" s="5">
        <f t="shared" si="304"/>
        <v>2767.2672863000853</v>
      </c>
      <c r="R730" s="6">
        <f t="shared" si="305"/>
        <v>2078.1437737039764</v>
      </c>
      <c r="T730" s="11">
        <f t="shared" si="306"/>
        <v>1.3316053111031152</v>
      </c>
      <c r="V730" s="9">
        <v>43791</v>
      </c>
      <c r="W730">
        <v>98700</v>
      </c>
      <c r="X730">
        <v>111798.07709999999</v>
      </c>
      <c r="Y730">
        <v>58410.595999999998</v>
      </c>
      <c r="AC730" s="24">
        <f t="shared" si="307"/>
        <v>0.10369653858218644</v>
      </c>
      <c r="AE730" s="5">
        <f t="shared" si="308"/>
        <v>2065.9030142427014</v>
      </c>
      <c r="AF730" s="6">
        <f t="shared" si="309"/>
        <v>2078.1437737039764</v>
      </c>
      <c r="AH730" s="1">
        <f t="shared" si="310"/>
        <v>43791</v>
      </c>
      <c r="AI730">
        <f t="shared" si="311"/>
        <v>0.99410976294510289</v>
      </c>
      <c r="AJ730">
        <f t="shared" ca="1" si="312"/>
        <v>0.52080572452313911</v>
      </c>
      <c r="AK730">
        <f t="shared" ca="1" si="313"/>
        <v>0.56933534018483289</v>
      </c>
      <c r="AL730">
        <f t="shared" ca="1" si="314"/>
        <v>0.60856621306205971</v>
      </c>
      <c r="AM730">
        <f t="shared" ca="1" si="315"/>
        <v>0.6566639378211</v>
      </c>
      <c r="AN730">
        <f t="shared" ca="1" si="316"/>
        <v>0.75679696016375986</v>
      </c>
    </row>
    <row r="731" spans="2:40" x14ac:dyDescent="0.25">
      <c r="B731" s="1">
        <v>43798</v>
      </c>
      <c r="C731">
        <v>32.037999999999997</v>
      </c>
      <c r="D731">
        <v>17.829000000000001</v>
      </c>
      <c r="E731">
        <v>83.632000000000005</v>
      </c>
      <c r="G731">
        <v>34500.21</v>
      </c>
      <c r="I731" s="14">
        <f t="shared" si="299"/>
        <v>-1.4337364418404164E-3</v>
      </c>
      <c r="J731" s="15">
        <f t="shared" si="300"/>
        <v>-3.8401380723801282E-2</v>
      </c>
      <c r="K731" s="15">
        <f t="shared" si="301"/>
        <v>9.6946721558874849E-3</v>
      </c>
      <c r="L731" s="15"/>
      <c r="M731" s="16">
        <f t="shared" si="302"/>
        <v>2.713342501063587E-2</v>
      </c>
      <c r="O731" s="13">
        <f t="shared" si="303"/>
        <v>-1.0046815003251405E-2</v>
      </c>
      <c r="Q731" s="5">
        <f t="shared" si="304"/>
        <v>2739.4650638100788</v>
      </c>
      <c r="R731" s="6">
        <f t="shared" si="305"/>
        <v>2134.530931949093</v>
      </c>
      <c r="T731" s="11">
        <f t="shared" si="306"/>
        <v>1.283403778697461</v>
      </c>
      <c r="V731" s="9">
        <v>43798</v>
      </c>
      <c r="W731">
        <v>98560</v>
      </c>
      <c r="X731">
        <v>107506.8377</v>
      </c>
      <c r="Y731">
        <v>58976.821199999998</v>
      </c>
      <c r="AC731" s="24">
        <f t="shared" si="307"/>
        <v>-1.4385697145688848E-2</v>
      </c>
      <c r="AE731" s="5">
        <f t="shared" si="308"/>
        <v>2036.1835591474403</v>
      </c>
      <c r="AF731" s="6">
        <f t="shared" si="309"/>
        <v>2134.530931949093</v>
      </c>
      <c r="AH731" s="1">
        <f t="shared" si="310"/>
        <v>43798</v>
      </c>
      <c r="AI731">
        <f t="shared" si="311"/>
        <v>0.95392553402266733</v>
      </c>
      <c r="AJ731">
        <f t="shared" ca="1" si="312"/>
        <v>0.52080572452313911</v>
      </c>
      <c r="AK731">
        <f t="shared" ca="1" si="313"/>
        <v>0.56933534018483289</v>
      </c>
      <c r="AL731">
        <f t="shared" ca="1" si="314"/>
        <v>0.60856621306205971</v>
      </c>
      <c r="AM731">
        <f t="shared" ca="1" si="315"/>
        <v>0.69954296937856597</v>
      </c>
      <c r="AN731">
        <f t="shared" ca="1" si="316"/>
        <v>0.75985746127545462</v>
      </c>
    </row>
    <row r="732" spans="2:40" x14ac:dyDescent="0.25">
      <c r="B732" s="1">
        <v>43805</v>
      </c>
      <c r="C732">
        <v>28.67</v>
      </c>
      <c r="D732">
        <v>17.117999999999999</v>
      </c>
      <c r="E732">
        <v>83.081999999999994</v>
      </c>
      <c r="G732">
        <v>36561.949999999997</v>
      </c>
      <c r="I732" s="14">
        <f t="shared" si="299"/>
        <v>-0.10512516386790671</v>
      </c>
      <c r="J732" s="15">
        <f t="shared" si="300"/>
        <v>-3.9878849066128375E-2</v>
      </c>
      <c r="K732" s="15">
        <f t="shared" si="301"/>
        <v>-6.5764300746127269E-3</v>
      </c>
      <c r="L732" s="15"/>
      <c r="M732" s="16">
        <f t="shared" si="302"/>
        <v>5.9760215952308737E-2</v>
      </c>
      <c r="O732" s="13">
        <f t="shared" si="303"/>
        <v>-5.052681433621594E-2</v>
      </c>
      <c r="Q732" s="5">
        <f t="shared" si="304"/>
        <v>2601.0486211503971</v>
      </c>
      <c r="R732" s="6">
        <f t="shared" si="305"/>
        <v>2262.0909613992535</v>
      </c>
      <c r="T732" s="11">
        <f t="shared" si="306"/>
        <v>1.149842630351821</v>
      </c>
      <c r="V732" s="9">
        <v>43805</v>
      </c>
      <c r="W732">
        <v>88200</v>
      </c>
      <c r="X732">
        <v>103215.5984</v>
      </c>
      <c r="Y732">
        <v>58589.404000000002</v>
      </c>
      <c r="AC732" s="24">
        <f t="shared" si="307"/>
        <v>-5.6731189525850156E-2</v>
      </c>
      <c r="AE732" s="5">
        <f t="shared" si="308"/>
        <v>1920.6684437440267</v>
      </c>
      <c r="AF732" s="6">
        <f t="shared" si="309"/>
        <v>2262.0909613992535</v>
      </c>
      <c r="AH732" s="1">
        <f t="shared" si="310"/>
        <v>43805</v>
      </c>
      <c r="AI732">
        <f t="shared" si="311"/>
        <v>0.84906773269451807</v>
      </c>
      <c r="AJ732">
        <f t="shared" ca="1" si="312"/>
        <v>0.52080572452313911</v>
      </c>
      <c r="AK732">
        <f t="shared" ca="1" si="313"/>
        <v>0.56933534018483289</v>
      </c>
      <c r="AL732">
        <f t="shared" ca="1" si="314"/>
        <v>0.60856621306205971</v>
      </c>
      <c r="AM732">
        <f t="shared" ca="1" si="315"/>
        <v>0.70822505988738782</v>
      </c>
      <c r="AN732">
        <f t="shared" ca="1" si="316"/>
        <v>0.79534095035672969</v>
      </c>
    </row>
    <row r="733" spans="2:40" x14ac:dyDescent="0.25">
      <c r="B733" s="1">
        <v>43812</v>
      </c>
      <c r="C733">
        <v>29.672000000000001</v>
      </c>
      <c r="D733">
        <v>17.38</v>
      </c>
      <c r="E733">
        <v>86.04</v>
      </c>
      <c r="G733">
        <v>36769.589999999997</v>
      </c>
      <c r="I733" s="14">
        <f t="shared" si="299"/>
        <v>3.4949424485524849E-2</v>
      </c>
      <c r="J733" s="15">
        <f t="shared" si="300"/>
        <v>1.5305526346535814E-2</v>
      </c>
      <c r="K733" s="15">
        <f t="shared" si="301"/>
        <v>3.5603379793457179E-2</v>
      </c>
      <c r="L733" s="15"/>
      <c r="M733" s="16">
        <f t="shared" si="302"/>
        <v>5.6791281646628722E-3</v>
      </c>
      <c r="O733" s="13">
        <f t="shared" si="303"/>
        <v>2.861944354183928E-2</v>
      </c>
      <c r="Q733" s="5">
        <f t="shared" si="304"/>
        <v>2675.4891853129898</v>
      </c>
      <c r="R733" s="6">
        <f t="shared" si="305"/>
        <v>2274.9376658891651</v>
      </c>
      <c r="T733" s="11">
        <f t="shared" si="306"/>
        <v>1.1760714262328009</v>
      </c>
      <c r="V733" s="9">
        <v>43812</v>
      </c>
      <c r="W733">
        <v>91280</v>
      </c>
      <c r="X733">
        <v>104796.58130000001</v>
      </c>
      <c r="Y733">
        <v>60675.496700000003</v>
      </c>
      <c r="AC733" s="24">
        <f t="shared" si="307"/>
        <v>2.699261629971389E-2</v>
      </c>
      <c r="AE733" s="5">
        <f t="shared" si="308"/>
        <v>1972.5123100849778</v>
      </c>
      <c r="AF733" s="6">
        <f t="shared" si="309"/>
        <v>2274.9376658891651</v>
      </c>
      <c r="AH733" s="1">
        <f t="shared" si="310"/>
        <v>43812</v>
      </c>
      <c r="AI733">
        <f t="shared" si="311"/>
        <v>0.86706213522295184</v>
      </c>
      <c r="AJ733">
        <f t="shared" ca="1" si="312"/>
        <v>0.52080572452313911</v>
      </c>
      <c r="AK733">
        <f t="shared" ca="1" si="313"/>
        <v>0.56933534018483289</v>
      </c>
      <c r="AL733">
        <f t="shared" ca="1" si="314"/>
        <v>0.60934527445426223</v>
      </c>
      <c r="AM733">
        <f t="shared" ca="1" si="315"/>
        <v>0.72728550120145585</v>
      </c>
      <c r="AN733">
        <f t="shared" ca="1" si="316"/>
        <v>0.8440879257142575</v>
      </c>
    </row>
    <row r="734" spans="2:40" x14ac:dyDescent="0.25">
      <c r="B734" s="1">
        <v>43819</v>
      </c>
      <c r="C734">
        <v>28.806999999999999</v>
      </c>
      <c r="D734">
        <v>18.504000000000001</v>
      </c>
      <c r="E734">
        <v>92.126000000000005</v>
      </c>
      <c r="G734">
        <v>38632.410000000003</v>
      </c>
      <c r="I734" s="14">
        <f t="shared" si="299"/>
        <v>-2.9152062550552804E-2</v>
      </c>
      <c r="J734" s="15">
        <f t="shared" si="300"/>
        <v>6.4672036823935741E-2</v>
      </c>
      <c r="K734" s="15">
        <f t="shared" si="301"/>
        <v>7.0734542073454199E-2</v>
      </c>
      <c r="L734" s="15"/>
      <c r="M734" s="16">
        <f t="shared" si="302"/>
        <v>5.0661973658123749E-2</v>
      </c>
      <c r="O734" s="13">
        <f t="shared" si="303"/>
        <v>3.5418172115612379E-2</v>
      </c>
      <c r="Q734" s="5">
        <f t="shared" si="304"/>
        <v>2770.250121771865</v>
      </c>
      <c r="R734" s="6">
        <f t="shared" si="305"/>
        <v>2390.1904979923156</v>
      </c>
      <c r="T734" s="11">
        <f t="shared" si="306"/>
        <v>1.1590080891455252</v>
      </c>
      <c r="V734" s="9">
        <v>43819</v>
      </c>
      <c r="W734">
        <v>88620</v>
      </c>
      <c r="X734">
        <v>111572.2224</v>
      </c>
      <c r="Y734">
        <v>64966.8874</v>
      </c>
      <c r="AC734" s="24">
        <f t="shared" si="307"/>
        <v>3.274856287393163E-2</v>
      </c>
      <c r="AE734" s="5">
        <f t="shared" si="308"/>
        <v>2037.1092534913998</v>
      </c>
      <c r="AF734" s="6">
        <f t="shared" si="309"/>
        <v>2390.1904979923156</v>
      </c>
      <c r="AH734" s="1">
        <f t="shared" si="310"/>
        <v>43819</v>
      </c>
      <c r="AI734">
        <f t="shared" si="311"/>
        <v>0.85227903600257271</v>
      </c>
      <c r="AJ734">
        <f t="shared" ca="1" si="312"/>
        <v>0.52080572452313911</v>
      </c>
      <c r="AK734">
        <f t="shared" ca="1" si="313"/>
        <v>0.56933534018483289</v>
      </c>
      <c r="AL734">
        <f t="shared" ca="1" si="314"/>
        <v>0.61059176947181482</v>
      </c>
      <c r="AM734">
        <f t="shared" ca="1" si="315"/>
        <v>0.73022427301167236</v>
      </c>
      <c r="AN734">
        <f t="shared" ca="1" si="316"/>
        <v>0.86526269497010844</v>
      </c>
    </row>
    <row r="735" spans="2:40" x14ac:dyDescent="0.25">
      <c r="B735" s="1">
        <v>43826</v>
      </c>
      <c r="C735">
        <v>29.49</v>
      </c>
      <c r="D735">
        <v>19.253</v>
      </c>
      <c r="E735">
        <v>98</v>
      </c>
      <c r="G735">
        <v>41681.93</v>
      </c>
      <c r="I735" s="14">
        <f t="shared" si="299"/>
        <v>2.3709515048425667E-2</v>
      </c>
      <c r="J735" s="15">
        <f t="shared" si="300"/>
        <v>4.047773454388226E-2</v>
      </c>
      <c r="K735" s="15">
        <f t="shared" si="301"/>
        <v>6.3760501921281687E-2</v>
      </c>
      <c r="L735" s="15"/>
      <c r="M735" s="16">
        <f t="shared" si="302"/>
        <v>7.8936830500608179E-2</v>
      </c>
      <c r="O735" s="13">
        <f t="shared" si="303"/>
        <v>4.2649250504529869E-2</v>
      </c>
      <c r="Q735" s="5">
        <f t="shared" si="304"/>
        <v>2888.3992131755181</v>
      </c>
      <c r="R735" s="6">
        <f t="shared" si="305"/>
        <v>2578.8645601964995</v>
      </c>
      <c r="T735" s="11">
        <f t="shared" si="306"/>
        <v>1.1200274949512794</v>
      </c>
      <c r="V735" s="9">
        <v>43826</v>
      </c>
      <c r="W735">
        <v>90720</v>
      </c>
      <c r="X735">
        <v>116089.3164</v>
      </c>
      <c r="Y735">
        <v>69109.271500000003</v>
      </c>
      <c r="AC735" s="24">
        <f t="shared" si="307"/>
        <v>4.0578086799931877E-2</v>
      </c>
      <c r="AE735" s="5">
        <f t="shared" si="308"/>
        <v>2119.7712496005183</v>
      </c>
      <c r="AF735" s="6">
        <f t="shared" si="309"/>
        <v>2578.8645601964995</v>
      </c>
      <c r="AH735" s="1">
        <f t="shared" si="310"/>
        <v>43826</v>
      </c>
      <c r="AI735">
        <f t="shared" si="311"/>
        <v>0.82197851035612357</v>
      </c>
      <c r="AJ735">
        <f t="shared" ca="1" si="312"/>
        <v>0.52080572452313911</v>
      </c>
      <c r="AK735">
        <f t="shared" ca="1" si="313"/>
        <v>0.56933534018483289</v>
      </c>
      <c r="AL735">
        <f t="shared" ca="1" si="314"/>
        <v>0.61059176947181482</v>
      </c>
      <c r="AM735">
        <f t="shared" ca="1" si="315"/>
        <v>0.73399800570471374</v>
      </c>
      <c r="AN735">
        <f t="shared" ca="1" si="316"/>
        <v>0.86558382530091393</v>
      </c>
    </row>
    <row r="736" spans="2:40" x14ac:dyDescent="0.25">
      <c r="B736" s="1">
        <v>43833</v>
      </c>
      <c r="C736">
        <v>27.486999999999998</v>
      </c>
      <c r="D736">
        <v>18.016999999999999</v>
      </c>
      <c r="E736">
        <v>97.281000000000006</v>
      </c>
      <c r="G736">
        <v>40499.15</v>
      </c>
      <c r="I736" s="14">
        <f t="shared" si="299"/>
        <v>-6.7921329264157393E-2</v>
      </c>
      <c r="J736" s="15">
        <f t="shared" si="300"/>
        <v>-6.4197787357814451E-2</v>
      </c>
      <c r="K736" s="15">
        <f t="shared" si="301"/>
        <v>-7.3367346938775224E-3</v>
      </c>
      <c r="L736" s="15"/>
      <c r="M736" s="16">
        <f t="shared" si="302"/>
        <v>-2.8376325184558349E-2</v>
      </c>
      <c r="O736" s="13">
        <f t="shared" si="303"/>
        <v>-4.6485283771949791E-2</v>
      </c>
      <c r="Q736" s="5">
        <f t="shared" si="304"/>
        <v>2754.1311561043776</v>
      </c>
      <c r="R736" s="6">
        <f t="shared" si="305"/>
        <v>2505.6858608294306</v>
      </c>
      <c r="T736" s="11">
        <f t="shared" si="306"/>
        <v>1.0991526109313268</v>
      </c>
      <c r="V736" s="9">
        <v>43833</v>
      </c>
      <c r="W736">
        <v>84560</v>
      </c>
      <c r="X736">
        <v>108636.1113</v>
      </c>
      <c r="Y736">
        <v>68602.649000000005</v>
      </c>
      <c r="AC736" s="24">
        <f t="shared" si="307"/>
        <v>-5.1180084447975858E-2</v>
      </c>
      <c r="AE736" s="5">
        <f t="shared" si="308"/>
        <v>2011.2811780355726</v>
      </c>
      <c r="AF736" s="6">
        <f t="shared" si="309"/>
        <v>2505.6858608294306</v>
      </c>
      <c r="AH736" s="1">
        <f t="shared" si="310"/>
        <v>43833</v>
      </c>
      <c r="AI736">
        <f t="shared" si="311"/>
        <v>0.80268688484748829</v>
      </c>
      <c r="AJ736">
        <f t="shared" ca="1" si="312"/>
        <v>0.52080572452313911</v>
      </c>
      <c r="AK736">
        <f t="shared" ca="1" si="313"/>
        <v>0.56933534018483289</v>
      </c>
      <c r="AL736">
        <f t="shared" ca="1" si="314"/>
        <v>0.61059176947181482</v>
      </c>
      <c r="AM736">
        <f t="shared" ca="1" si="315"/>
        <v>0.73611303994692268</v>
      </c>
      <c r="AN736">
        <f t="shared" ca="1" si="316"/>
        <v>0.86558382530091393</v>
      </c>
    </row>
    <row r="737" spans="2:40" x14ac:dyDescent="0.25">
      <c r="B737" s="1">
        <v>43840</v>
      </c>
      <c r="C737">
        <v>26.532</v>
      </c>
      <c r="D737">
        <v>18.016999999999999</v>
      </c>
      <c r="E737">
        <v>99.055999999999997</v>
      </c>
      <c r="G737">
        <v>42740.38</v>
      </c>
      <c r="I737" s="14">
        <f t="shared" si="299"/>
        <v>-3.4743697020409581E-2</v>
      </c>
      <c r="J737" s="15">
        <f t="shared" si="300"/>
        <v>0</v>
      </c>
      <c r="K737" s="15">
        <f t="shared" si="301"/>
        <v>1.8246111779278484E-2</v>
      </c>
      <c r="L737" s="15"/>
      <c r="M737" s="16">
        <f t="shared" si="302"/>
        <v>5.5340173806116777E-2</v>
      </c>
      <c r="O737" s="13">
        <f t="shared" si="303"/>
        <v>-5.4991950803770324E-3</v>
      </c>
      <c r="Q737" s="5">
        <f t="shared" si="304"/>
        <v>2738.9856516000154</v>
      </c>
      <c r="R737" s="6">
        <f t="shared" si="305"/>
        <v>2644.3509518712608</v>
      </c>
      <c r="T737" s="11">
        <f t="shared" si="306"/>
        <v>1.0357874962329743</v>
      </c>
      <c r="V737" s="9">
        <v>43840</v>
      </c>
      <c r="W737">
        <v>81620</v>
      </c>
      <c r="X737">
        <v>108636.1113</v>
      </c>
      <c r="Y737">
        <v>69854.304600000003</v>
      </c>
      <c r="AC737" s="24">
        <f t="shared" si="307"/>
        <v>-6.4408074969682224E-3</v>
      </c>
      <c r="AE737" s="5">
        <f t="shared" si="308"/>
        <v>1998.32690314557</v>
      </c>
      <c r="AF737" s="6">
        <f t="shared" si="309"/>
        <v>2644.3509518712608</v>
      </c>
      <c r="AH737" s="1">
        <f t="shared" si="310"/>
        <v>43840</v>
      </c>
      <c r="AI737">
        <f t="shared" si="311"/>
        <v>0.75569655447264461</v>
      </c>
      <c r="AJ737">
        <f t="shared" ca="1" si="312"/>
        <v>0.52080572452313911</v>
      </c>
      <c r="AK737">
        <f t="shared" ca="1" si="313"/>
        <v>0.56933534018483289</v>
      </c>
      <c r="AL737">
        <f t="shared" ca="1" si="314"/>
        <v>0.61302007088264865</v>
      </c>
      <c r="AM737">
        <f t="shared" ca="1" si="315"/>
        <v>0.74422066441830803</v>
      </c>
      <c r="AN737">
        <f t="shared" ca="1" si="316"/>
        <v>0.86558382530091393</v>
      </c>
    </row>
    <row r="738" spans="2:40" x14ac:dyDescent="0.25">
      <c r="B738" s="1">
        <v>43847</v>
      </c>
      <c r="C738">
        <v>30.491</v>
      </c>
      <c r="D738">
        <v>19.852</v>
      </c>
      <c r="E738">
        <v>101.212</v>
      </c>
      <c r="G738">
        <v>42339.82</v>
      </c>
      <c r="I738" s="14">
        <f t="shared" si="299"/>
        <v>0.14921604100708574</v>
      </c>
      <c r="J738" s="15">
        <f t="shared" si="300"/>
        <v>0.10184825442637524</v>
      </c>
      <c r="K738" s="15">
        <f t="shared" si="301"/>
        <v>2.1765465999030953E-2</v>
      </c>
      <c r="L738" s="15"/>
      <c r="M738" s="16">
        <f t="shared" si="302"/>
        <v>-9.3719335204787146E-3</v>
      </c>
      <c r="O738" s="13">
        <f t="shared" si="303"/>
        <v>9.094325381083064E-2</v>
      </c>
      <c r="Q738" s="5">
        <f t="shared" si="304"/>
        <v>2988.077918897699</v>
      </c>
      <c r="R738" s="6">
        <f t="shared" si="305"/>
        <v>2619.5682705455088</v>
      </c>
      <c r="T738" s="11">
        <f t="shared" si="306"/>
        <v>1.1406757183982268</v>
      </c>
      <c r="V738" s="9">
        <v>43847</v>
      </c>
      <c r="W738">
        <v>93800</v>
      </c>
      <c r="X738">
        <v>119702.99159999999</v>
      </c>
      <c r="Y738">
        <v>71374.172200000001</v>
      </c>
      <c r="AC738" s="24">
        <f t="shared" si="307"/>
        <v>9.5205041968601953E-2</v>
      </c>
      <c r="AE738" s="5">
        <f t="shared" si="308"/>
        <v>2188.5776998265301</v>
      </c>
      <c r="AF738" s="6">
        <f t="shared" si="309"/>
        <v>2619.5682705455088</v>
      </c>
      <c r="AH738" s="1">
        <f t="shared" si="310"/>
        <v>43847</v>
      </c>
      <c r="AI738">
        <f t="shared" si="311"/>
        <v>0.83547267098741129</v>
      </c>
      <c r="AJ738">
        <f t="shared" ca="1" si="312"/>
        <v>0.52080572452313911</v>
      </c>
      <c r="AK738">
        <f t="shared" ca="1" si="313"/>
        <v>0.56933534018483289</v>
      </c>
      <c r="AL738">
        <f t="shared" ca="1" si="314"/>
        <v>0.61302007088264865</v>
      </c>
      <c r="AM738">
        <f t="shared" ca="1" si="315"/>
        <v>0.75645535957794086</v>
      </c>
      <c r="AN738">
        <f t="shared" ca="1" si="316"/>
        <v>0.86558382530091393</v>
      </c>
    </row>
    <row r="739" spans="2:40" x14ac:dyDescent="0.25">
      <c r="B739" s="1">
        <v>43854</v>
      </c>
      <c r="C739">
        <v>30.081</v>
      </c>
      <c r="D739">
        <v>17.904</v>
      </c>
      <c r="E739">
        <v>99.858999999999995</v>
      </c>
      <c r="G739">
        <v>39917.82</v>
      </c>
      <c r="I739" s="14">
        <f t="shared" si="299"/>
        <v>-1.3446590797284497E-2</v>
      </c>
      <c r="J739" s="15">
        <f t="shared" si="300"/>
        <v>-9.8126133387064329E-2</v>
      </c>
      <c r="K739" s="15">
        <f t="shared" si="301"/>
        <v>-1.3367980081413378E-2</v>
      </c>
      <c r="L739" s="15"/>
      <c r="M739" s="16">
        <f t="shared" si="302"/>
        <v>-5.7203833176428187E-2</v>
      </c>
      <c r="O739" s="13">
        <f t="shared" si="303"/>
        <v>-4.1646901421920735E-2</v>
      </c>
      <c r="Q739" s="5">
        <f t="shared" si="304"/>
        <v>2863.6337323683483</v>
      </c>
      <c r="R739" s="6">
        <f t="shared" si="305"/>
        <v>2469.718924202959</v>
      </c>
      <c r="T739" s="11">
        <f t="shared" si="306"/>
        <v>1.1594978296133498</v>
      </c>
      <c r="V739" s="9">
        <v>43854</v>
      </c>
      <c r="W739">
        <v>92540</v>
      </c>
      <c r="X739">
        <v>107958.5471</v>
      </c>
      <c r="Y739">
        <v>70420.529800000004</v>
      </c>
      <c r="AC739" s="24">
        <f t="shared" si="307"/>
        <v>-4.9008527968413082E-2</v>
      </c>
      <c r="AE739" s="5">
        <f t="shared" si="308"/>
        <v>2081.3187284135365</v>
      </c>
      <c r="AF739" s="6">
        <f t="shared" si="309"/>
        <v>2469.718924202959</v>
      </c>
      <c r="AH739" s="1">
        <f t="shared" si="310"/>
        <v>43854</v>
      </c>
      <c r="AI739">
        <f t="shared" si="311"/>
        <v>0.84273506106984664</v>
      </c>
      <c r="AJ739">
        <f t="shared" ca="1" si="312"/>
        <v>0.52080572452313911</v>
      </c>
      <c r="AK739">
        <f t="shared" ca="1" si="313"/>
        <v>0.56933534018483289</v>
      </c>
      <c r="AL739">
        <f t="shared" ca="1" si="314"/>
        <v>0.6164838068566314</v>
      </c>
      <c r="AM739">
        <f t="shared" ca="1" si="315"/>
        <v>0.75904446555539196</v>
      </c>
      <c r="AN739">
        <f t="shared" ca="1" si="316"/>
        <v>0.86558382530091393</v>
      </c>
    </row>
    <row r="740" spans="2:40" x14ac:dyDescent="0.25">
      <c r="B740" s="1">
        <v>43861</v>
      </c>
      <c r="C740">
        <v>29.672000000000001</v>
      </c>
      <c r="D740">
        <v>17.754999999999999</v>
      </c>
      <c r="E740">
        <v>98.760999999999996</v>
      </c>
      <c r="G740">
        <v>40105.040000000001</v>
      </c>
      <c r="I740" s="14">
        <f t="shared" si="299"/>
        <v>-1.3596622452710982E-2</v>
      </c>
      <c r="J740" s="15">
        <f t="shared" si="300"/>
        <v>-8.3221626452190112E-3</v>
      </c>
      <c r="K740" s="15">
        <f t="shared" si="301"/>
        <v>-1.0995503660160777E-2</v>
      </c>
      <c r="L740" s="15"/>
      <c r="M740" s="16">
        <f t="shared" si="302"/>
        <v>4.690135884173996E-3</v>
      </c>
      <c r="O740" s="13">
        <f t="shared" si="303"/>
        <v>-1.0971429586030257E-2</v>
      </c>
      <c r="Q740" s="5">
        <f t="shared" si="304"/>
        <v>2832.215576513488</v>
      </c>
      <c r="R740" s="6">
        <f t="shared" si="305"/>
        <v>2481.3022415531868</v>
      </c>
      <c r="T740" s="11">
        <f t="shared" si="306"/>
        <v>1.1414230516072257</v>
      </c>
      <c r="V740" s="9">
        <v>43861</v>
      </c>
      <c r="W740">
        <v>91280</v>
      </c>
      <c r="X740">
        <v>107055.1283</v>
      </c>
      <c r="Y740">
        <v>69645.695399999997</v>
      </c>
      <c r="AC740" s="24">
        <f t="shared" si="307"/>
        <v>-1.0818688947215932E-2</v>
      </c>
      <c r="AE740" s="5">
        <f t="shared" si="308"/>
        <v>2058.8015884908154</v>
      </c>
      <c r="AF740" s="6">
        <f t="shared" si="309"/>
        <v>2481.3022415531868</v>
      </c>
      <c r="AH740" s="1">
        <f t="shared" si="310"/>
        <v>43861</v>
      </c>
      <c r="AI740">
        <f t="shared" si="311"/>
        <v>0.82972624374936921</v>
      </c>
      <c r="AJ740">
        <f t="shared" ca="1" si="312"/>
        <v>0.52080572452313911</v>
      </c>
      <c r="AK740">
        <f t="shared" ca="1" si="313"/>
        <v>0.56933534018483289</v>
      </c>
      <c r="AL740">
        <f t="shared" ca="1" si="314"/>
        <v>0.62411966446255418</v>
      </c>
      <c r="AM740">
        <f t="shared" ca="1" si="315"/>
        <v>0.76980431887803791</v>
      </c>
      <c r="AN740">
        <f t="shared" ca="1" si="316"/>
        <v>0.86558382530091393</v>
      </c>
    </row>
    <row r="741" spans="2:40" x14ac:dyDescent="0.25">
      <c r="B741" s="1">
        <v>43868</v>
      </c>
      <c r="C741">
        <v>29.08</v>
      </c>
      <c r="D741">
        <v>17.792000000000002</v>
      </c>
      <c r="E741">
        <v>99.563999999999993</v>
      </c>
      <c r="G741">
        <v>41213.89</v>
      </c>
      <c r="I741" s="14">
        <f t="shared" si="299"/>
        <v>-1.9951469398759802E-2</v>
      </c>
      <c r="J741" s="15">
        <f t="shared" si="300"/>
        <v>2.0839200225291066E-3</v>
      </c>
      <c r="K741" s="15">
        <f t="shared" si="301"/>
        <v>8.130739866951453E-3</v>
      </c>
      <c r="L741" s="15"/>
      <c r="M741" s="16">
        <f t="shared" si="302"/>
        <v>2.7648644659125088E-2</v>
      </c>
      <c r="O741" s="13">
        <f t="shared" si="303"/>
        <v>-3.2456031697597476E-3</v>
      </c>
      <c r="Q741" s="5">
        <f t="shared" si="304"/>
        <v>2823.0233286609127</v>
      </c>
      <c r="R741" s="6">
        <f t="shared" si="305"/>
        <v>2549.9068855217815</v>
      </c>
      <c r="T741" s="11">
        <f t="shared" si="306"/>
        <v>1.1071083986203065</v>
      </c>
      <c r="V741" s="9">
        <v>43868</v>
      </c>
      <c r="W741">
        <v>89460</v>
      </c>
      <c r="X741">
        <v>107280.98299999999</v>
      </c>
      <c r="Y741">
        <v>70211.920499999993</v>
      </c>
      <c r="AC741" s="24">
        <f t="shared" si="307"/>
        <v>-3.8502932968993079E-3</v>
      </c>
      <c r="AE741" s="5">
        <f t="shared" si="308"/>
        <v>2050.8745985350033</v>
      </c>
      <c r="AF741" s="6">
        <f t="shared" si="309"/>
        <v>2549.9068855217815</v>
      </c>
      <c r="AH741" s="1">
        <f t="shared" si="310"/>
        <v>43868</v>
      </c>
      <c r="AI741">
        <f t="shared" si="311"/>
        <v>0.804293917624893</v>
      </c>
      <c r="AJ741">
        <f t="shared" ca="1" si="312"/>
        <v>0.52080572452313911</v>
      </c>
      <c r="AK741">
        <f t="shared" ca="1" si="313"/>
        <v>0.56933534018483289</v>
      </c>
      <c r="AL741">
        <f t="shared" ca="1" si="314"/>
        <v>0.6316658782828739</v>
      </c>
      <c r="AM741">
        <f t="shared" ca="1" si="315"/>
        <v>0.80012396838080679</v>
      </c>
      <c r="AN741">
        <f t="shared" ca="1" si="316"/>
        <v>0.86558382530091393</v>
      </c>
    </row>
    <row r="742" spans="2:40" x14ac:dyDescent="0.25">
      <c r="B742" s="1">
        <v>43875</v>
      </c>
      <c r="C742">
        <v>26.759</v>
      </c>
      <c r="D742">
        <v>17.904</v>
      </c>
      <c r="E742">
        <v>91.703000000000003</v>
      </c>
      <c r="G742">
        <v>38647.68</v>
      </c>
      <c r="I742" s="14">
        <f t="shared" si="299"/>
        <v>-7.9814305364511617E-2</v>
      </c>
      <c r="J742" s="15">
        <f t="shared" si="300"/>
        <v>6.2949640287768283E-3</v>
      </c>
      <c r="K742" s="15">
        <f t="shared" si="301"/>
        <v>-7.8954240488529948E-2</v>
      </c>
      <c r="L742" s="15"/>
      <c r="M742" s="16">
        <f t="shared" si="302"/>
        <v>-6.226565849523058E-2</v>
      </c>
      <c r="O742" s="13">
        <f t="shared" si="303"/>
        <v>-5.0824527274754915E-2</v>
      </c>
      <c r="Q742" s="5">
        <f t="shared" si="304"/>
        <v>2679.5445024961168</v>
      </c>
      <c r="R742" s="6">
        <f t="shared" si="305"/>
        <v>2391.1352541932451</v>
      </c>
      <c r="T742" s="11">
        <f t="shared" si="306"/>
        <v>1.1206160328225261</v>
      </c>
      <c r="V742" s="9">
        <v>43875</v>
      </c>
      <c r="W742">
        <v>82320</v>
      </c>
      <c r="X742">
        <v>107958.5471</v>
      </c>
      <c r="Y742">
        <v>64668.874199999998</v>
      </c>
      <c r="AC742" s="24">
        <f t="shared" si="307"/>
        <v>-4.4983165673906728E-2</v>
      </c>
      <c r="AE742" s="5">
        <f t="shared" si="308"/>
        <v>1958.6197666926964</v>
      </c>
      <c r="AF742" s="6">
        <f t="shared" si="309"/>
        <v>2391.1352541932451</v>
      </c>
      <c r="AH742" s="1">
        <f t="shared" si="310"/>
        <v>43875</v>
      </c>
      <c r="AI742">
        <f t="shared" si="311"/>
        <v>0.819117096474546</v>
      </c>
      <c r="AJ742">
        <f t="shared" ca="1" si="312"/>
        <v>0.52080572452313911</v>
      </c>
      <c r="AK742">
        <f t="shared" ca="1" si="313"/>
        <v>0.56933534018483289</v>
      </c>
      <c r="AL742">
        <f t="shared" ca="1" si="314"/>
        <v>0.6333264479749664</v>
      </c>
      <c r="AM742">
        <f t="shared" ca="1" si="315"/>
        <v>0.80308864304183947</v>
      </c>
      <c r="AN742">
        <f t="shared" ca="1" si="316"/>
        <v>0.86558382530091393</v>
      </c>
    </row>
    <row r="743" spans="2:40" x14ac:dyDescent="0.25">
      <c r="B743" s="1">
        <v>43882</v>
      </c>
      <c r="C743">
        <v>26.259</v>
      </c>
      <c r="D743">
        <v>16.593</v>
      </c>
      <c r="E743">
        <v>88.069000000000003</v>
      </c>
      <c r="G743">
        <v>38602.480000000003</v>
      </c>
      <c r="I743" s="14">
        <f t="shared" si="299"/>
        <v>-1.868530214133568E-2</v>
      </c>
      <c r="J743" s="15">
        <f t="shared" si="300"/>
        <v>-7.322386058981234E-2</v>
      </c>
      <c r="K743" s="15">
        <f t="shared" si="301"/>
        <v>-3.9627929293480024E-2</v>
      </c>
      <c r="L743" s="15"/>
      <c r="M743" s="16">
        <f t="shared" si="302"/>
        <v>-1.1695398016128289E-3</v>
      </c>
      <c r="O743" s="13">
        <f t="shared" si="303"/>
        <v>-4.3845697341542679E-2</v>
      </c>
      <c r="Q743" s="5">
        <f t="shared" si="304"/>
        <v>2562.0580052264777</v>
      </c>
      <c r="R743" s="6">
        <f t="shared" si="305"/>
        <v>2388.3387263424265</v>
      </c>
      <c r="T743" s="11">
        <f t="shared" si="306"/>
        <v>1.0727364493855065</v>
      </c>
      <c r="V743" s="9">
        <v>43882</v>
      </c>
      <c r="W743">
        <v>80780</v>
      </c>
      <c r="X743">
        <v>100053.6326</v>
      </c>
      <c r="Y743">
        <v>62105.960299999999</v>
      </c>
      <c r="AC743" s="24">
        <f t="shared" si="307"/>
        <v>-4.7092099177433011E-2</v>
      </c>
      <c r="AE743" s="5">
        <f t="shared" si="308"/>
        <v>1866.3842503887231</v>
      </c>
      <c r="AF743" s="6">
        <f t="shared" si="309"/>
        <v>2388.3387263424265</v>
      </c>
      <c r="AH743" s="1">
        <f t="shared" si="310"/>
        <v>43882</v>
      </c>
      <c r="AI743">
        <f t="shared" si="311"/>
        <v>0.78145709810892694</v>
      </c>
      <c r="AJ743">
        <f t="shared" ca="1" si="312"/>
        <v>0.52080572452313911</v>
      </c>
      <c r="AK743">
        <f t="shared" ca="1" si="313"/>
        <v>0.57537674374589398</v>
      </c>
      <c r="AL743">
        <f t="shared" ca="1" si="314"/>
        <v>0.66663206471891179</v>
      </c>
      <c r="AM743">
        <f t="shared" ca="1" si="315"/>
        <v>0.80799971233730628</v>
      </c>
      <c r="AN743">
        <f t="shared" ca="1" si="316"/>
        <v>0.86558382530091393</v>
      </c>
    </row>
    <row r="744" spans="2:40" x14ac:dyDescent="0.25">
      <c r="B744" s="1">
        <v>43889</v>
      </c>
      <c r="C744">
        <v>24.029</v>
      </c>
      <c r="D744">
        <v>15.32</v>
      </c>
      <c r="E744">
        <v>80.715999999999994</v>
      </c>
      <c r="G744">
        <v>34973.18</v>
      </c>
      <c r="I744" s="14">
        <f t="shared" si="299"/>
        <v>-8.4923264404585086E-2</v>
      </c>
      <c r="J744" s="15">
        <f t="shared" si="300"/>
        <v>-7.6719098414994247E-2</v>
      </c>
      <c r="K744" s="15">
        <f t="shared" si="301"/>
        <v>-8.349135337065261E-2</v>
      </c>
      <c r="L744" s="15"/>
      <c r="M744" s="16">
        <f t="shared" si="302"/>
        <v>-9.4017275574004633E-2</v>
      </c>
      <c r="O744" s="13">
        <f t="shared" si="303"/>
        <v>-8.171123873007731E-2</v>
      </c>
      <c r="Q744" s="5">
        <f t="shared" si="304"/>
        <v>2352.709071921111</v>
      </c>
      <c r="R744" s="6">
        <f t="shared" si="305"/>
        <v>2163.7936261438235</v>
      </c>
      <c r="T744" s="11">
        <f t="shared" si="306"/>
        <v>1.0873075156034915</v>
      </c>
      <c r="V744" s="9">
        <v>43889</v>
      </c>
      <c r="W744">
        <v>73920</v>
      </c>
      <c r="X744">
        <v>92374.572799999994</v>
      </c>
      <c r="Y744">
        <v>56920.529799999997</v>
      </c>
      <c r="AC744" s="24">
        <f t="shared" si="307"/>
        <v>-8.1178354780434323E-2</v>
      </c>
      <c r="AE744" s="5">
        <f t="shared" si="308"/>
        <v>1714.8742475540523</v>
      </c>
      <c r="AF744" s="6">
        <f t="shared" si="309"/>
        <v>2163.7936261438235</v>
      </c>
      <c r="AH744" s="1">
        <f t="shared" si="310"/>
        <v>43889</v>
      </c>
      <c r="AI744">
        <f t="shared" si="311"/>
        <v>0.79253133331859982</v>
      </c>
      <c r="AJ744">
        <f t="shared" ca="1" si="312"/>
        <v>0.52080572452313911</v>
      </c>
      <c r="AK744">
        <f t="shared" ca="1" si="313"/>
        <v>0.57787705257194288</v>
      </c>
      <c r="AL744">
        <f t="shared" ca="1" si="314"/>
        <v>0.70038564428518202</v>
      </c>
      <c r="AM744">
        <f t="shared" ca="1" si="315"/>
        <v>0.80799971233730628</v>
      </c>
      <c r="AN744">
        <f t="shared" ca="1" si="316"/>
        <v>0.86558382530091393</v>
      </c>
    </row>
    <row r="745" spans="2:40" x14ac:dyDescent="0.25">
      <c r="B745" s="1">
        <v>43896</v>
      </c>
      <c r="C745">
        <v>23.346</v>
      </c>
      <c r="D745">
        <v>15.282</v>
      </c>
      <c r="E745">
        <v>81.688000000000002</v>
      </c>
      <c r="G745">
        <v>35222.43</v>
      </c>
      <c r="I745" s="14">
        <f t="shared" si="299"/>
        <v>-2.842398768155141E-2</v>
      </c>
      <c r="J745" s="15">
        <f t="shared" si="300"/>
        <v>-2.4804177545691974E-3</v>
      </c>
      <c r="K745" s="15">
        <f t="shared" si="301"/>
        <v>1.2042222112096823E-2</v>
      </c>
      <c r="L745" s="15"/>
      <c r="M745" s="16">
        <f t="shared" si="302"/>
        <v>7.1268898052736507E-3</v>
      </c>
      <c r="O745" s="13">
        <f t="shared" si="303"/>
        <v>-6.2873944413412612E-3</v>
      </c>
      <c r="Q745" s="5">
        <f t="shared" si="304"/>
        <v>2337.9166619802209</v>
      </c>
      <c r="R745" s="6">
        <f t="shared" si="305"/>
        <v>2179.2147448787041</v>
      </c>
      <c r="T745" s="11">
        <f t="shared" si="306"/>
        <v>1.0728252768454676</v>
      </c>
      <c r="V745" s="9">
        <v>43896</v>
      </c>
      <c r="W745">
        <v>71820</v>
      </c>
      <c r="X745">
        <v>92148.718099999998</v>
      </c>
      <c r="Y745">
        <v>57605.960299999999</v>
      </c>
      <c r="AC745" s="24">
        <f t="shared" si="307"/>
        <v>-7.3685831205684699E-3</v>
      </c>
      <c r="AE745" s="5">
        <f t="shared" si="308"/>
        <v>1702.238054119628</v>
      </c>
      <c r="AF745" s="6">
        <f t="shared" si="309"/>
        <v>2179.2147448787041</v>
      </c>
      <c r="AH745" s="1">
        <f t="shared" si="310"/>
        <v>43896</v>
      </c>
      <c r="AI745">
        <f t="shared" si="311"/>
        <v>0.78112451199221999</v>
      </c>
      <c r="AJ745">
        <f t="shared" ca="1" si="312"/>
        <v>0.52080572452313911</v>
      </c>
      <c r="AK745">
        <f t="shared" ca="1" si="313"/>
        <v>0.57787705257194288</v>
      </c>
      <c r="AL745">
        <f t="shared" ca="1" si="314"/>
        <v>0.71437912567636153</v>
      </c>
      <c r="AM745">
        <f t="shared" ca="1" si="315"/>
        <v>0.80799971233730628</v>
      </c>
      <c r="AN745">
        <f t="shared" ca="1" si="316"/>
        <v>0.86558382530091393</v>
      </c>
    </row>
    <row r="746" spans="2:40" x14ac:dyDescent="0.25">
      <c r="B746" s="1">
        <v>43903</v>
      </c>
      <c r="C746">
        <v>18.658999999999999</v>
      </c>
      <c r="D746">
        <v>12.923</v>
      </c>
      <c r="E746">
        <v>64.742000000000004</v>
      </c>
      <c r="G746">
        <v>28447.97</v>
      </c>
      <c r="I746" s="14">
        <f t="shared" si="299"/>
        <v>-0.20076244324509562</v>
      </c>
      <c r="J746" s="15">
        <f t="shared" si="300"/>
        <v>-0.15436461196178508</v>
      </c>
      <c r="K746" s="15">
        <f t="shared" si="301"/>
        <v>-0.20744785035745761</v>
      </c>
      <c r="L746" s="15"/>
      <c r="M746" s="16">
        <f t="shared" si="302"/>
        <v>-0.19233369191165972</v>
      </c>
      <c r="O746" s="13">
        <f t="shared" si="303"/>
        <v>-0.18752496852144609</v>
      </c>
      <c r="Q746" s="5">
        <f t="shared" si="304"/>
        <v>1899.4989135366156</v>
      </c>
      <c r="R746" s="6">
        <f t="shared" si="305"/>
        <v>1760.0783275278573</v>
      </c>
      <c r="T746" s="11">
        <f t="shared" si="306"/>
        <v>1.0792127167457277</v>
      </c>
      <c r="V746" s="9">
        <v>43903</v>
      </c>
      <c r="W746">
        <v>57400</v>
      </c>
      <c r="X746">
        <v>77919.871899999998</v>
      </c>
      <c r="Y746">
        <v>45655.629099999998</v>
      </c>
      <c r="AC746" s="24">
        <f t="shared" si="307"/>
        <v>-0.18320456430890267</v>
      </c>
      <c r="AE746" s="5">
        <f t="shared" si="308"/>
        <v>1390.3802730646073</v>
      </c>
      <c r="AF746" s="6">
        <f t="shared" si="309"/>
        <v>1760.0783275278573</v>
      </c>
      <c r="AH746" s="1">
        <f t="shared" si="310"/>
        <v>43903</v>
      </c>
      <c r="AI746">
        <f t="shared" si="311"/>
        <v>0.78995363519843198</v>
      </c>
      <c r="AJ746">
        <f t="shared" ca="1" si="312"/>
        <v>0.52080572452313911</v>
      </c>
      <c r="AK746">
        <f t="shared" ca="1" si="313"/>
        <v>0.57787705257194288</v>
      </c>
      <c r="AL746">
        <f t="shared" ca="1" si="314"/>
        <v>0.72788374514860266</v>
      </c>
      <c r="AM746">
        <f t="shared" ca="1" si="315"/>
        <v>0.80799971233730628</v>
      </c>
      <c r="AN746">
        <f t="shared" ca="1" si="316"/>
        <v>0.86558382530091393</v>
      </c>
    </row>
    <row r="747" spans="2:40" x14ac:dyDescent="0.25">
      <c r="B747" s="1">
        <v>43910</v>
      </c>
      <c r="C747">
        <v>15.837</v>
      </c>
      <c r="D747">
        <v>12.510999999999999</v>
      </c>
      <c r="E747">
        <v>52.444000000000003</v>
      </c>
      <c r="G747">
        <v>23890.35</v>
      </c>
      <c r="I747" s="14">
        <f t="shared" si="299"/>
        <v>-0.15124068813977165</v>
      </c>
      <c r="J747" s="15">
        <f t="shared" si="300"/>
        <v>-3.1881142149655761E-2</v>
      </c>
      <c r="K747" s="15">
        <f t="shared" si="301"/>
        <v>-0.18995397114701429</v>
      </c>
      <c r="L747" s="15"/>
      <c r="M747" s="16">
        <f t="shared" si="302"/>
        <v>-0.16020897097402742</v>
      </c>
      <c r="O747" s="13">
        <f t="shared" si="303"/>
        <v>-0.1243586004788139</v>
      </c>
      <c r="Q747" s="5">
        <f t="shared" si="304"/>
        <v>1663.2798870381746</v>
      </c>
      <c r="R747" s="6">
        <f t="shared" si="305"/>
        <v>1478.0979898409321</v>
      </c>
      <c r="T747" s="11">
        <f t="shared" si="306"/>
        <v>1.125283911127686</v>
      </c>
      <c r="V747" s="9">
        <v>43910</v>
      </c>
      <c r="W747">
        <v>48720</v>
      </c>
      <c r="X747">
        <v>75435.470199999996</v>
      </c>
      <c r="Y747">
        <v>36983.443700000003</v>
      </c>
      <c r="AC747" s="24">
        <f t="shared" si="307"/>
        <v>-0.10961626272447753</v>
      </c>
      <c r="AE747" s="5">
        <f t="shared" si="308"/>
        <v>1237.9719837654266</v>
      </c>
      <c r="AF747" s="6">
        <f t="shared" si="309"/>
        <v>1478.0979898409321</v>
      </c>
      <c r="AH747" s="1">
        <f t="shared" si="310"/>
        <v>43910</v>
      </c>
      <c r="AI747">
        <f t="shared" si="311"/>
        <v>0.83754391946548346</v>
      </c>
      <c r="AJ747">
        <f t="shared" ca="1" si="312"/>
        <v>0.52080572452313911</v>
      </c>
      <c r="AK747">
        <f t="shared" ca="1" si="313"/>
        <v>0.57787705257194288</v>
      </c>
      <c r="AL747">
        <f t="shared" ca="1" si="314"/>
        <v>0.73136831298044847</v>
      </c>
      <c r="AM747">
        <f t="shared" ca="1" si="315"/>
        <v>0.80799971233730628</v>
      </c>
      <c r="AN747">
        <f t="shared" ca="1" si="316"/>
        <v>0.86558382530091393</v>
      </c>
    </row>
    <row r="748" spans="2:40" x14ac:dyDescent="0.25">
      <c r="B748" s="1">
        <v>43917</v>
      </c>
      <c r="C748">
        <v>16.428999999999998</v>
      </c>
      <c r="D748">
        <v>13.185</v>
      </c>
      <c r="E748">
        <v>51.134</v>
      </c>
      <c r="G748">
        <v>24058.6</v>
      </c>
      <c r="I748" s="14">
        <f t="shared" si="299"/>
        <v>3.7380817073940698E-2</v>
      </c>
      <c r="J748" s="15">
        <f t="shared" si="300"/>
        <v>5.3872592118935358E-2</v>
      </c>
      <c r="K748" s="15">
        <f t="shared" si="301"/>
        <v>-2.4979025245976727E-2</v>
      </c>
      <c r="L748" s="15"/>
      <c r="M748" s="16">
        <f t="shared" si="302"/>
        <v>7.0425925112023169E-3</v>
      </c>
      <c r="O748" s="13">
        <f t="shared" si="303"/>
        <v>2.209146131563311E-2</v>
      </c>
      <c r="Q748" s="5">
        <f t="shared" si="304"/>
        <v>1700.0241703197491</v>
      </c>
      <c r="R748" s="6">
        <f t="shared" si="305"/>
        <v>1488.507631675009</v>
      </c>
      <c r="T748" s="11">
        <f t="shared" si="306"/>
        <v>1.1420997340851533</v>
      </c>
      <c r="V748" s="9">
        <v>43917</v>
      </c>
      <c r="W748">
        <v>50540</v>
      </c>
      <c r="X748">
        <v>79500.854800000001</v>
      </c>
      <c r="Y748">
        <v>36059.602599999998</v>
      </c>
      <c r="AC748" s="24">
        <f t="shared" si="307"/>
        <v>3.0788884145269365E-2</v>
      </c>
      <c r="AE748" s="5">
        <f t="shared" si="308"/>
        <v>1276.0877597486694</v>
      </c>
      <c r="AF748" s="6">
        <f t="shared" si="309"/>
        <v>1488.507631675009</v>
      </c>
      <c r="AH748" s="1">
        <f t="shared" si="310"/>
        <v>43917</v>
      </c>
      <c r="AI748">
        <f t="shared" si="311"/>
        <v>0.85729339413107031</v>
      </c>
      <c r="AJ748">
        <f t="shared" ca="1" si="312"/>
        <v>0.52080572452313911</v>
      </c>
      <c r="AK748">
        <f t="shared" ca="1" si="313"/>
        <v>0.57787705257194288</v>
      </c>
      <c r="AL748">
        <f t="shared" ca="1" si="314"/>
        <v>0.73433961849142648</v>
      </c>
      <c r="AM748">
        <f t="shared" ca="1" si="315"/>
        <v>0.81983244994494042</v>
      </c>
      <c r="AN748">
        <f t="shared" ca="1" si="316"/>
        <v>0.86558382530091393</v>
      </c>
    </row>
    <row r="749" spans="2:40" x14ac:dyDescent="0.25">
      <c r="B749" s="1">
        <v>43924</v>
      </c>
      <c r="C749">
        <v>18.568000000000001</v>
      </c>
      <c r="D749">
        <v>14.532999999999999</v>
      </c>
      <c r="E749">
        <v>55.698</v>
      </c>
      <c r="G749">
        <v>26505.41</v>
      </c>
      <c r="I749" s="14">
        <f t="shared" si="299"/>
        <v>0.13019660356686358</v>
      </c>
      <c r="J749" s="15">
        <f t="shared" si="300"/>
        <v>0.10223739097459217</v>
      </c>
      <c r="K749" s="15">
        <f t="shared" si="301"/>
        <v>8.9255681151484412E-2</v>
      </c>
      <c r="L749" s="15"/>
      <c r="M749" s="16">
        <f t="shared" si="302"/>
        <v>0.10170209405368569</v>
      </c>
      <c r="O749" s="13">
        <f t="shared" si="303"/>
        <v>0.10722989189764671</v>
      </c>
      <c r="Q749" s="5">
        <f t="shared" si="304"/>
        <v>1882.3175783265224</v>
      </c>
      <c r="R749" s="6">
        <f t="shared" si="305"/>
        <v>1639.8919748312496</v>
      </c>
      <c r="T749" s="11">
        <f t="shared" si="306"/>
        <v>1.1478302273661771</v>
      </c>
      <c r="V749" s="9">
        <v>43924</v>
      </c>
      <c r="W749">
        <v>57120</v>
      </c>
      <c r="X749">
        <v>87631.623999999996</v>
      </c>
      <c r="Y749">
        <v>39278.145700000001</v>
      </c>
      <c r="AC749" s="24">
        <f t="shared" si="307"/>
        <v>0.10792637775954737</v>
      </c>
      <c r="AE749" s="5">
        <f t="shared" si="308"/>
        <v>1413.811289361639</v>
      </c>
      <c r="AF749" s="6">
        <f t="shared" si="309"/>
        <v>1639.8919748312496</v>
      </c>
      <c r="AH749" s="1">
        <f t="shared" si="310"/>
        <v>43924</v>
      </c>
      <c r="AI749">
        <f t="shared" si="311"/>
        <v>0.86213684258508838</v>
      </c>
      <c r="AJ749">
        <f t="shared" ca="1" si="312"/>
        <v>0.52080572452313911</v>
      </c>
      <c r="AK749">
        <f t="shared" ca="1" si="313"/>
        <v>0.57787705257194288</v>
      </c>
      <c r="AL749">
        <f t="shared" ca="1" si="314"/>
        <v>0.73720323582899316</v>
      </c>
      <c r="AM749">
        <f t="shared" ca="1" si="315"/>
        <v>0.82391544370443492</v>
      </c>
      <c r="AN749">
        <f t="shared" ca="1" si="316"/>
        <v>0.86608526111376372</v>
      </c>
    </row>
    <row r="750" spans="2:40" x14ac:dyDescent="0.25">
      <c r="B750" s="1">
        <v>43931</v>
      </c>
      <c r="C750">
        <v>21.297999999999998</v>
      </c>
      <c r="D750">
        <v>16.331</v>
      </c>
      <c r="E750">
        <v>61.953000000000003</v>
      </c>
      <c r="G750">
        <v>28017.59</v>
      </c>
      <c r="I750" s="14">
        <f t="shared" si="299"/>
        <v>0.1470271434726409</v>
      </c>
      <c r="J750" s="15">
        <f t="shared" si="300"/>
        <v>0.1237184339090347</v>
      </c>
      <c r="K750" s="15">
        <f t="shared" si="301"/>
        <v>0.11230205752450728</v>
      </c>
      <c r="L750" s="15"/>
      <c r="M750" s="16">
        <f t="shared" si="302"/>
        <v>5.7051749058022461E-2</v>
      </c>
      <c r="O750" s="13">
        <f t="shared" si="303"/>
        <v>0.12768254496872763</v>
      </c>
      <c r="Q750" s="5">
        <f t="shared" si="304"/>
        <v>2122.6566771666248</v>
      </c>
      <c r="R750" s="6">
        <f t="shared" si="305"/>
        <v>1733.450680261587</v>
      </c>
      <c r="T750" s="11">
        <f t="shared" si="306"/>
        <v>1.2245267207984853</v>
      </c>
      <c r="V750" s="9">
        <v>43931</v>
      </c>
      <c r="W750">
        <v>65520</v>
      </c>
      <c r="X750">
        <v>98472.649699999994</v>
      </c>
      <c r="Y750">
        <v>43688.741699999999</v>
      </c>
      <c r="AC750" s="24">
        <f t="shared" si="307"/>
        <v>0.12851645868902051</v>
      </c>
      <c r="AE750" s="5">
        <f t="shared" si="308"/>
        <v>1595.5093095249547</v>
      </c>
      <c r="AF750" s="6">
        <f t="shared" si="309"/>
        <v>1733.450680261587</v>
      </c>
      <c r="AH750" s="1">
        <f t="shared" si="310"/>
        <v>43931</v>
      </c>
      <c r="AI750">
        <f t="shared" si="311"/>
        <v>0.92042382727853778</v>
      </c>
      <c r="AJ750">
        <f t="shared" ca="1" si="312"/>
        <v>0.52080572452313911</v>
      </c>
      <c r="AK750">
        <f t="shared" ca="1" si="313"/>
        <v>0.57787705257194288</v>
      </c>
      <c r="AL750">
        <f t="shared" ca="1" si="314"/>
        <v>0.74754009103288943</v>
      </c>
      <c r="AM750">
        <f t="shared" ca="1" si="315"/>
        <v>0.83116285055887973</v>
      </c>
      <c r="AN750">
        <f t="shared" ca="1" si="316"/>
        <v>0.86656960595916543</v>
      </c>
    </row>
    <row r="751" spans="2:40" x14ac:dyDescent="0.25">
      <c r="B751" s="1">
        <v>43938</v>
      </c>
      <c r="C751">
        <v>23.346</v>
      </c>
      <c r="D751">
        <v>17.978999999999999</v>
      </c>
      <c r="E751">
        <v>63.305</v>
      </c>
      <c r="G751">
        <v>29883.279999999999</v>
      </c>
      <c r="I751" s="14">
        <f t="shared" si="299"/>
        <v>9.6159263780636772E-2</v>
      </c>
      <c r="J751" s="15">
        <f t="shared" si="300"/>
        <v>0.1009123752372787</v>
      </c>
      <c r="K751" s="15">
        <f t="shared" si="301"/>
        <v>2.1822994850935418E-2</v>
      </c>
      <c r="L751" s="15"/>
      <c r="M751" s="16">
        <f t="shared" si="302"/>
        <v>6.658995295455461E-2</v>
      </c>
      <c r="O751" s="13">
        <f t="shared" si="303"/>
        <v>7.2964877956283633E-2</v>
      </c>
      <c r="Q751" s="5">
        <f t="shared" si="304"/>
        <v>2277.5360625591784</v>
      </c>
      <c r="R751" s="6">
        <f t="shared" si="305"/>
        <v>1848.8810795092468</v>
      </c>
      <c r="T751" s="11">
        <f t="shared" si="306"/>
        <v>1.2318456215494999</v>
      </c>
      <c r="V751" s="9">
        <v>43938</v>
      </c>
      <c r="W751">
        <v>71820</v>
      </c>
      <c r="X751">
        <v>108410.25659999999</v>
      </c>
      <c r="Y751">
        <v>44642.384100000003</v>
      </c>
      <c r="AC751" s="24">
        <f t="shared" si="307"/>
        <v>8.2775269413019575E-2</v>
      </c>
      <c r="AE751" s="5">
        <f t="shared" si="308"/>
        <v>1727.5780224718635</v>
      </c>
      <c r="AF751" s="6">
        <f t="shared" si="309"/>
        <v>1848.8810795092468</v>
      </c>
      <c r="AH751" s="1">
        <f t="shared" si="310"/>
        <v>43938</v>
      </c>
      <c r="AI751">
        <f t="shared" si="311"/>
        <v>0.9343910982800574</v>
      </c>
      <c r="AJ751">
        <f t="shared" ca="1" si="312"/>
        <v>0.52080572452313911</v>
      </c>
      <c r="AK751">
        <f t="shared" ca="1" si="313"/>
        <v>0.57787705257194288</v>
      </c>
      <c r="AL751">
        <f t="shared" ca="1" si="314"/>
        <v>0.75721416468323699</v>
      </c>
      <c r="AM751">
        <f t="shared" ca="1" si="315"/>
        <v>0.83599048310692936</v>
      </c>
      <c r="AN751">
        <f t="shared" ca="1" si="316"/>
        <v>0.88763712362486502</v>
      </c>
    </row>
    <row r="752" spans="2:40" x14ac:dyDescent="0.25">
      <c r="B752" s="1">
        <v>43945</v>
      </c>
      <c r="C752">
        <v>24.347000000000001</v>
      </c>
      <c r="D752">
        <v>18.690999999999999</v>
      </c>
      <c r="E752">
        <v>65.418000000000006</v>
      </c>
      <c r="G752">
        <v>29258.1</v>
      </c>
      <c r="I752" s="14">
        <f t="shared" si="299"/>
        <v>4.2876724064079497E-2</v>
      </c>
      <c r="J752" s="15">
        <f t="shared" si="300"/>
        <v>3.9601757606096077E-2</v>
      </c>
      <c r="K752" s="15">
        <f t="shared" si="301"/>
        <v>3.3378090198246779E-2</v>
      </c>
      <c r="L752" s="15"/>
      <c r="M752" s="16">
        <f t="shared" si="302"/>
        <v>-2.0920728915969078E-2</v>
      </c>
      <c r="O752" s="13">
        <f t="shared" si="303"/>
        <v>3.8618857289474118E-2</v>
      </c>
      <c r="Q752" s="5">
        <f t="shared" si="304"/>
        <v>2365.4919027307819</v>
      </c>
      <c r="R752" s="6">
        <f t="shared" si="305"/>
        <v>1810.2011396469695</v>
      </c>
      <c r="T752" s="11">
        <f t="shared" si="306"/>
        <v>1.306756387962559</v>
      </c>
      <c r="V752" s="9">
        <v>43945</v>
      </c>
      <c r="W752">
        <v>74900</v>
      </c>
      <c r="X752">
        <v>112701.49589999999</v>
      </c>
      <c r="Y752">
        <v>46132.450299999997</v>
      </c>
      <c r="AC752" s="24">
        <f t="shared" si="307"/>
        <v>3.9412178029911163E-2</v>
      </c>
      <c r="AE752" s="5">
        <f t="shared" si="308"/>
        <v>1795.6656350540866</v>
      </c>
      <c r="AF752" s="6">
        <f t="shared" si="309"/>
        <v>1810.2011396469695</v>
      </c>
      <c r="AH752" s="1">
        <f t="shared" si="310"/>
        <v>43945</v>
      </c>
      <c r="AI752">
        <f t="shared" si="311"/>
        <v>0.99197022680268676</v>
      </c>
      <c r="AJ752">
        <f t="shared" ca="1" si="312"/>
        <v>0.52080572452313911</v>
      </c>
      <c r="AK752">
        <f t="shared" ca="1" si="313"/>
        <v>0.57787705257194288</v>
      </c>
      <c r="AL752">
        <f t="shared" ca="1" si="314"/>
        <v>0.75935715621695454</v>
      </c>
      <c r="AM752">
        <f t="shared" ca="1" si="315"/>
        <v>0.83884170486657428</v>
      </c>
      <c r="AN752">
        <f t="shared" ca="1" si="316"/>
        <v>0.91737376789541392</v>
      </c>
    </row>
    <row r="753" spans="2:40" x14ac:dyDescent="0.25">
      <c r="B753" s="1">
        <v>43952</v>
      </c>
      <c r="C753">
        <v>27.669</v>
      </c>
      <c r="D753">
        <v>21.163</v>
      </c>
      <c r="E753">
        <v>70.150999999999996</v>
      </c>
      <c r="G753">
        <v>32742.84</v>
      </c>
      <c r="I753" s="14">
        <f t="shared" si="299"/>
        <v>0.13644391506140385</v>
      </c>
      <c r="J753" s="15">
        <f t="shared" si="300"/>
        <v>0.13225616606923118</v>
      </c>
      <c r="K753" s="15">
        <f t="shared" si="301"/>
        <v>7.2350117704607086E-2</v>
      </c>
      <c r="L753" s="15"/>
      <c r="M753" s="16">
        <f t="shared" si="302"/>
        <v>0.11910342776872063</v>
      </c>
      <c r="O753" s="13">
        <f t="shared" si="303"/>
        <v>0.11368339961174738</v>
      </c>
      <c r="Q753" s="5">
        <f t="shared" si="304"/>
        <v>2634.4090639872784</v>
      </c>
      <c r="R753" s="6">
        <f t="shared" si="305"/>
        <v>2025.8023003297681</v>
      </c>
      <c r="T753" s="11">
        <f t="shared" si="306"/>
        <v>1.3004275212632739</v>
      </c>
      <c r="V753" s="9">
        <v>43952</v>
      </c>
      <c r="W753">
        <v>85120</v>
      </c>
      <c r="X753">
        <v>127607.90609999999</v>
      </c>
      <c r="Y753">
        <v>49470.198700000001</v>
      </c>
      <c r="AC753" s="24">
        <f t="shared" si="307"/>
        <v>0.12177437495943524</v>
      </c>
      <c r="AE753" s="5">
        <f t="shared" si="308"/>
        <v>2014.3316953989354</v>
      </c>
      <c r="AF753" s="6">
        <f t="shared" si="309"/>
        <v>2025.8023003297681</v>
      </c>
      <c r="AH753" s="1">
        <f t="shared" si="310"/>
        <v>43952</v>
      </c>
      <c r="AI753">
        <f t="shared" si="311"/>
        <v>0.99433774710939704</v>
      </c>
      <c r="AJ753">
        <f t="shared" ca="1" si="312"/>
        <v>0.52080572452313911</v>
      </c>
      <c r="AK753">
        <f t="shared" ca="1" si="313"/>
        <v>0.57787705257194288</v>
      </c>
      <c r="AL753">
        <f t="shared" ca="1" si="314"/>
        <v>0.7705535247661498</v>
      </c>
      <c r="AM753">
        <f t="shared" ca="1" si="315"/>
        <v>0.8443182289760145</v>
      </c>
      <c r="AN753">
        <f t="shared" ca="1" si="316"/>
        <v>0.93299437117990547</v>
      </c>
    </row>
    <row r="754" spans="2:40" x14ac:dyDescent="0.25">
      <c r="B754" s="1">
        <v>43959</v>
      </c>
      <c r="C754">
        <v>27.669</v>
      </c>
      <c r="D754">
        <v>22.361999999999998</v>
      </c>
      <c r="E754">
        <v>70.869</v>
      </c>
      <c r="G754">
        <v>36183.9</v>
      </c>
      <c r="I754" s="14">
        <f t="shared" si="299"/>
        <v>0</v>
      </c>
      <c r="J754" s="15">
        <f t="shared" si="300"/>
        <v>5.6655483627084946E-2</v>
      </c>
      <c r="K754" s="15">
        <f t="shared" si="301"/>
        <v>1.0235064361163726E-2</v>
      </c>
      <c r="L754" s="15"/>
      <c r="M754" s="16">
        <f t="shared" si="302"/>
        <v>0.10509351052016269</v>
      </c>
      <c r="O754" s="13">
        <f t="shared" si="303"/>
        <v>2.2296849329416224E-2</v>
      </c>
      <c r="Q754" s="5">
        <f t="shared" si="304"/>
        <v>2693.1480859590511</v>
      </c>
      <c r="R754" s="6">
        <f t="shared" si="305"/>
        <v>2238.7009756912444</v>
      </c>
      <c r="T754" s="11">
        <f t="shared" si="306"/>
        <v>1.2029958959246385</v>
      </c>
      <c r="V754" s="9">
        <v>43959</v>
      </c>
      <c r="W754">
        <v>85120</v>
      </c>
      <c r="X754">
        <v>134835.25659999999</v>
      </c>
      <c r="Y754">
        <v>49976.821199999998</v>
      </c>
      <c r="AC754" s="24">
        <f t="shared" si="307"/>
        <v>2.9504478334388028E-2</v>
      </c>
      <c r="AE754" s="5">
        <f t="shared" si="308"/>
        <v>2073.7635012641044</v>
      </c>
      <c r="AF754" s="6">
        <f t="shared" si="309"/>
        <v>2238.7009756912444</v>
      </c>
      <c r="AH754" s="1">
        <f t="shared" si="310"/>
        <v>43959</v>
      </c>
      <c r="AI754">
        <f t="shared" si="311"/>
        <v>0.92632447288936726</v>
      </c>
      <c r="AJ754">
        <f t="shared" ca="1" si="312"/>
        <v>0.52080572452313911</v>
      </c>
      <c r="AK754">
        <f t="shared" ca="1" si="313"/>
        <v>0.57787705257194288</v>
      </c>
      <c r="AL754">
        <f t="shared" ca="1" si="314"/>
        <v>0.78129080505057347</v>
      </c>
      <c r="AM754">
        <f t="shared" ca="1" si="315"/>
        <v>0.8498705585215317</v>
      </c>
      <c r="AN754">
        <f t="shared" ca="1" si="316"/>
        <v>0.94735184036387221</v>
      </c>
    </row>
    <row r="755" spans="2:40" x14ac:dyDescent="0.25">
      <c r="B755" s="1">
        <v>43966</v>
      </c>
      <c r="C755">
        <v>28.853000000000002</v>
      </c>
      <c r="D755">
        <v>23.222999999999999</v>
      </c>
      <c r="E755">
        <v>81.561000000000007</v>
      </c>
      <c r="G755">
        <v>39388.32</v>
      </c>
      <c r="I755" s="14">
        <f t="shared" si="299"/>
        <v>4.2791571795149919E-2</v>
      </c>
      <c r="J755" s="15">
        <f t="shared" si="300"/>
        <v>3.8502817279313151E-2</v>
      </c>
      <c r="K755" s="15">
        <f t="shared" si="301"/>
        <v>0.15086991491343182</v>
      </c>
      <c r="L755" s="15"/>
      <c r="M755" s="16">
        <f t="shared" si="302"/>
        <v>8.8559276363244344E-2</v>
      </c>
      <c r="O755" s="13">
        <f t="shared" si="303"/>
        <v>7.7388101329298298E-2</v>
      </c>
      <c r="Q755" s="5">
        <f t="shared" si="304"/>
        <v>2901.565702930056</v>
      </c>
      <c r="R755" s="6">
        <f t="shared" si="305"/>
        <v>2436.9587140921499</v>
      </c>
      <c r="T755" s="11">
        <f t="shared" si="306"/>
        <v>1.1906503323799591</v>
      </c>
      <c r="V755" s="9">
        <v>43966</v>
      </c>
      <c r="W755">
        <v>88760</v>
      </c>
      <c r="X755">
        <v>140029.91469999999</v>
      </c>
      <c r="Y755">
        <v>57516.556299999997</v>
      </c>
      <c r="AC755" s="24">
        <f t="shared" si="307"/>
        <v>6.0659536037439649E-2</v>
      </c>
      <c r="AE755" s="5">
        <f t="shared" si="308"/>
        <v>2199.5570331021613</v>
      </c>
      <c r="AF755" s="6">
        <f t="shared" si="309"/>
        <v>2436.9587140921499</v>
      </c>
      <c r="AH755" s="1">
        <f t="shared" si="310"/>
        <v>43966</v>
      </c>
      <c r="AI755">
        <f t="shared" si="311"/>
        <v>0.90258280552018766</v>
      </c>
      <c r="AJ755">
        <f t="shared" ca="1" si="312"/>
        <v>0.52080572452313911</v>
      </c>
      <c r="AK755">
        <f t="shared" ca="1" si="313"/>
        <v>0.59664815967613571</v>
      </c>
      <c r="AL755">
        <f t="shared" ca="1" si="314"/>
        <v>0.78570536665367952</v>
      </c>
      <c r="AM755">
        <f t="shared" ca="1" si="315"/>
        <v>0.85353262553469711</v>
      </c>
      <c r="AN755">
        <f t="shared" ca="1" si="316"/>
        <v>0.94735184036387221</v>
      </c>
    </row>
    <row r="756" spans="2:40" x14ac:dyDescent="0.25">
      <c r="B756" s="1">
        <v>43973</v>
      </c>
      <c r="C756">
        <v>28.533999999999999</v>
      </c>
      <c r="D756">
        <v>24.196999999999999</v>
      </c>
      <c r="E756">
        <v>92.040999999999997</v>
      </c>
      <c r="G756">
        <v>40962.730000000003</v>
      </c>
      <c r="I756" s="14">
        <f t="shared" si="299"/>
        <v>-1.1056042699199464E-2</v>
      </c>
      <c r="J756" s="15">
        <f t="shared" si="300"/>
        <v>4.194117900357397E-2</v>
      </c>
      <c r="K756" s="15">
        <f t="shared" si="301"/>
        <v>0.12849278454163127</v>
      </c>
      <c r="L756" s="15"/>
      <c r="M756" s="16">
        <f t="shared" si="302"/>
        <v>3.9971494087587489E-2</v>
      </c>
      <c r="O756" s="13">
        <f t="shared" si="303"/>
        <v>5.3125973615335255E-2</v>
      </c>
      <c r="Q756" s="5">
        <f t="shared" si="304"/>
        <v>3055.7142059070802</v>
      </c>
      <c r="R756" s="6">
        <f t="shared" si="305"/>
        <v>2534.3675949241792</v>
      </c>
      <c r="T756" s="11">
        <f t="shared" si="306"/>
        <v>1.2057107311611195</v>
      </c>
      <c r="V756" s="9">
        <v>43973</v>
      </c>
      <c r="W756">
        <v>87780</v>
      </c>
      <c r="X756">
        <v>145902.13690000001</v>
      </c>
      <c r="Y756">
        <v>64907.284800000001</v>
      </c>
      <c r="AC756" s="24">
        <f t="shared" si="307"/>
        <v>4.2898603729216625E-2</v>
      </c>
      <c r="AE756" s="5">
        <f t="shared" si="308"/>
        <v>2293.9149586450226</v>
      </c>
      <c r="AF756" s="6">
        <f t="shared" si="309"/>
        <v>2534.3675949241792</v>
      </c>
      <c r="AH756" s="1">
        <f t="shared" si="310"/>
        <v>43973</v>
      </c>
      <c r="AI756">
        <f t="shared" si="311"/>
        <v>0.90512322018292291</v>
      </c>
      <c r="AJ756">
        <f t="shared" ca="1" si="312"/>
        <v>0.52080572452313911</v>
      </c>
      <c r="AK756">
        <f t="shared" ca="1" si="313"/>
        <v>0.67587943598561961</v>
      </c>
      <c r="AL756">
        <f t="shared" ca="1" si="314"/>
        <v>0.79124248425851595</v>
      </c>
      <c r="AM756">
        <f t="shared" ca="1" si="315"/>
        <v>0.85850425624457483</v>
      </c>
      <c r="AN756">
        <f t="shared" ca="1" si="316"/>
        <v>0.94735184036387221</v>
      </c>
    </row>
    <row r="757" spans="2:40" x14ac:dyDescent="0.25">
      <c r="B757" s="1">
        <v>43980</v>
      </c>
      <c r="C757">
        <v>30.763999999999999</v>
      </c>
      <c r="D757">
        <v>24.984000000000002</v>
      </c>
      <c r="E757">
        <v>89.506</v>
      </c>
      <c r="G757">
        <v>37824.730000000003</v>
      </c>
      <c r="I757" s="14">
        <f t="shared" si="299"/>
        <v>7.8152379617298706E-2</v>
      </c>
      <c r="J757" s="15">
        <f t="shared" si="300"/>
        <v>3.2524693143778372E-2</v>
      </c>
      <c r="K757" s="15">
        <f t="shared" si="301"/>
        <v>-2.7542073641094733E-2</v>
      </c>
      <c r="L757" s="15"/>
      <c r="M757" s="16">
        <f t="shared" si="302"/>
        <v>-7.6606222290360071E-2</v>
      </c>
      <c r="O757" s="13">
        <f t="shared" si="303"/>
        <v>2.7711666373327448E-2</v>
      </c>
      <c r="Q757" s="5">
        <f t="shared" si="304"/>
        <v>3140.3931385134142</v>
      </c>
      <c r="R757" s="6">
        <f t="shared" si="305"/>
        <v>2340.2192675819324</v>
      </c>
      <c r="T757" s="11">
        <f t="shared" si="306"/>
        <v>1.3419226061488989</v>
      </c>
      <c r="V757" s="9">
        <v>43980</v>
      </c>
      <c r="W757">
        <v>94640</v>
      </c>
      <c r="X757">
        <v>150645.0857</v>
      </c>
      <c r="Y757">
        <v>63119.205300000001</v>
      </c>
      <c r="AC757" s="24">
        <f t="shared" si="307"/>
        <v>3.2881127672901134E-2</v>
      </c>
      <c r="AE757" s="5">
        <f t="shared" si="308"/>
        <v>2369.3414692710071</v>
      </c>
      <c r="AF757" s="6">
        <f t="shared" si="309"/>
        <v>2340.2192675819324</v>
      </c>
      <c r="AH757" s="1">
        <f t="shared" si="310"/>
        <v>43980</v>
      </c>
      <c r="AI757">
        <f t="shared" si="311"/>
        <v>1.0124442192629093</v>
      </c>
      <c r="AJ757">
        <f t="shared" ca="1" si="312"/>
        <v>0.52080572452313911</v>
      </c>
      <c r="AK757">
        <f t="shared" ca="1" si="313"/>
        <v>0.70122831919179807</v>
      </c>
      <c r="AL757">
        <f t="shared" ca="1" si="314"/>
        <v>0.79590049810525643</v>
      </c>
      <c r="AM757">
        <f t="shared" ca="1" si="315"/>
        <v>0.86336816574455422</v>
      </c>
      <c r="AN757">
        <f t="shared" ca="1" si="316"/>
        <v>0.94735184036387221</v>
      </c>
    </row>
    <row r="758" spans="2:40" x14ac:dyDescent="0.25">
      <c r="B758" s="1">
        <v>43987</v>
      </c>
      <c r="C758">
        <v>36.497999999999998</v>
      </c>
      <c r="D758">
        <v>28.28</v>
      </c>
      <c r="E758">
        <v>98.591999999999999</v>
      </c>
      <c r="G758">
        <v>45128.75</v>
      </c>
      <c r="I758" s="14">
        <f t="shared" si="299"/>
        <v>0.18638668573657524</v>
      </c>
      <c r="J758" s="15">
        <f t="shared" si="300"/>
        <v>0.13192443163624712</v>
      </c>
      <c r="K758" s="15">
        <f t="shared" si="301"/>
        <v>0.1015127477487543</v>
      </c>
      <c r="L758" s="15"/>
      <c r="M758" s="16">
        <f t="shared" si="302"/>
        <v>0.19310170885555555</v>
      </c>
      <c r="O758" s="13">
        <f t="shared" si="303"/>
        <v>0.13994128837385889</v>
      </c>
      <c r="Q758" s="5">
        <f t="shared" si="304"/>
        <v>3579.8638003174078</v>
      </c>
      <c r="R758" s="6">
        <f t="shared" si="305"/>
        <v>2792.1196072487</v>
      </c>
      <c r="T758" s="11">
        <f t="shared" si="306"/>
        <v>1.2821312493288695</v>
      </c>
      <c r="V758" s="9">
        <v>43987</v>
      </c>
      <c r="W758">
        <v>112280</v>
      </c>
      <c r="X758">
        <v>170520.29939999999</v>
      </c>
      <c r="Y758">
        <v>69526.490099999995</v>
      </c>
      <c r="AC758" s="24">
        <f t="shared" si="307"/>
        <v>0.14241308728611837</v>
      </c>
      <c r="AE758" s="5">
        <f t="shared" si="308"/>
        <v>2706.7667027449193</v>
      </c>
      <c r="AF758" s="6">
        <f t="shared" si="309"/>
        <v>2792.1196072487</v>
      </c>
      <c r="AH758" s="1">
        <f t="shared" si="310"/>
        <v>43987</v>
      </c>
      <c r="AI758">
        <f t="shared" si="311"/>
        <v>0.96943078502719093</v>
      </c>
      <c r="AJ758">
        <f t="shared" ca="1" si="312"/>
        <v>0.52080572452313911</v>
      </c>
      <c r="AK758">
        <f t="shared" ca="1" si="313"/>
        <v>0.72053319146533523</v>
      </c>
      <c r="AL758">
        <f t="shared" ca="1" si="314"/>
        <v>0.80097827386970066</v>
      </c>
      <c r="AM758">
        <f t="shared" ca="1" si="315"/>
        <v>0.87277740977903884</v>
      </c>
      <c r="AN758">
        <f t="shared" ca="1" si="316"/>
        <v>0.94973064628469728</v>
      </c>
    </row>
    <row r="759" spans="2:40" x14ac:dyDescent="0.25">
      <c r="B759" s="1">
        <v>43994</v>
      </c>
      <c r="C759">
        <v>36.088000000000001</v>
      </c>
      <c r="D759">
        <v>27.155999999999999</v>
      </c>
      <c r="E759">
        <v>89.716999999999999</v>
      </c>
      <c r="G759">
        <v>43417.15</v>
      </c>
      <c r="I759" s="14">
        <f t="shared" si="299"/>
        <v>-1.1233492246150334E-2</v>
      </c>
      <c r="J759" s="15">
        <f t="shared" si="300"/>
        <v>-3.9745403111739797E-2</v>
      </c>
      <c r="K759" s="15">
        <f t="shared" si="301"/>
        <v>-9.0017445634534288E-2</v>
      </c>
      <c r="L759" s="15"/>
      <c r="M759" s="16">
        <f t="shared" si="302"/>
        <v>-3.7927042074065831E-2</v>
      </c>
      <c r="O759" s="13">
        <f t="shared" si="303"/>
        <v>-4.6998780330808142E-2</v>
      </c>
      <c r="Q759" s="5">
        <f t="shared" si="304"/>
        <v>3411.6145679520778</v>
      </c>
      <c r="R759" s="6">
        <f t="shared" si="305"/>
        <v>2686.2227694287544</v>
      </c>
      <c r="T759" s="11">
        <f t="shared" si="306"/>
        <v>1.2700415642287119</v>
      </c>
      <c r="V759" s="9">
        <v>43994</v>
      </c>
      <c r="W759">
        <v>111020</v>
      </c>
      <c r="X759">
        <v>163744.65830000001</v>
      </c>
      <c r="Y759">
        <v>63268.211900000002</v>
      </c>
      <c r="AC759" s="24">
        <f t="shared" si="307"/>
        <v>-4.0579632365770064E-2</v>
      </c>
      <c r="AE759" s="5">
        <f t="shared" si="308"/>
        <v>2596.9271050476227</v>
      </c>
      <c r="AF759" s="6">
        <f t="shared" si="309"/>
        <v>2686.2227694287544</v>
      </c>
      <c r="AH759" s="1">
        <f t="shared" si="310"/>
        <v>43994</v>
      </c>
      <c r="AI759">
        <f t="shared" si="311"/>
        <v>0.96675790801962369</v>
      </c>
      <c r="AJ759">
        <f t="shared" ca="1" si="312"/>
        <v>0.52080572452313911</v>
      </c>
      <c r="AK759">
        <f t="shared" ca="1" si="313"/>
        <v>0.72848198909574935</v>
      </c>
      <c r="AL759">
        <f t="shared" ca="1" si="314"/>
        <v>0.80349040123619064</v>
      </c>
      <c r="AM759">
        <f t="shared" ca="1" si="315"/>
        <v>0.89308812646552183</v>
      </c>
      <c r="AN759">
        <f t="shared" ca="1" si="316"/>
        <v>0.95351647550961549</v>
      </c>
    </row>
    <row r="760" spans="2:40" x14ac:dyDescent="0.25">
      <c r="B760" s="1">
        <v>44001</v>
      </c>
      <c r="C760">
        <v>35.905999999999999</v>
      </c>
      <c r="D760">
        <v>26.744</v>
      </c>
      <c r="E760">
        <v>83.885000000000005</v>
      </c>
      <c r="G760">
        <v>40951.449999999997</v>
      </c>
      <c r="I760" s="14">
        <f t="shared" si="299"/>
        <v>-5.0432276657060848E-3</v>
      </c>
      <c r="J760" s="15">
        <f t="shared" si="300"/>
        <v>-1.5171601119457923E-2</v>
      </c>
      <c r="K760" s="15">
        <f t="shared" si="301"/>
        <v>-6.5004402733038313E-2</v>
      </c>
      <c r="L760" s="15"/>
      <c r="M760" s="16">
        <f t="shared" si="302"/>
        <v>-5.6790922481093409E-2</v>
      </c>
      <c r="O760" s="13">
        <f t="shared" si="303"/>
        <v>-2.8406410506067441E-2</v>
      </c>
      <c r="Q760" s="5">
        <f t="shared" si="304"/>
        <v>3314.7028440463514</v>
      </c>
      <c r="R760" s="6">
        <f t="shared" si="305"/>
        <v>2533.669700363178</v>
      </c>
      <c r="T760" s="11">
        <f t="shared" si="306"/>
        <v>1.30826162682974</v>
      </c>
      <c r="V760" s="9">
        <v>44001</v>
      </c>
      <c r="W760">
        <v>110460</v>
      </c>
      <c r="X760">
        <v>161260.25659999999</v>
      </c>
      <c r="Y760">
        <v>59155.629099999998</v>
      </c>
      <c r="AC760" s="24">
        <f t="shared" si="307"/>
        <v>-2.1172142516580127E-2</v>
      </c>
      <c r="AE760" s="5">
        <f t="shared" si="308"/>
        <v>2541.9445942743846</v>
      </c>
      <c r="AF760" s="6">
        <f t="shared" si="309"/>
        <v>2533.669700363178</v>
      </c>
      <c r="AH760" s="1">
        <f t="shared" si="310"/>
        <v>44001</v>
      </c>
      <c r="AI760">
        <f t="shared" si="311"/>
        <v>1.0032659718470882</v>
      </c>
      <c r="AJ760">
        <f t="shared" ca="1" si="312"/>
        <v>0.52733392113010935</v>
      </c>
      <c r="AK760">
        <f t="shared" ca="1" si="313"/>
        <v>0.73251235294922468</v>
      </c>
      <c r="AL760">
        <f t="shared" ca="1" si="314"/>
        <v>0.81170550704971944</v>
      </c>
      <c r="AM760">
        <f t="shared" ca="1" si="315"/>
        <v>0.90321790918587141</v>
      </c>
      <c r="AN760">
        <f t="shared" ca="1" si="316"/>
        <v>0.96547467061992809</v>
      </c>
    </row>
    <row r="761" spans="2:40" x14ac:dyDescent="0.25">
      <c r="B761" s="1">
        <v>44008</v>
      </c>
      <c r="C761">
        <v>35.814999999999998</v>
      </c>
      <c r="D761">
        <v>27.681000000000001</v>
      </c>
      <c r="E761">
        <v>81.012</v>
      </c>
      <c r="G761">
        <v>40589.89</v>
      </c>
      <c r="I761" s="14">
        <f t="shared" si="299"/>
        <v>-2.5343953656771223E-3</v>
      </c>
      <c r="J761" s="15">
        <f t="shared" si="300"/>
        <v>3.5035895901884606E-2</v>
      </c>
      <c r="K761" s="15">
        <f t="shared" si="301"/>
        <v>-3.4249269833700913E-2</v>
      </c>
      <c r="L761" s="15"/>
      <c r="M761" s="16">
        <f t="shared" si="302"/>
        <v>-8.8289914032347871E-3</v>
      </c>
      <c r="O761" s="13">
        <f t="shared" si="303"/>
        <v>-5.8258976583114297E-4</v>
      </c>
      <c r="Q761" s="5">
        <f t="shared" si="304"/>
        <v>3312.7717320926386</v>
      </c>
      <c r="R761" s="6">
        <f t="shared" si="305"/>
        <v>2511.2999523600351</v>
      </c>
      <c r="T761" s="11">
        <f t="shared" si="306"/>
        <v>1.3191461772535007</v>
      </c>
      <c r="V761" s="9">
        <v>44008</v>
      </c>
      <c r="W761">
        <v>110180</v>
      </c>
      <c r="X761">
        <v>166906.62409999999</v>
      </c>
      <c r="Y761">
        <v>57129.1391</v>
      </c>
      <c r="AC761" s="24">
        <f t="shared" si="307"/>
        <v>1.0106240111616194E-2</v>
      </c>
      <c r="AE761" s="5">
        <f t="shared" si="308"/>
        <v>2567.6340966945459</v>
      </c>
      <c r="AF761" s="6">
        <f t="shared" si="309"/>
        <v>2511.2999523600351</v>
      </c>
      <c r="AH761" s="1">
        <f t="shared" si="310"/>
        <v>44008</v>
      </c>
      <c r="AI761">
        <f t="shared" si="311"/>
        <v>1.0224322643265173</v>
      </c>
      <c r="AJ761">
        <f t="shared" ca="1" si="312"/>
        <v>0.53480947632189169</v>
      </c>
      <c r="AK761">
        <f t="shared" ca="1" si="313"/>
        <v>0.73468123127813922</v>
      </c>
      <c r="AL761">
        <f t="shared" ca="1" si="314"/>
        <v>0.82054780341533484</v>
      </c>
      <c r="AM761">
        <f t="shared" ca="1" si="315"/>
        <v>0.90894837195682665</v>
      </c>
      <c r="AN761">
        <f t="shared" ca="1" si="316"/>
        <v>0.96916349732643425</v>
      </c>
    </row>
    <row r="762" spans="2:40" x14ac:dyDescent="0.25">
      <c r="B762" s="1">
        <v>44015</v>
      </c>
      <c r="C762">
        <v>33.357999999999997</v>
      </c>
      <c r="D762">
        <v>24.571999999999999</v>
      </c>
      <c r="E762">
        <v>82.744</v>
      </c>
      <c r="G762">
        <v>39758.199999999997</v>
      </c>
      <c r="I762" s="14">
        <f t="shared" si="299"/>
        <v>-6.8602540834845738E-2</v>
      </c>
      <c r="J762" s="15">
        <f t="shared" si="300"/>
        <v>-0.11231530652794341</v>
      </c>
      <c r="K762" s="15">
        <f t="shared" si="301"/>
        <v>2.1379548708833296E-2</v>
      </c>
      <c r="L762" s="15"/>
      <c r="M762" s="16">
        <f t="shared" si="302"/>
        <v>-2.0490077701614928E-2</v>
      </c>
      <c r="O762" s="13">
        <f t="shared" si="303"/>
        <v>-5.3179432884651955E-2</v>
      </c>
      <c r="Q762" s="5">
        <f t="shared" si="304"/>
        <v>3136.6004101036456</v>
      </c>
      <c r="R762" s="6">
        <f t="shared" si="305"/>
        <v>2459.8432212041162</v>
      </c>
      <c r="T762" s="11">
        <f t="shared" si="306"/>
        <v>1.275122082198495</v>
      </c>
      <c r="V762" s="9">
        <v>44015</v>
      </c>
      <c r="W762">
        <v>102620</v>
      </c>
      <c r="X762">
        <v>148160.68400000001</v>
      </c>
      <c r="Y762">
        <v>58350.993399999999</v>
      </c>
      <c r="AC762" s="24">
        <f t="shared" si="307"/>
        <v>-7.5051521042191413E-2</v>
      </c>
      <c r="AE762" s="5">
        <f t="shared" si="308"/>
        <v>2374.9292522578271</v>
      </c>
      <c r="AF762" s="6">
        <f t="shared" si="309"/>
        <v>2459.8432212041162</v>
      </c>
      <c r="AH762" s="1">
        <f t="shared" si="310"/>
        <v>44015</v>
      </c>
      <c r="AI762">
        <f t="shared" si="311"/>
        <v>0.96547992643827008</v>
      </c>
      <c r="AJ762">
        <f t="shared" ca="1" si="312"/>
        <v>0.54243374392748289</v>
      </c>
      <c r="AK762">
        <f t="shared" ca="1" si="313"/>
        <v>0.73829343171106365</v>
      </c>
      <c r="AL762">
        <f t="shared" ca="1" si="314"/>
        <v>0.82585237705274639</v>
      </c>
      <c r="AM762">
        <f t="shared" ca="1" si="315"/>
        <v>0.9218989886812452</v>
      </c>
      <c r="AN762">
        <f t="shared" ca="1" si="316"/>
        <v>0.98971628262513711</v>
      </c>
    </row>
    <row r="763" spans="2:40" x14ac:dyDescent="0.25">
      <c r="B763" s="1">
        <v>44022</v>
      </c>
      <c r="C763">
        <v>33.402999999999999</v>
      </c>
      <c r="D763">
        <v>23.373000000000001</v>
      </c>
      <c r="E763">
        <v>84.519000000000005</v>
      </c>
      <c r="G763">
        <v>42747.55</v>
      </c>
      <c r="I763" s="14">
        <f t="shared" si="299"/>
        <v>1.3490017387134401E-3</v>
      </c>
      <c r="J763" s="15">
        <f t="shared" si="300"/>
        <v>-4.87953768517011E-2</v>
      </c>
      <c r="K763" s="15">
        <f t="shared" si="301"/>
        <v>2.1451706468142762E-2</v>
      </c>
      <c r="L763" s="15"/>
      <c r="M763" s="16">
        <f t="shared" si="302"/>
        <v>7.5188263050138149E-2</v>
      </c>
      <c r="O763" s="13">
        <f t="shared" si="303"/>
        <v>-8.6648895482816322E-3</v>
      </c>
      <c r="Q763" s="5">
        <f t="shared" si="304"/>
        <v>3109.4221139930028</v>
      </c>
      <c r="R763" s="6">
        <f t="shared" si="305"/>
        <v>2644.7945603821104</v>
      </c>
      <c r="T763" s="11">
        <f t="shared" si="306"/>
        <v>1.1756762360944075</v>
      </c>
      <c r="V763" s="9">
        <v>44022</v>
      </c>
      <c r="W763">
        <v>102760</v>
      </c>
      <c r="X763">
        <v>140933.33350000001</v>
      </c>
      <c r="Y763">
        <v>59602.648999999998</v>
      </c>
      <c r="AC763" s="24">
        <f t="shared" si="307"/>
        <v>-1.8889663843352514E-2</v>
      </c>
      <c r="AE763" s="5">
        <f t="shared" si="308"/>
        <v>2330.067637030932</v>
      </c>
      <c r="AF763" s="6">
        <f t="shared" si="309"/>
        <v>2644.7945603821104</v>
      </c>
      <c r="AH763" s="1">
        <f t="shared" si="310"/>
        <v>44022</v>
      </c>
      <c r="AI763">
        <f t="shared" si="311"/>
        <v>0.88100137225565534</v>
      </c>
      <c r="AJ763">
        <f t="shared" ca="1" si="312"/>
        <v>0.61654520392116063</v>
      </c>
      <c r="AK763">
        <f t="shared" ca="1" si="313"/>
        <v>0.75161832275276708</v>
      </c>
      <c r="AL763">
        <f t="shared" ca="1" si="314"/>
        <v>0.83259945736839025</v>
      </c>
      <c r="AM763">
        <f t="shared" ca="1" si="315"/>
        <v>0.92834112923703982</v>
      </c>
      <c r="AN763">
        <f t="shared" ca="1" si="316"/>
        <v>0.98971628262513711</v>
      </c>
    </row>
    <row r="764" spans="2:40" x14ac:dyDescent="0.25">
      <c r="B764" s="1">
        <v>44029</v>
      </c>
      <c r="C764">
        <v>34.86</v>
      </c>
      <c r="D764">
        <v>25.096</v>
      </c>
      <c r="E764">
        <v>96.816999999999993</v>
      </c>
      <c r="G764">
        <v>45475.24</v>
      </c>
      <c r="I764" s="14">
        <f t="shared" si="299"/>
        <v>4.3618836631440283E-2</v>
      </c>
      <c r="J764" s="15">
        <f t="shared" si="300"/>
        <v>7.3717537329397231E-2</v>
      </c>
      <c r="K764" s="15">
        <f t="shared" si="301"/>
        <v>0.14550574427051899</v>
      </c>
      <c r="L764" s="15"/>
      <c r="M764" s="16">
        <f t="shared" si="302"/>
        <v>6.3809270940673679E-2</v>
      </c>
      <c r="O764" s="13">
        <f t="shared" si="303"/>
        <v>8.7614039410452163E-2</v>
      </c>
      <c r="Q764" s="5">
        <f t="shared" si="304"/>
        <v>3381.8511456321171</v>
      </c>
      <c r="R764" s="6">
        <f t="shared" si="305"/>
        <v>2813.5569730679522</v>
      </c>
      <c r="T764" s="11">
        <f t="shared" si="306"/>
        <v>1.201984242012518</v>
      </c>
      <c r="V764" s="9">
        <v>44029</v>
      </c>
      <c r="W764">
        <v>107240</v>
      </c>
      <c r="X764">
        <v>151322.64980000001</v>
      </c>
      <c r="Y764">
        <v>68274.834400000007</v>
      </c>
      <c r="AC764" s="24">
        <f t="shared" si="307"/>
        <v>7.7627331343661801E-2</v>
      </c>
      <c r="AE764" s="5">
        <f t="shared" si="308"/>
        <v>2510.9445695438753</v>
      </c>
      <c r="AF764" s="6">
        <f t="shared" si="309"/>
        <v>2813.5569730679522</v>
      </c>
      <c r="AH764" s="1">
        <f t="shared" si="310"/>
        <v>44029</v>
      </c>
      <c r="AI764">
        <f t="shared" si="311"/>
        <v>0.89244489931401572</v>
      </c>
      <c r="AJ764">
        <f t="shared" ca="1" si="312"/>
        <v>0.69903736443459641</v>
      </c>
      <c r="AK764">
        <f t="shared" ca="1" si="313"/>
        <v>0.75797296978853312</v>
      </c>
      <c r="AL764">
        <f t="shared" ca="1" si="314"/>
        <v>0.83650829522644732</v>
      </c>
      <c r="AM764">
        <f t="shared" ca="1" si="315"/>
        <v>0.92834112923703982</v>
      </c>
      <c r="AN764">
        <f t="shared" ca="1" si="316"/>
        <v>0.98971628262513711</v>
      </c>
    </row>
    <row r="765" spans="2:40" x14ac:dyDescent="0.25">
      <c r="B765" s="1">
        <v>44036</v>
      </c>
      <c r="C765">
        <v>38.045000000000002</v>
      </c>
      <c r="D765">
        <v>27.381</v>
      </c>
      <c r="E765">
        <v>108.26900000000001</v>
      </c>
      <c r="G765">
        <v>48605.06</v>
      </c>
      <c r="I765" s="14">
        <f t="shared" si="299"/>
        <v>9.1365461847389584E-2</v>
      </c>
      <c r="J765" s="15">
        <f t="shared" si="300"/>
        <v>9.1050366592285714E-2</v>
      </c>
      <c r="K765" s="15">
        <f t="shared" si="301"/>
        <v>0.11828501192972318</v>
      </c>
      <c r="L765" s="15"/>
      <c r="M765" s="16">
        <f t="shared" si="302"/>
        <v>6.882470548808528E-2</v>
      </c>
      <c r="O765" s="13">
        <f t="shared" si="303"/>
        <v>0.10023361345646616</v>
      </c>
      <c r="Q765" s="5">
        <f t="shared" si="304"/>
        <v>3720.8263061307139</v>
      </c>
      <c r="R765" s="6">
        <f t="shared" si="305"/>
        <v>3007.1992031133027</v>
      </c>
      <c r="T765" s="11">
        <f t="shared" si="306"/>
        <v>1.2373062290913768</v>
      </c>
      <c r="V765" s="9">
        <v>44036</v>
      </c>
      <c r="W765">
        <v>117040</v>
      </c>
      <c r="X765">
        <v>165099.78649999999</v>
      </c>
      <c r="Y765">
        <v>76350.993400000007</v>
      </c>
      <c r="AC765" s="24">
        <f t="shared" si="307"/>
        <v>9.6842944882831808E-2</v>
      </c>
      <c r="AE765" s="5">
        <f t="shared" si="308"/>
        <v>2754.1118360960586</v>
      </c>
      <c r="AF765" s="6">
        <f t="shared" si="309"/>
        <v>3007.1992031133027</v>
      </c>
      <c r="AH765" s="1">
        <f t="shared" si="310"/>
        <v>44036</v>
      </c>
      <c r="AI765">
        <f t="shared" si="311"/>
        <v>0.91583950715495432</v>
      </c>
      <c r="AJ765">
        <f t="shared" ca="1" si="312"/>
        <v>0.70453262041400355</v>
      </c>
      <c r="AK765">
        <f t="shared" ca="1" si="313"/>
        <v>0.75966984687851702</v>
      </c>
      <c r="AL765">
        <f t="shared" ca="1" si="314"/>
        <v>0.8401394902676651</v>
      </c>
      <c r="AM765">
        <f t="shared" ca="1" si="315"/>
        <v>0.92834112923703982</v>
      </c>
      <c r="AN765">
        <f t="shared" ca="1" si="316"/>
        <v>0.98971628262513711</v>
      </c>
    </row>
    <row r="766" spans="2:40" x14ac:dyDescent="0.25">
      <c r="B766" s="1">
        <v>44043</v>
      </c>
      <c r="C766">
        <v>41.594999999999999</v>
      </c>
      <c r="D766">
        <v>29.702999999999999</v>
      </c>
      <c r="E766">
        <v>108.69199999999999</v>
      </c>
      <c r="G766">
        <v>49253.62</v>
      </c>
      <c r="I766" s="14">
        <f t="shared" si="299"/>
        <v>9.3310553292153875E-2</v>
      </c>
      <c r="J766" s="15">
        <f t="shared" si="300"/>
        <v>8.4803330776815899E-2</v>
      </c>
      <c r="K766" s="15">
        <f t="shared" si="301"/>
        <v>3.9069355032372854E-3</v>
      </c>
      <c r="L766" s="15"/>
      <c r="M766" s="16">
        <f t="shared" si="302"/>
        <v>1.3343466709021756E-2</v>
      </c>
      <c r="O766" s="13">
        <f t="shared" si="303"/>
        <v>6.0673606524069022E-2</v>
      </c>
      <c r="Q766" s="5">
        <f t="shared" si="304"/>
        <v>3946.5822573732935</v>
      </c>
      <c r="R766" s="6">
        <f t="shared" si="305"/>
        <v>3047.3256655674418</v>
      </c>
      <c r="T766" s="11">
        <f t="shared" si="306"/>
        <v>1.295096976987657</v>
      </c>
      <c r="V766" s="9">
        <v>44043</v>
      </c>
      <c r="W766">
        <v>127960</v>
      </c>
      <c r="X766">
        <v>179102.77799999999</v>
      </c>
      <c r="Y766">
        <v>76649.006599999993</v>
      </c>
      <c r="AC766" s="24">
        <f t="shared" si="307"/>
        <v>7.0351537009994858E-2</v>
      </c>
      <c r="AE766" s="5">
        <f t="shared" si="308"/>
        <v>2947.8678368628352</v>
      </c>
      <c r="AF766" s="6">
        <f t="shared" si="309"/>
        <v>3047.3256655674418</v>
      </c>
      <c r="AH766" s="1">
        <f t="shared" si="310"/>
        <v>44043</v>
      </c>
      <c r="AI766">
        <f t="shared" si="311"/>
        <v>0.96736225805190179</v>
      </c>
      <c r="AJ766">
        <f t="shared" ca="1" si="312"/>
        <v>0.72692655483316782</v>
      </c>
      <c r="AK766">
        <f t="shared" ca="1" si="313"/>
        <v>0.7758390183791849</v>
      </c>
      <c r="AL766">
        <f t="shared" ca="1" si="314"/>
        <v>0.84590139688218235</v>
      </c>
      <c r="AM766">
        <f t="shared" ca="1" si="315"/>
        <v>0.92834112923703982</v>
      </c>
      <c r="AN766">
        <f t="shared" ca="1" si="316"/>
        <v>0.98971628262513711</v>
      </c>
    </row>
    <row r="767" spans="2:40" x14ac:dyDescent="0.25">
      <c r="B767" s="1">
        <v>44050</v>
      </c>
      <c r="C767">
        <v>43.597000000000001</v>
      </c>
      <c r="D767">
        <v>30.677</v>
      </c>
      <c r="E767">
        <v>124.666</v>
      </c>
      <c r="G767">
        <v>52325.83</v>
      </c>
      <c r="I767" s="14">
        <f t="shared" si="299"/>
        <v>4.8130784950114247E-2</v>
      </c>
      <c r="J767" s="15">
        <f t="shared" si="300"/>
        <v>3.2791300542032831E-2</v>
      </c>
      <c r="K767" s="15">
        <f t="shared" si="301"/>
        <v>0.14696573804879853</v>
      </c>
      <c r="L767" s="15"/>
      <c r="M767" s="16">
        <f t="shared" si="302"/>
        <v>6.2375313733284976E-2</v>
      </c>
      <c r="O767" s="13">
        <f t="shared" si="303"/>
        <v>7.5962607846981875E-2</v>
      </c>
      <c r="Q767" s="5">
        <f t="shared" si="304"/>
        <v>4246.3749377259974</v>
      </c>
      <c r="R767" s="6">
        <f t="shared" si="305"/>
        <v>3237.4035600047023</v>
      </c>
      <c r="T767" s="11">
        <f t="shared" si="306"/>
        <v>1.311660674679628</v>
      </c>
      <c r="V767" s="9">
        <v>44050</v>
      </c>
      <c r="W767">
        <v>134120</v>
      </c>
      <c r="X767">
        <v>184975.00020000001</v>
      </c>
      <c r="Y767">
        <v>87913.907300000006</v>
      </c>
      <c r="AC767" s="24">
        <f t="shared" si="307"/>
        <v>6.071381444145469E-2</v>
      </c>
      <c r="AE767" s="5">
        <f t="shared" si="308"/>
        <v>3126.844137708058</v>
      </c>
      <c r="AF767" s="6">
        <f t="shared" si="309"/>
        <v>3237.4035600047023</v>
      </c>
      <c r="AH767" s="1">
        <f t="shared" si="310"/>
        <v>44050</v>
      </c>
      <c r="AI767">
        <f t="shared" si="311"/>
        <v>0.96584935419775608</v>
      </c>
      <c r="AJ767">
        <f t="shared" ca="1" si="312"/>
        <v>0.72953784903040664</v>
      </c>
      <c r="AK767">
        <f t="shared" ca="1" si="313"/>
        <v>0.7813739515797502</v>
      </c>
      <c r="AL767">
        <f t="shared" ca="1" si="314"/>
        <v>0.85067338434854545</v>
      </c>
      <c r="AM767">
        <f t="shared" ca="1" si="315"/>
        <v>0.93799130441445044</v>
      </c>
      <c r="AN767">
        <f t="shared" ca="1" si="316"/>
        <v>0.98971628262513711</v>
      </c>
    </row>
    <row r="768" spans="2:40" x14ac:dyDescent="0.25">
      <c r="B768" s="1">
        <v>44057</v>
      </c>
      <c r="C768">
        <v>44.462000000000003</v>
      </c>
      <c r="D768">
        <v>29.478999999999999</v>
      </c>
      <c r="E768">
        <v>111.607</v>
      </c>
      <c r="G768">
        <v>48547.91</v>
      </c>
      <c r="I768" s="14">
        <f t="shared" ref="I768:I831" si="317">+C768/C767-1</f>
        <v>1.9840814734958911E-2</v>
      </c>
      <c r="J768" s="15">
        <f t="shared" ref="J768:J831" si="318">+D768/D767-1</f>
        <v>-3.9052058545490098E-2</v>
      </c>
      <c r="K768" s="15">
        <f t="shared" ref="K768:K831" si="319">+E768/E767-1</f>
        <v>-0.10475189706896826</v>
      </c>
      <c r="L768" s="15"/>
      <c r="M768" s="16">
        <f t="shared" ref="M768:M831" si="320">+G768/G767-1</f>
        <v>-7.2199905859113955E-2</v>
      </c>
      <c r="O768" s="13">
        <f t="shared" ref="O768:O831" si="321">+AVERAGE(I768:L768)</f>
        <v>-4.1321046959833151E-2</v>
      </c>
      <c r="Q768" s="5">
        <f t="shared" ref="Q768:Q831" si="322">+Q767*(1+O768)</f>
        <v>4070.9102795151625</v>
      </c>
      <c r="R768" s="6">
        <f t="shared" ref="R768:R831" si="323">+R767*(1+M768)</f>
        <v>3003.6633277444025</v>
      </c>
      <c r="T768" s="11">
        <f t="shared" ref="T768:T831" si="324">+Q768/R768</f>
        <v>1.3553151053624268</v>
      </c>
      <c r="V768" s="9">
        <v>44057</v>
      </c>
      <c r="W768">
        <v>136780</v>
      </c>
      <c r="X768">
        <v>177747.64980000001</v>
      </c>
      <c r="Y768">
        <v>78705.297999999995</v>
      </c>
      <c r="AC768" s="24">
        <f t="shared" ref="AC768:AC831" si="325">+SUMPRODUCT(I768:L768,W767:Z767)/SUM(W767:AA767)</f>
        <v>-3.3836490503417721E-2</v>
      </c>
      <c r="AE768" s="5">
        <f t="shared" ref="AE768:AE831" si="326">+AE767*(1+AC768)</f>
        <v>3021.042705736832</v>
      </c>
      <c r="AF768" s="6">
        <f t="shared" ref="AF768:AF831" si="327">+AF767*(1+M768)</f>
        <v>3003.6633277444025</v>
      </c>
      <c r="AH768" s="1">
        <f t="shared" ref="AH768:AH831" si="328">+B768</f>
        <v>44057</v>
      </c>
      <c r="AI768">
        <f t="shared" ref="AI768:AI831" si="329">+(AE768/$AE$6)/(AF768/$AF$6)</f>
        <v>1.0057860605853854</v>
      </c>
      <c r="AJ768">
        <f t="shared" ref="AJ768:AJ831" ca="1" si="330">+_xlfn.PERCENTILE.INC(OFFSET(AI768,-52,0,52,1),0.1)</f>
        <v>0.73379303803268603</v>
      </c>
      <c r="AK768">
        <f t="shared" ref="AK768:AK831" ca="1" si="331">+_xlfn.PERCENTILE.INC(OFFSET(AI768,-52,0,52,1),0.25)</f>
        <v>0.78782950092605575</v>
      </c>
      <c r="AL768">
        <f t="shared" ref="AL768:AL831" ca="1" si="332">+_xlfn.PERCENTILE.INC(OFFSET(AI768,-52,0,52,1),0.5)</f>
        <v>0.85478621506682151</v>
      </c>
      <c r="AM768">
        <f t="shared" ref="AM768:AM831" ca="1" si="333">+_xlfn.PERCENTILE.INC(OFFSET(AI768,-52,0,52,1),0.75)</f>
        <v>0.94905267933625947</v>
      </c>
      <c r="AN768">
        <f t="shared" ref="AN768:AN831" ca="1" si="334">+_xlfn.PERCENTILE.INC(OFFSET(AI768,-52,0,52,1),0.9)</f>
        <v>0.98971628262513711</v>
      </c>
    </row>
    <row r="769" spans="2:40" x14ac:dyDescent="0.25">
      <c r="B769" s="1">
        <v>44064</v>
      </c>
      <c r="C769">
        <v>44.734999999999999</v>
      </c>
      <c r="D769">
        <v>29.591000000000001</v>
      </c>
      <c r="E769">
        <v>113.298</v>
      </c>
      <c r="G769">
        <v>47411.28</v>
      </c>
      <c r="I769" s="14">
        <f t="shared" si="317"/>
        <v>6.1400746705051468E-3</v>
      </c>
      <c r="J769" s="15">
        <f t="shared" si="318"/>
        <v>3.7993147664439064E-3</v>
      </c>
      <c r="K769" s="15">
        <f t="shared" si="319"/>
        <v>1.5151379393765652E-2</v>
      </c>
      <c r="L769" s="15"/>
      <c r="M769" s="16">
        <f t="shared" si="320"/>
        <v>-2.3412542373090872E-2</v>
      </c>
      <c r="O769" s="13">
        <f t="shared" si="321"/>
        <v>8.3635896102382343E-3</v>
      </c>
      <c r="Q769" s="5">
        <f t="shared" si="322"/>
        <v>4104.9577024331275</v>
      </c>
      <c r="R769" s="6">
        <f t="shared" si="323"/>
        <v>2933.3399328090877</v>
      </c>
      <c r="T769" s="11">
        <f t="shared" si="324"/>
        <v>1.3994142501247886</v>
      </c>
      <c r="V769" s="9">
        <v>44064</v>
      </c>
      <c r="W769">
        <v>137620</v>
      </c>
      <c r="X769">
        <v>178425.2139</v>
      </c>
      <c r="Y769">
        <v>79897.350999999995</v>
      </c>
      <c r="AC769" s="24">
        <f t="shared" si="325"/>
        <v>6.8856196548719587E-3</v>
      </c>
      <c r="AE769" s="5">
        <f t="shared" si="326"/>
        <v>3041.8444567696611</v>
      </c>
      <c r="AF769" s="6">
        <f t="shared" si="327"/>
        <v>2933.3399328090877</v>
      </c>
      <c r="AH769" s="1">
        <f t="shared" si="328"/>
        <v>44064</v>
      </c>
      <c r="AI769">
        <f t="shared" si="329"/>
        <v>1.036990095401819</v>
      </c>
      <c r="AJ769">
        <f t="shared" ca="1" si="330"/>
        <v>0.73545892241768029</v>
      </c>
      <c r="AK769">
        <f t="shared" ca="1" si="331"/>
        <v>0.79188690878855783</v>
      </c>
      <c r="AL769">
        <f t="shared" ca="1" si="332"/>
        <v>0.85971511835807934</v>
      </c>
      <c r="AM769">
        <f t="shared" ca="1" si="333"/>
        <v>0.95085759517477875</v>
      </c>
      <c r="AN769">
        <f t="shared" ca="1" si="334"/>
        <v>0.9938958093308613</v>
      </c>
    </row>
    <row r="770" spans="2:40" x14ac:dyDescent="0.25">
      <c r="B770" s="1">
        <v>44071</v>
      </c>
      <c r="C770">
        <v>43.506</v>
      </c>
      <c r="D770">
        <v>27.643000000000001</v>
      </c>
      <c r="E770">
        <v>109.15600000000001</v>
      </c>
      <c r="G770">
        <v>46396.58</v>
      </c>
      <c r="I770" s="14">
        <f t="shared" si="317"/>
        <v>-2.7472895942774134E-2</v>
      </c>
      <c r="J770" s="15">
        <f t="shared" si="318"/>
        <v>-6.583082694062381E-2</v>
      </c>
      <c r="K770" s="15">
        <f t="shared" si="319"/>
        <v>-3.6558456459955146E-2</v>
      </c>
      <c r="L770" s="15"/>
      <c r="M770" s="16">
        <f t="shared" si="320"/>
        <v>-2.1402079842602784E-2</v>
      </c>
      <c r="O770" s="13">
        <f t="shared" si="321"/>
        <v>-4.3287393114451032E-2</v>
      </c>
      <c r="Q770" s="5">
        <f t="shared" si="322"/>
        <v>3927.2647846497107</v>
      </c>
      <c r="R770" s="6">
        <f t="shared" si="323"/>
        <v>2870.5603573616127</v>
      </c>
      <c r="T770" s="11">
        <f t="shared" si="324"/>
        <v>1.3681178222148012</v>
      </c>
      <c r="V770" s="9">
        <v>44071</v>
      </c>
      <c r="W770">
        <v>133840</v>
      </c>
      <c r="X770">
        <v>166680.76939999999</v>
      </c>
      <c r="Y770">
        <v>76976.821200000006</v>
      </c>
      <c r="AC770" s="24">
        <f t="shared" si="325"/>
        <v>-4.6591664501132078E-2</v>
      </c>
      <c r="AE770" s="5">
        <f t="shared" si="326"/>
        <v>2900.1198603752209</v>
      </c>
      <c r="AF770" s="6">
        <f t="shared" si="327"/>
        <v>2870.5603573616127</v>
      </c>
      <c r="AH770" s="1">
        <f t="shared" si="328"/>
        <v>44071</v>
      </c>
      <c r="AI770">
        <f t="shared" si="329"/>
        <v>1.010297467857731</v>
      </c>
      <c r="AJ770">
        <f t="shared" ca="1" si="330"/>
        <v>0.74101492028108529</v>
      </c>
      <c r="AK770">
        <f t="shared" ca="1" si="331"/>
        <v>0.79758508049858468</v>
      </c>
      <c r="AL770">
        <f t="shared" ca="1" si="332"/>
        <v>0.86459948890402005</v>
      </c>
      <c r="AM770">
        <f t="shared" ca="1" si="333"/>
        <v>0.95681413212656796</v>
      </c>
      <c r="AN770">
        <f t="shared" ca="1" si="334"/>
        <v>0.99431494869296766</v>
      </c>
    </row>
    <row r="771" spans="2:40" x14ac:dyDescent="0.25">
      <c r="B771" s="1">
        <v>44078</v>
      </c>
      <c r="C771">
        <v>44.097999999999999</v>
      </c>
      <c r="D771">
        <v>28.692</v>
      </c>
      <c r="E771">
        <v>103.536</v>
      </c>
      <c r="G771">
        <v>45075.06</v>
      </c>
      <c r="I771" s="14">
        <f t="shared" si="317"/>
        <v>1.3607318530777235E-2</v>
      </c>
      <c r="J771" s="15">
        <f t="shared" si="318"/>
        <v>3.7948124299099106E-2</v>
      </c>
      <c r="K771" s="15">
        <f t="shared" si="319"/>
        <v>-5.1485946718458075E-2</v>
      </c>
      <c r="L771" s="15"/>
      <c r="M771" s="16">
        <f t="shared" si="320"/>
        <v>-2.8483133886161527E-2</v>
      </c>
      <c r="O771" s="13">
        <f t="shared" si="321"/>
        <v>2.3165370472755242E-5</v>
      </c>
      <c r="Q771" s="5">
        <f t="shared" si="322"/>
        <v>3927.3557611933916</v>
      </c>
      <c r="R771" s="6">
        <f t="shared" si="323"/>
        <v>2788.7978023745741</v>
      </c>
      <c r="T771" s="11">
        <f t="shared" si="324"/>
        <v>1.4082612076965102</v>
      </c>
      <c r="V771" s="9">
        <v>44078</v>
      </c>
      <c r="W771">
        <v>135660</v>
      </c>
      <c r="X771">
        <v>173004.70110000001</v>
      </c>
      <c r="Y771">
        <v>73013.244999999995</v>
      </c>
      <c r="AC771" s="24">
        <f t="shared" si="325"/>
        <v>1.1081399343798686E-2</v>
      </c>
      <c r="AE771" s="5">
        <f t="shared" si="326"/>
        <v>2932.25724669292</v>
      </c>
      <c r="AF771" s="6">
        <f t="shared" si="327"/>
        <v>2788.7978023745741</v>
      </c>
      <c r="AH771" s="1">
        <f t="shared" si="328"/>
        <v>44078</v>
      </c>
      <c r="AI771">
        <f t="shared" si="329"/>
        <v>1.0514413214884903</v>
      </c>
      <c r="AJ771">
        <f t="shared" ca="1" si="330"/>
        <v>0.75600007651476309</v>
      </c>
      <c r="AK771">
        <f t="shared" ca="1" si="331"/>
        <v>0.80183257935859453</v>
      </c>
      <c r="AL771">
        <f t="shared" ca="1" si="332"/>
        <v>0.87403175373930364</v>
      </c>
      <c r="AM771">
        <f t="shared" ca="1" si="333"/>
        <v>0.9655722833781416</v>
      </c>
      <c r="AN771">
        <f t="shared" ca="1" si="334"/>
        <v>1.002373149373319</v>
      </c>
    </row>
    <row r="772" spans="2:40" x14ac:dyDescent="0.25">
      <c r="B772" s="1">
        <v>44085</v>
      </c>
      <c r="C772">
        <v>45.691000000000003</v>
      </c>
      <c r="D772">
        <v>29.029</v>
      </c>
      <c r="E772">
        <v>111.396</v>
      </c>
      <c r="G772">
        <v>45839.99</v>
      </c>
      <c r="I772" s="14">
        <f t="shared" si="317"/>
        <v>3.6124087260193338E-2</v>
      </c>
      <c r="J772" s="15">
        <f t="shared" si="318"/>
        <v>1.1745434267391497E-2</v>
      </c>
      <c r="K772" s="15">
        <f t="shared" si="319"/>
        <v>7.5915623551228606E-2</v>
      </c>
      <c r="L772" s="15"/>
      <c r="M772" s="16">
        <f t="shared" si="320"/>
        <v>1.6970138253836975E-2</v>
      </c>
      <c r="O772" s="13">
        <f t="shared" si="321"/>
        <v>4.1261715026271149E-2</v>
      </c>
      <c r="Q772" s="5">
        <f t="shared" si="322"/>
        <v>4089.405195418537</v>
      </c>
      <c r="R772" s="6">
        <f t="shared" si="323"/>
        <v>2836.1240866428675</v>
      </c>
      <c r="T772" s="11">
        <f t="shared" si="324"/>
        <v>1.4418992506985771</v>
      </c>
      <c r="V772" s="9">
        <v>44085</v>
      </c>
      <c r="W772">
        <v>140560</v>
      </c>
      <c r="X772">
        <v>175037.3934</v>
      </c>
      <c r="Y772">
        <v>78556.291400000002</v>
      </c>
      <c r="AC772" s="24">
        <f t="shared" si="325"/>
        <v>3.2685815807766458E-2</v>
      </c>
      <c r="AE772" s="5">
        <f t="shared" si="326"/>
        <v>3028.1004669593135</v>
      </c>
      <c r="AF772" s="6">
        <f t="shared" si="327"/>
        <v>2836.1240866428675</v>
      </c>
      <c r="AH772" s="1">
        <f t="shared" si="328"/>
        <v>44085</v>
      </c>
      <c r="AI772">
        <f t="shared" si="329"/>
        <v>1.0676896970836314</v>
      </c>
      <c r="AJ772">
        <f t="shared" ca="1" si="330"/>
        <v>0.75885685115845436</v>
      </c>
      <c r="AK772">
        <f t="shared" ca="1" si="331"/>
        <v>0.80389215943054182</v>
      </c>
      <c r="AL772">
        <f t="shared" ca="1" si="332"/>
        <v>0.88546230285147765</v>
      </c>
      <c r="AM772">
        <f t="shared" ca="1" si="333"/>
        <v>0.96607649265322304</v>
      </c>
      <c r="AN772">
        <f t="shared" ca="1" si="334"/>
        <v>1.0055340517115556</v>
      </c>
    </row>
    <row r="773" spans="2:40" x14ac:dyDescent="0.25">
      <c r="B773" s="1">
        <v>44092</v>
      </c>
      <c r="C773">
        <v>40.503</v>
      </c>
      <c r="D773">
        <v>27.792999999999999</v>
      </c>
      <c r="E773">
        <v>96.478999999999999</v>
      </c>
      <c r="G773">
        <v>41484.06</v>
      </c>
      <c r="I773" s="14">
        <f t="shared" si="317"/>
        <v>-0.11354533715611392</v>
      </c>
      <c r="J773" s="15">
        <f t="shared" si="318"/>
        <v>-4.2578111543628783E-2</v>
      </c>
      <c r="K773" s="15">
        <f t="shared" si="319"/>
        <v>-0.13390965564293156</v>
      </c>
      <c r="L773" s="15"/>
      <c r="M773" s="16">
        <f t="shared" si="320"/>
        <v>-9.5024671689500795E-2</v>
      </c>
      <c r="O773" s="13">
        <f t="shared" si="321"/>
        <v>-9.6677701447558093E-2</v>
      </c>
      <c r="Q773" s="5">
        <f t="shared" si="322"/>
        <v>3694.0509008377708</v>
      </c>
      <c r="R773" s="6">
        <f t="shared" si="323"/>
        <v>2566.6223264389437</v>
      </c>
      <c r="T773" s="11">
        <f t="shared" si="324"/>
        <v>1.439265474622079</v>
      </c>
      <c r="V773" s="9">
        <v>44092</v>
      </c>
      <c r="W773">
        <v>124600</v>
      </c>
      <c r="X773">
        <v>167584.18830000001</v>
      </c>
      <c r="Y773">
        <v>68036.423800000004</v>
      </c>
      <c r="AC773" s="24">
        <f t="shared" si="325"/>
        <v>-8.6088603226764496E-2</v>
      </c>
      <c r="AE773" s="5">
        <f t="shared" si="326"/>
        <v>2767.4155273284728</v>
      </c>
      <c r="AF773" s="6">
        <f t="shared" si="327"/>
        <v>2566.6223264389437</v>
      </c>
      <c r="AH773" s="1">
        <f t="shared" si="328"/>
        <v>44092</v>
      </c>
      <c r="AI773">
        <f t="shared" si="329"/>
        <v>1.0782324687279252</v>
      </c>
      <c r="AJ773">
        <f t="shared" ca="1" si="330"/>
        <v>0.76209673498529362</v>
      </c>
      <c r="AK773">
        <f t="shared" ca="1" si="331"/>
        <v>0.81541130176213272</v>
      </c>
      <c r="AL773">
        <f t="shared" ca="1" si="332"/>
        <v>0.89118406638065784</v>
      </c>
      <c r="AM773">
        <f t="shared" ca="1" si="333"/>
        <v>0.96690899552769327</v>
      </c>
      <c r="AN773">
        <f t="shared" ca="1" si="334"/>
        <v>1.0098463271304965</v>
      </c>
    </row>
    <row r="774" spans="2:40" x14ac:dyDescent="0.25">
      <c r="B774" s="1">
        <v>44099</v>
      </c>
      <c r="C774">
        <v>43.188000000000002</v>
      </c>
      <c r="D774">
        <v>29.140999999999998</v>
      </c>
      <c r="E774">
        <v>103.494</v>
      </c>
      <c r="G774">
        <v>42042.45</v>
      </c>
      <c r="I774" s="14">
        <f t="shared" si="317"/>
        <v>6.629138582327232E-2</v>
      </c>
      <c r="J774" s="15">
        <f t="shared" si="318"/>
        <v>4.8501421221170737E-2</v>
      </c>
      <c r="K774" s="15">
        <f t="shared" si="319"/>
        <v>7.2710123446553032E-2</v>
      </c>
      <c r="L774" s="15"/>
      <c r="M774" s="16">
        <f t="shared" si="320"/>
        <v>1.3460350794979981E-2</v>
      </c>
      <c r="O774" s="13">
        <f t="shared" si="321"/>
        <v>6.2500976830332025E-2</v>
      </c>
      <c r="Q774" s="5">
        <f t="shared" si="322"/>
        <v>3924.9326906010992</v>
      </c>
      <c r="R774" s="6">
        <f t="shared" si="323"/>
        <v>2601.1699633110393</v>
      </c>
      <c r="T774" s="11">
        <f t="shared" si="324"/>
        <v>1.5089105079489067</v>
      </c>
      <c r="V774" s="9">
        <v>44099</v>
      </c>
      <c r="W774">
        <v>132860</v>
      </c>
      <c r="X774">
        <v>175714.95749999999</v>
      </c>
      <c r="Y774">
        <v>72983.443700000003</v>
      </c>
      <c r="AC774" s="24">
        <f t="shared" si="325"/>
        <v>5.9227356894733407E-2</v>
      </c>
      <c r="AE774" s="5">
        <f t="shared" si="326"/>
        <v>2931.3222344415831</v>
      </c>
      <c r="AF774" s="6">
        <f t="shared" si="327"/>
        <v>2601.1699633110393</v>
      </c>
      <c r="AH774" s="1">
        <f t="shared" si="328"/>
        <v>44099</v>
      </c>
      <c r="AI774">
        <f t="shared" si="329"/>
        <v>1.1269245284957434</v>
      </c>
      <c r="AJ774">
        <f t="shared" ca="1" si="330"/>
        <v>0.78115777060389069</v>
      </c>
      <c r="AK774">
        <f t="shared" ca="1" si="331"/>
        <v>0.82126315688572915</v>
      </c>
      <c r="AL774">
        <f t="shared" ca="1" si="332"/>
        <v>0.89751385241710169</v>
      </c>
      <c r="AM774">
        <f t="shared" ca="1" si="333"/>
        <v>0.96787938979572408</v>
      </c>
      <c r="AN774">
        <f t="shared" ca="1" si="334"/>
        <v>1.0122295441223914</v>
      </c>
    </row>
    <row r="775" spans="2:40" x14ac:dyDescent="0.25">
      <c r="B775" s="1">
        <v>44106</v>
      </c>
      <c r="C775">
        <v>45.417999999999999</v>
      </c>
      <c r="D775">
        <v>30.715</v>
      </c>
      <c r="E775">
        <v>114.777</v>
      </c>
      <c r="G775">
        <v>43654.37</v>
      </c>
      <c r="I775" s="14">
        <f t="shared" si="317"/>
        <v>5.1634713346299765E-2</v>
      </c>
      <c r="J775" s="15">
        <f t="shared" si="318"/>
        <v>5.4013245942143406E-2</v>
      </c>
      <c r="K775" s="15">
        <f t="shared" si="319"/>
        <v>0.10902081280074216</v>
      </c>
      <c r="L775" s="15"/>
      <c r="M775" s="16">
        <f t="shared" si="320"/>
        <v>3.8340296533622809E-2</v>
      </c>
      <c r="O775" s="13">
        <f t="shared" si="321"/>
        <v>7.1556257363061773E-2</v>
      </c>
      <c r="Q775" s="5">
        <f t="shared" si="322"/>
        <v>4205.7861843424462</v>
      </c>
      <c r="R775" s="6">
        <f t="shared" si="323"/>
        <v>2700.8995910387371</v>
      </c>
      <c r="T775" s="11">
        <f t="shared" si="324"/>
        <v>1.5571797627341437</v>
      </c>
      <c r="V775" s="9">
        <v>44106</v>
      </c>
      <c r="W775">
        <v>139720</v>
      </c>
      <c r="X775">
        <v>185200.85490000001</v>
      </c>
      <c r="Y775">
        <v>80940.397299999997</v>
      </c>
      <c r="AC775" s="24">
        <f t="shared" si="325"/>
        <v>6.370672879190524E-2</v>
      </c>
      <c r="AE775" s="5">
        <f t="shared" si="326"/>
        <v>3118.0671850328349</v>
      </c>
      <c r="AF775" s="6">
        <f t="shared" si="327"/>
        <v>2700.8995910387371</v>
      </c>
      <c r="AH775" s="1">
        <f t="shared" si="328"/>
        <v>44106</v>
      </c>
      <c r="AI775">
        <f t="shared" si="329"/>
        <v>1.1544550546707513</v>
      </c>
      <c r="AJ775">
        <f t="shared" ca="1" si="330"/>
        <v>0.78230675181787745</v>
      </c>
      <c r="AK775">
        <f t="shared" ca="1" si="331"/>
        <v>0.82778931040105785</v>
      </c>
      <c r="AL775">
        <f t="shared" ca="1" si="332"/>
        <v>0.90385301285155528</v>
      </c>
      <c r="AM775">
        <f t="shared" ca="1" si="333"/>
        <v>0.97506564547106489</v>
      </c>
      <c r="AN775">
        <f t="shared" ca="1" si="334"/>
        <v>1.0214334598201564</v>
      </c>
    </row>
    <row r="776" spans="2:40" x14ac:dyDescent="0.25">
      <c r="B776" s="1">
        <v>44113</v>
      </c>
      <c r="C776">
        <v>48.057000000000002</v>
      </c>
      <c r="D776">
        <v>35.06</v>
      </c>
      <c r="E776">
        <v>122.39400000000001</v>
      </c>
      <c r="G776">
        <v>45856.11</v>
      </c>
      <c r="I776" s="14">
        <f t="shared" si="317"/>
        <v>5.8104716191818229E-2</v>
      </c>
      <c r="J776" s="15">
        <f t="shared" si="318"/>
        <v>0.14146182646915206</v>
      </c>
      <c r="K776" s="15">
        <f t="shared" si="319"/>
        <v>6.636347003319476E-2</v>
      </c>
      <c r="L776" s="15"/>
      <c r="M776" s="16">
        <f t="shared" si="320"/>
        <v>5.0435729573007126E-2</v>
      </c>
      <c r="O776" s="13">
        <f t="shared" si="321"/>
        <v>8.8643337564721689E-2</v>
      </c>
      <c r="Q776" s="5">
        <f t="shared" si="322"/>
        <v>4578.6011088061568</v>
      </c>
      <c r="R776" s="6">
        <f t="shared" si="323"/>
        <v>2837.1214324162124</v>
      </c>
      <c r="T776" s="11">
        <f t="shared" si="324"/>
        <v>1.6138192241235254</v>
      </c>
      <c r="V776" s="9">
        <v>44113</v>
      </c>
      <c r="W776">
        <v>147840</v>
      </c>
      <c r="X776">
        <v>211400.00030000001</v>
      </c>
      <c r="Y776">
        <v>83950.331099999996</v>
      </c>
      <c r="AC776" s="24">
        <f t="shared" si="325"/>
        <v>9.7788905838340281E-2</v>
      </c>
      <c r="AE776" s="5">
        <f t="shared" si="326"/>
        <v>3422.9795633876297</v>
      </c>
      <c r="AF776" s="6">
        <f t="shared" si="327"/>
        <v>2837.1214324162124</v>
      </c>
      <c r="AH776" s="1">
        <f t="shared" si="328"/>
        <v>44113</v>
      </c>
      <c r="AI776">
        <f t="shared" si="329"/>
        <v>1.2064973759239046</v>
      </c>
      <c r="AJ776">
        <f t="shared" ca="1" si="330"/>
        <v>0.79021140501044873</v>
      </c>
      <c r="AK776">
        <f t="shared" ca="1" si="331"/>
        <v>0.83403606417790077</v>
      </c>
      <c r="AL776">
        <f t="shared" ca="1" si="332"/>
        <v>0.91048136366893861</v>
      </c>
      <c r="AM776">
        <f t="shared" ca="1" si="333"/>
        <v>0.99250511083829074</v>
      </c>
      <c r="AN776">
        <f t="shared" ca="1" si="334"/>
        <v>1.0355343122942888</v>
      </c>
    </row>
    <row r="777" spans="2:40" x14ac:dyDescent="0.25">
      <c r="B777" s="1">
        <v>44120</v>
      </c>
      <c r="C777">
        <v>48.875999999999998</v>
      </c>
      <c r="D777">
        <v>38.280999999999999</v>
      </c>
      <c r="E777">
        <v>132.90899999999999</v>
      </c>
      <c r="G777">
        <v>49024.09</v>
      </c>
      <c r="I777" s="14">
        <f t="shared" si="317"/>
        <v>1.7042262313502698E-2</v>
      </c>
      <c r="J777" s="15">
        <f t="shared" si="318"/>
        <v>9.1871078151739782E-2</v>
      </c>
      <c r="K777" s="15">
        <f t="shared" si="319"/>
        <v>8.5911074072258398E-2</v>
      </c>
      <c r="L777" s="15"/>
      <c r="M777" s="16">
        <f t="shared" si="320"/>
        <v>6.9085232044322931E-2</v>
      </c>
      <c r="O777" s="13">
        <f t="shared" si="321"/>
        <v>6.4941471512500293E-2</v>
      </c>
      <c r="Q777" s="5">
        <f t="shared" si="322"/>
        <v>4875.9422022807939</v>
      </c>
      <c r="R777" s="6">
        <f t="shared" si="323"/>
        <v>3033.1246249126084</v>
      </c>
      <c r="T777" s="11">
        <f t="shared" si="324"/>
        <v>1.6075640816840098</v>
      </c>
      <c r="V777" s="9">
        <v>44120</v>
      </c>
      <c r="W777">
        <v>150360</v>
      </c>
      <c r="X777">
        <v>230823.50459999999</v>
      </c>
      <c r="Y777">
        <v>91162.251600000003</v>
      </c>
      <c r="AC777" s="24">
        <f t="shared" si="325"/>
        <v>6.5780625291840616E-2</v>
      </c>
      <c r="AE777" s="5">
        <f t="shared" si="326"/>
        <v>3648.14529942846</v>
      </c>
      <c r="AF777" s="6">
        <f t="shared" si="327"/>
        <v>3033.1246249126084</v>
      </c>
      <c r="AH777" s="1">
        <f t="shared" si="328"/>
        <v>44120</v>
      </c>
      <c r="AI777">
        <f t="shared" si="329"/>
        <v>1.2027680199700241</v>
      </c>
      <c r="AJ777">
        <f t="shared" ca="1" si="330"/>
        <v>0.79320516627593118</v>
      </c>
      <c r="AK777">
        <f t="shared" ca="1" si="331"/>
        <v>0.83702610734596539</v>
      </c>
      <c r="AL777">
        <f t="shared" ca="1" si="332"/>
        <v>0.91813166721674611</v>
      </c>
      <c r="AM777">
        <f t="shared" ca="1" si="333"/>
        <v>0.99416675898617646</v>
      </c>
      <c r="AN777">
        <f t="shared" ca="1" si="334"/>
        <v>1.0499961988798232</v>
      </c>
    </row>
    <row r="778" spans="2:40" x14ac:dyDescent="0.25">
      <c r="B778" s="1">
        <v>44127</v>
      </c>
      <c r="C778">
        <v>48.057000000000002</v>
      </c>
      <c r="D778">
        <v>43.15</v>
      </c>
      <c r="E778">
        <v>139.81700000000001</v>
      </c>
      <c r="G778">
        <v>52512.6</v>
      </c>
      <c r="I778" s="14">
        <f t="shared" si="317"/>
        <v>-1.6756690400196339E-2</v>
      </c>
      <c r="J778" s="15">
        <f t="shared" si="318"/>
        <v>0.12719103471696136</v>
      </c>
      <c r="K778" s="15">
        <f t="shared" si="319"/>
        <v>5.1975411747887668E-2</v>
      </c>
      <c r="L778" s="15"/>
      <c r="M778" s="16">
        <f t="shared" si="320"/>
        <v>7.1159097496761303E-2</v>
      </c>
      <c r="O778" s="13">
        <f t="shared" si="321"/>
        <v>5.4136585354884227E-2</v>
      </c>
      <c r="Q778" s="5">
        <f t="shared" si="322"/>
        <v>5139.9090635000503</v>
      </c>
      <c r="R778" s="6">
        <f t="shared" si="323"/>
        <v>3248.9590358165924</v>
      </c>
      <c r="T778" s="11">
        <f t="shared" si="324"/>
        <v>1.5820171959195499</v>
      </c>
      <c r="V778" s="9">
        <v>44127</v>
      </c>
      <c r="W778">
        <v>147840</v>
      </c>
      <c r="X778">
        <v>260184.61569999999</v>
      </c>
      <c r="Y778">
        <v>95900.662200000006</v>
      </c>
      <c r="AC778" s="24">
        <f t="shared" si="325"/>
        <v>6.6852172517243624E-2</v>
      </c>
      <c r="AE778" s="5">
        <f t="shared" si="326"/>
        <v>3892.0317383538222</v>
      </c>
      <c r="AF778" s="6">
        <f t="shared" si="327"/>
        <v>3248.9590358165924</v>
      </c>
      <c r="AH778" s="1">
        <f t="shared" si="328"/>
        <v>44127</v>
      </c>
      <c r="AI778">
        <f t="shared" si="329"/>
        <v>1.1979319207930854</v>
      </c>
      <c r="AJ778">
        <f t="shared" ca="1" si="330"/>
        <v>0.79961138508747054</v>
      </c>
      <c r="AK778">
        <f t="shared" ca="1" si="331"/>
        <v>0.84143727566875581</v>
      </c>
      <c r="AL778">
        <f t="shared" ca="1" si="332"/>
        <v>0.92337415008395252</v>
      </c>
      <c r="AM778">
        <f t="shared" ca="1" si="333"/>
        <v>0.99656980329381983</v>
      </c>
      <c r="AN778">
        <f t="shared" ca="1" si="334"/>
        <v>1.0660648595241173</v>
      </c>
    </row>
    <row r="779" spans="2:40" x14ac:dyDescent="0.25">
      <c r="B779" s="1">
        <v>44134</v>
      </c>
      <c r="C779">
        <v>46.783000000000001</v>
      </c>
      <c r="D779">
        <v>43.375</v>
      </c>
      <c r="E779">
        <v>116.485</v>
      </c>
      <c r="G779">
        <v>45290.02</v>
      </c>
      <c r="I779" s="14">
        <f t="shared" si="317"/>
        <v>-2.6510185821004284E-2</v>
      </c>
      <c r="J779" s="15">
        <f t="shared" si="318"/>
        <v>5.2143684820393776E-3</v>
      </c>
      <c r="K779" s="15">
        <f t="shared" si="319"/>
        <v>-0.16687527267785751</v>
      </c>
      <c r="L779" s="15"/>
      <c r="M779" s="16">
        <f t="shared" si="320"/>
        <v>-0.13753994279468174</v>
      </c>
      <c r="O779" s="13">
        <f t="shared" si="321"/>
        <v>-6.2723696672274135E-2</v>
      </c>
      <c r="Q779" s="5">
        <f t="shared" si="322"/>
        <v>4817.5149664780001</v>
      </c>
      <c r="R779" s="6">
        <f t="shared" si="323"/>
        <v>2802.0973958881141</v>
      </c>
      <c r="T779" s="11">
        <f t="shared" si="324"/>
        <v>1.7192532185167344</v>
      </c>
      <c r="V779" s="9">
        <v>44134</v>
      </c>
      <c r="W779">
        <v>143920</v>
      </c>
      <c r="X779">
        <v>261539.7439</v>
      </c>
      <c r="Y779">
        <v>79897.350999999995</v>
      </c>
      <c r="AC779" s="24">
        <f t="shared" si="325"/>
        <v>-3.6842796702204826E-2</v>
      </c>
      <c r="AE779" s="5">
        <f t="shared" si="326"/>
        <v>3748.6384042591235</v>
      </c>
      <c r="AF779" s="6">
        <f t="shared" si="327"/>
        <v>2802.0973958881141</v>
      </c>
      <c r="AH779" s="1">
        <f t="shared" si="328"/>
        <v>44134</v>
      </c>
      <c r="AI779">
        <f t="shared" si="329"/>
        <v>1.3377973263027878</v>
      </c>
      <c r="AJ779">
        <f t="shared" ca="1" si="330"/>
        <v>0.80284758812522872</v>
      </c>
      <c r="AK779">
        <f t="shared" ca="1" si="331"/>
        <v>0.84748456478835021</v>
      </c>
      <c r="AL779">
        <f t="shared" ca="1" si="332"/>
        <v>0.93035778558471227</v>
      </c>
      <c r="AM779">
        <f t="shared" ca="1" si="333"/>
        <v>1.0038959940316625</v>
      </c>
      <c r="AN779">
        <f t="shared" ca="1" si="334"/>
        <v>1.0771781915634959</v>
      </c>
    </row>
    <row r="780" spans="2:40" x14ac:dyDescent="0.25">
      <c r="B780" s="1">
        <v>44141</v>
      </c>
      <c r="C780">
        <v>45.463000000000001</v>
      </c>
      <c r="D780">
        <v>40.978000000000002</v>
      </c>
      <c r="E780">
        <v>120.83</v>
      </c>
      <c r="G780">
        <v>48492.54</v>
      </c>
      <c r="I780" s="14">
        <f t="shared" si="317"/>
        <v>-2.8215377380672479E-2</v>
      </c>
      <c r="J780" s="15">
        <f t="shared" si="318"/>
        <v>-5.5262247838616663E-2</v>
      </c>
      <c r="K780" s="15">
        <f t="shared" si="319"/>
        <v>3.7300940035197572E-2</v>
      </c>
      <c r="L780" s="15"/>
      <c r="M780" s="16">
        <f t="shared" si="320"/>
        <v>7.0711384097423835E-2</v>
      </c>
      <c r="O780" s="13">
        <f t="shared" si="321"/>
        <v>-1.5392228394697191E-2</v>
      </c>
      <c r="Q780" s="5">
        <f t="shared" si="322"/>
        <v>4743.3626758190985</v>
      </c>
      <c r="R780" s="6">
        <f t="shared" si="323"/>
        <v>3000.2375811271495</v>
      </c>
      <c r="T780" s="11">
        <f t="shared" si="324"/>
        <v>1.5809956870272521</v>
      </c>
      <c r="V780" s="9">
        <v>44141</v>
      </c>
      <c r="W780">
        <v>139860</v>
      </c>
      <c r="X780">
        <v>247085.04310000001</v>
      </c>
      <c r="Y780">
        <v>82877.483399999997</v>
      </c>
      <c r="AC780" s="24">
        <f t="shared" si="325"/>
        <v>-3.2004858122564102E-2</v>
      </c>
      <c r="AE780" s="5">
        <f t="shared" si="326"/>
        <v>3628.6637639780151</v>
      </c>
      <c r="AF780" s="6">
        <f t="shared" si="327"/>
        <v>3000.2375811271495</v>
      </c>
      <c r="AH780" s="1">
        <f t="shared" si="328"/>
        <v>44141</v>
      </c>
      <c r="AI780">
        <f t="shared" si="329"/>
        <v>1.209458806463845</v>
      </c>
      <c r="AJ780">
        <f t="shared" ca="1" si="330"/>
        <v>0.80284758812522872</v>
      </c>
      <c r="AK780">
        <f t="shared" ca="1" si="331"/>
        <v>0.84748456478835021</v>
      </c>
      <c r="AL780">
        <f t="shared" ca="1" si="332"/>
        <v>0.93035778558471227</v>
      </c>
      <c r="AM780">
        <f t="shared" ca="1" si="333"/>
        <v>1.0069139124034718</v>
      </c>
      <c r="AN780">
        <f t="shared" ca="1" si="334"/>
        <v>1.1220553225189616</v>
      </c>
    </row>
    <row r="781" spans="2:40" x14ac:dyDescent="0.25">
      <c r="B781" s="1">
        <v>44148</v>
      </c>
      <c r="C781">
        <v>44.963000000000001</v>
      </c>
      <c r="D781">
        <v>36.744999999999997</v>
      </c>
      <c r="E781">
        <v>126.52200000000001</v>
      </c>
      <c r="G781">
        <v>49895.5</v>
      </c>
      <c r="I781" s="14">
        <f t="shared" si="317"/>
        <v>-1.0997954380485231E-2</v>
      </c>
      <c r="J781" s="15">
        <f t="shared" si="318"/>
        <v>-0.10329933134852853</v>
      </c>
      <c r="K781" s="15">
        <f t="shared" si="319"/>
        <v>4.7107506413970102E-2</v>
      </c>
      <c r="L781" s="15"/>
      <c r="M781" s="16">
        <f t="shared" si="320"/>
        <v>2.8931460385453134E-2</v>
      </c>
      <c r="O781" s="13">
        <f t="shared" si="321"/>
        <v>-2.2396593105014555E-2</v>
      </c>
      <c r="Q781" s="5">
        <f t="shared" si="322"/>
        <v>4637.1275120192649</v>
      </c>
      <c r="R781" s="6">
        <f t="shared" si="323"/>
        <v>3087.0388358524774</v>
      </c>
      <c r="T781" s="11">
        <f t="shared" si="324"/>
        <v>1.5021280128271319</v>
      </c>
      <c r="V781" s="9">
        <v>44148</v>
      </c>
      <c r="W781">
        <v>138320</v>
      </c>
      <c r="X781">
        <v>221563.46179999999</v>
      </c>
      <c r="Y781">
        <v>86781.456900000005</v>
      </c>
      <c r="AC781" s="24">
        <f t="shared" si="325"/>
        <v>-4.9290403825002237E-2</v>
      </c>
      <c r="AE781" s="5">
        <f t="shared" si="326"/>
        <v>3449.8054617063863</v>
      </c>
      <c r="AF781" s="6">
        <f t="shared" si="327"/>
        <v>3087.0388358524774</v>
      </c>
      <c r="AH781" s="1">
        <f t="shared" si="328"/>
        <v>44148</v>
      </c>
      <c r="AI781">
        <f t="shared" si="329"/>
        <v>1.1175128157251484</v>
      </c>
      <c r="AJ781">
        <f t="shared" ca="1" si="330"/>
        <v>0.80284758812522872</v>
      </c>
      <c r="AK781">
        <f t="shared" ca="1" si="331"/>
        <v>0.84748456478835021</v>
      </c>
      <c r="AL781">
        <f t="shared" ca="1" si="332"/>
        <v>0.94211302358610327</v>
      </c>
      <c r="AM781">
        <f t="shared" ca="1" si="333"/>
        <v>1.0108341557090257</v>
      </c>
      <c r="AN781">
        <f t="shared" ca="1" si="334"/>
        <v>1.1517020020532505</v>
      </c>
    </row>
    <row r="782" spans="2:40" x14ac:dyDescent="0.25">
      <c r="B782" s="1">
        <v>44155</v>
      </c>
      <c r="C782">
        <v>43.688000000000002</v>
      </c>
      <c r="D782">
        <v>37.756999999999998</v>
      </c>
      <c r="E782">
        <v>134.90799999999999</v>
      </c>
      <c r="G782">
        <v>51492.34</v>
      </c>
      <c r="I782" s="14">
        <f t="shared" si="317"/>
        <v>-2.8356648800124562E-2</v>
      </c>
      <c r="J782" s="15">
        <f t="shared" si="318"/>
        <v>2.754116206286561E-2</v>
      </c>
      <c r="K782" s="15">
        <f t="shared" si="319"/>
        <v>6.6280962994577974E-2</v>
      </c>
      <c r="L782" s="15"/>
      <c r="M782" s="16">
        <f t="shared" si="320"/>
        <v>3.2003687707308215E-2</v>
      </c>
      <c r="O782" s="13">
        <f t="shared" si="321"/>
        <v>2.1821825419106339E-2</v>
      </c>
      <c r="Q782" s="5">
        <f t="shared" si="322"/>
        <v>4738.3180990326837</v>
      </c>
      <c r="R782" s="6">
        <f t="shared" si="323"/>
        <v>3185.8354626954324</v>
      </c>
      <c r="T782" s="11">
        <f t="shared" si="324"/>
        <v>1.4873078520582936</v>
      </c>
      <c r="V782" s="9">
        <v>44155</v>
      </c>
      <c r="W782">
        <v>134400</v>
      </c>
      <c r="X782">
        <v>227661.53880000001</v>
      </c>
      <c r="Y782">
        <v>92533.112599999993</v>
      </c>
      <c r="AC782" s="24">
        <f t="shared" si="325"/>
        <v>1.7757790567254968E-2</v>
      </c>
      <c r="AE782" s="5">
        <f t="shared" si="326"/>
        <v>3511.0663845931408</v>
      </c>
      <c r="AF782" s="6">
        <f t="shared" si="327"/>
        <v>3185.8354626954324</v>
      </c>
      <c r="AH782" s="1">
        <f t="shared" si="328"/>
        <v>44155</v>
      </c>
      <c r="AI782">
        <f t="shared" si="329"/>
        <v>1.1020865407852987</v>
      </c>
      <c r="AJ782">
        <f t="shared" ca="1" si="330"/>
        <v>0.80284758812522872</v>
      </c>
      <c r="AK782">
        <f t="shared" ca="1" si="331"/>
        <v>0.84748456478835021</v>
      </c>
      <c r="AL782">
        <f t="shared" ca="1" si="332"/>
        <v>0.94415831615136236</v>
      </c>
      <c r="AM782">
        <f t="shared" ca="1" si="333"/>
        <v>1.0149412305288112</v>
      </c>
      <c r="AN782">
        <f t="shared" ca="1" si="334"/>
        <v>1.1517020020532505</v>
      </c>
    </row>
    <row r="783" spans="2:40" x14ac:dyDescent="0.25">
      <c r="B783" s="1">
        <v>44162</v>
      </c>
      <c r="C783">
        <v>48.694000000000003</v>
      </c>
      <c r="D783">
        <v>39.929000000000002</v>
      </c>
      <c r="E783">
        <v>149.46299999999999</v>
      </c>
      <c r="G783">
        <v>55427.27</v>
      </c>
      <c r="I783" s="14">
        <f t="shared" si="317"/>
        <v>0.1145852407983885</v>
      </c>
      <c r="J783" s="15">
        <f t="shared" si="318"/>
        <v>5.7525756813306295E-2</v>
      </c>
      <c r="K783" s="15">
        <f t="shared" si="319"/>
        <v>0.10788833871972026</v>
      </c>
      <c r="L783" s="15"/>
      <c r="M783" s="16">
        <f t="shared" si="320"/>
        <v>7.6417773983470161E-2</v>
      </c>
      <c r="O783" s="13">
        <f t="shared" si="321"/>
        <v>9.3333112110471683E-2</v>
      </c>
      <c r="Q783" s="5">
        <f t="shared" si="322"/>
        <v>5180.5600733847787</v>
      </c>
      <c r="R783" s="6">
        <f t="shared" si="323"/>
        <v>3429.2899170322162</v>
      </c>
      <c r="T783" s="11">
        <f t="shared" si="324"/>
        <v>1.5106801112540962</v>
      </c>
      <c r="V783" s="9">
        <v>44162</v>
      </c>
      <c r="W783">
        <v>149800</v>
      </c>
      <c r="X783">
        <v>240761.11139999999</v>
      </c>
      <c r="Y783">
        <v>102516.5563</v>
      </c>
      <c r="AC783" s="24">
        <f t="shared" si="325"/>
        <v>8.4646623880260924E-2</v>
      </c>
      <c r="AE783" s="5">
        <f t="shared" si="326"/>
        <v>3808.2663002684244</v>
      </c>
      <c r="AF783" s="6">
        <f t="shared" si="327"/>
        <v>3429.2899170322162</v>
      </c>
      <c r="AH783" s="1">
        <f t="shared" si="328"/>
        <v>44162</v>
      </c>
      <c r="AI783">
        <f t="shared" si="329"/>
        <v>1.1105116197245239</v>
      </c>
      <c r="AJ783">
        <f t="shared" ca="1" si="330"/>
        <v>0.80284758812522872</v>
      </c>
      <c r="AK783">
        <f t="shared" ca="1" si="331"/>
        <v>0.84748456478835021</v>
      </c>
      <c r="AL783">
        <f t="shared" ca="1" si="332"/>
        <v>0.94415831615136236</v>
      </c>
      <c r="AM783">
        <f t="shared" ca="1" si="333"/>
        <v>1.0260717220953428</v>
      </c>
      <c r="AN783">
        <f t="shared" ca="1" si="334"/>
        <v>1.1517020020532505</v>
      </c>
    </row>
    <row r="784" spans="2:40" x14ac:dyDescent="0.25">
      <c r="B784" s="1">
        <v>44169</v>
      </c>
      <c r="C784">
        <v>47.511000000000003</v>
      </c>
      <c r="D784">
        <v>40.527999999999999</v>
      </c>
      <c r="E784">
        <v>148.029</v>
      </c>
      <c r="G784">
        <v>54730.38</v>
      </c>
      <c r="I784" s="14">
        <f t="shared" si="317"/>
        <v>-2.4294574280198766E-2</v>
      </c>
      <c r="J784" s="15">
        <f t="shared" si="318"/>
        <v>1.5001627889503766E-2</v>
      </c>
      <c r="K784" s="15">
        <f t="shared" si="319"/>
        <v>-9.5943477649986786E-3</v>
      </c>
      <c r="L784" s="15"/>
      <c r="M784" s="16">
        <f t="shared" si="320"/>
        <v>-1.2573052939464646E-2</v>
      </c>
      <c r="O784" s="13">
        <f t="shared" si="321"/>
        <v>-6.29576471856456E-3</v>
      </c>
      <c r="Q784" s="5">
        <f t="shared" si="322"/>
        <v>5147.944486052359</v>
      </c>
      <c r="R784" s="6">
        <f t="shared" si="323"/>
        <v>3386.1732733605977</v>
      </c>
      <c r="T784" s="11">
        <f t="shared" si="324"/>
        <v>1.5202838338344384</v>
      </c>
      <c r="V784" s="9">
        <v>44169</v>
      </c>
      <c r="W784">
        <v>146160</v>
      </c>
      <c r="X784">
        <v>244374.78659999999</v>
      </c>
      <c r="Y784">
        <v>101533.11259999999</v>
      </c>
      <c r="AC784" s="24">
        <f t="shared" si="325"/>
        <v>-2.0505859071172821E-3</v>
      </c>
      <c r="AE784" s="5">
        <f t="shared" si="326"/>
        <v>3800.4571230625443</v>
      </c>
      <c r="AF784" s="6">
        <f t="shared" si="327"/>
        <v>3386.1732733605977</v>
      </c>
      <c r="AH784" s="1">
        <f t="shared" si="328"/>
        <v>44169</v>
      </c>
      <c r="AI784">
        <f t="shared" si="329"/>
        <v>1.1223457325592769</v>
      </c>
      <c r="AJ784">
        <f t="shared" ca="1" si="330"/>
        <v>0.80284758812522872</v>
      </c>
      <c r="AK784">
        <f t="shared" ca="1" si="331"/>
        <v>0.84748456478835021</v>
      </c>
      <c r="AL784">
        <f t="shared" ca="1" si="332"/>
        <v>0.94993551235916374</v>
      </c>
      <c r="AM784">
        <f t="shared" ca="1" si="333"/>
        <v>1.0406029019234868</v>
      </c>
      <c r="AN784">
        <f t="shared" ca="1" si="334"/>
        <v>1.1517020020532505</v>
      </c>
    </row>
    <row r="785" spans="2:40" x14ac:dyDescent="0.25">
      <c r="B785" s="1">
        <v>44176</v>
      </c>
      <c r="C785">
        <v>45.008000000000003</v>
      </c>
      <c r="D785">
        <v>41.052999999999997</v>
      </c>
      <c r="E785">
        <v>145.9</v>
      </c>
      <c r="G785">
        <v>53822.44</v>
      </c>
      <c r="I785" s="14">
        <f t="shared" si="317"/>
        <v>-5.2682536675717206E-2</v>
      </c>
      <c r="J785" s="15">
        <f t="shared" si="318"/>
        <v>1.2954007106198207E-2</v>
      </c>
      <c r="K785" s="15">
        <f t="shared" si="319"/>
        <v>-1.4382316978429843E-2</v>
      </c>
      <c r="L785" s="15"/>
      <c r="M785" s="16">
        <f t="shared" si="320"/>
        <v>-1.6589323881909701E-2</v>
      </c>
      <c r="O785" s="13">
        <f t="shared" si="321"/>
        <v>-1.8036948849316281E-2</v>
      </c>
      <c r="Q785" s="5">
        <f t="shared" si="322"/>
        <v>5055.0912746783124</v>
      </c>
      <c r="R785" s="6">
        <f t="shared" si="323"/>
        <v>3329.9989482085525</v>
      </c>
      <c r="T785" s="11">
        <f t="shared" si="324"/>
        <v>1.5180459073111154</v>
      </c>
      <c r="V785" s="9">
        <v>44176</v>
      </c>
      <c r="W785">
        <v>138460</v>
      </c>
      <c r="X785">
        <v>247536.7525</v>
      </c>
      <c r="Y785">
        <v>100072.8477</v>
      </c>
      <c r="AC785" s="24">
        <f t="shared" si="325"/>
        <v>-1.2182725711831124E-2</v>
      </c>
      <c r="AE785" s="5">
        <f t="shared" si="326"/>
        <v>3754.1571963526985</v>
      </c>
      <c r="AF785" s="6">
        <f t="shared" si="327"/>
        <v>3329.9989482085525</v>
      </c>
      <c r="AH785" s="1">
        <f t="shared" si="328"/>
        <v>44176</v>
      </c>
      <c r="AI785">
        <f t="shared" si="329"/>
        <v>1.1273748895243141</v>
      </c>
      <c r="AJ785">
        <f t="shared" ca="1" si="330"/>
        <v>0.80284758812522872</v>
      </c>
      <c r="AK785">
        <f t="shared" ca="1" si="331"/>
        <v>0.84989304226939122</v>
      </c>
      <c r="AL785">
        <f t="shared" ca="1" si="332"/>
        <v>0.96566464031801313</v>
      </c>
      <c r="AM785">
        <f t="shared" ca="1" si="333"/>
        <v>1.0555034153872755</v>
      </c>
      <c r="AN785">
        <f t="shared" ca="1" si="334"/>
        <v>1.1517020020532505</v>
      </c>
    </row>
    <row r="786" spans="2:40" x14ac:dyDescent="0.25">
      <c r="B786" s="1">
        <v>44183</v>
      </c>
      <c r="C786">
        <v>45.463000000000001</v>
      </c>
      <c r="D786">
        <v>38.430999999999997</v>
      </c>
      <c r="E786">
        <v>156.328</v>
      </c>
      <c r="G786">
        <v>52346.77</v>
      </c>
      <c r="I786" s="14">
        <f t="shared" si="317"/>
        <v>1.0109313899751227E-2</v>
      </c>
      <c r="J786" s="15">
        <f t="shared" si="318"/>
        <v>-6.3868657588970312E-2</v>
      </c>
      <c r="K786" s="15">
        <f t="shared" si="319"/>
        <v>7.1473612063056802E-2</v>
      </c>
      <c r="L786" s="15"/>
      <c r="M786" s="16">
        <f t="shared" si="320"/>
        <v>-2.7417374611779177E-2</v>
      </c>
      <c r="O786" s="13">
        <f t="shared" si="321"/>
        <v>5.9047561246125717E-3</v>
      </c>
      <c r="Q786" s="5">
        <f t="shared" si="322"/>
        <v>5084.9403558429449</v>
      </c>
      <c r="R786" s="6">
        <f t="shared" si="323"/>
        <v>3238.6991195886881</v>
      </c>
      <c r="T786" s="11">
        <f t="shared" si="324"/>
        <v>1.570056423298972</v>
      </c>
      <c r="V786" s="9">
        <v>44183</v>
      </c>
      <c r="W786">
        <v>139860</v>
      </c>
      <c r="X786">
        <v>231726.9234</v>
      </c>
      <c r="Y786">
        <v>107225.16559999999</v>
      </c>
      <c r="AC786" s="24">
        <f t="shared" si="325"/>
        <v>-1.4931064575952205E-2</v>
      </c>
      <c r="AE786" s="5">
        <f t="shared" si="326"/>
        <v>3698.103632825681</v>
      </c>
      <c r="AF786" s="6">
        <f t="shared" si="327"/>
        <v>3238.6991195886881</v>
      </c>
      <c r="AH786" s="1">
        <f t="shared" si="328"/>
        <v>44183</v>
      </c>
      <c r="AI786">
        <f t="shared" si="329"/>
        <v>1.1418484694852842</v>
      </c>
      <c r="AJ786">
        <f t="shared" ca="1" si="330"/>
        <v>0.80284758812522872</v>
      </c>
      <c r="AK786">
        <f t="shared" ca="1" si="331"/>
        <v>0.84989304226939122</v>
      </c>
      <c r="AL786">
        <f t="shared" ca="1" si="332"/>
        <v>0.96630363110868989</v>
      </c>
      <c r="AM786">
        <f t="shared" ca="1" si="333"/>
        <v>1.0703253899947049</v>
      </c>
      <c r="AN786">
        <f t="shared" ca="1" si="334"/>
        <v>1.1517470381561075</v>
      </c>
    </row>
    <row r="787" spans="2:40" x14ac:dyDescent="0.25">
      <c r="B787" s="1">
        <v>44190</v>
      </c>
      <c r="C787">
        <v>44.097999999999999</v>
      </c>
      <c r="D787">
        <v>36.371000000000002</v>
      </c>
      <c r="E787">
        <v>153.417</v>
      </c>
      <c r="G787">
        <v>51618.98</v>
      </c>
      <c r="I787" s="14">
        <f t="shared" si="317"/>
        <v>-3.0024415458724696E-2</v>
      </c>
      <c r="J787" s="15">
        <f t="shared" si="318"/>
        <v>-5.3602560432983615E-2</v>
      </c>
      <c r="K787" s="15">
        <f t="shared" si="319"/>
        <v>-1.8621104344711092E-2</v>
      </c>
      <c r="L787" s="15"/>
      <c r="M787" s="16">
        <f t="shared" si="320"/>
        <v>-1.3903245606175729E-2</v>
      </c>
      <c r="O787" s="13">
        <f t="shared" si="321"/>
        <v>-3.4082693412139799E-2</v>
      </c>
      <c r="Q787" s="5">
        <f t="shared" si="322"/>
        <v>4911.6318926757331</v>
      </c>
      <c r="R787" s="6">
        <f t="shared" si="323"/>
        <v>3193.6706902845413</v>
      </c>
      <c r="T787" s="11">
        <f t="shared" si="324"/>
        <v>1.5379268462516809</v>
      </c>
      <c r="V787" s="9">
        <v>44190</v>
      </c>
      <c r="W787">
        <v>135660</v>
      </c>
      <c r="X787">
        <v>219304.9148</v>
      </c>
      <c r="Y787">
        <v>105228.4768</v>
      </c>
      <c r="AC787" s="24">
        <f t="shared" si="325"/>
        <v>-3.888168779834552E-2</v>
      </c>
      <c r="AE787" s="5">
        <f t="shared" si="326"/>
        <v>3554.3151219282254</v>
      </c>
      <c r="AF787" s="6">
        <f t="shared" si="327"/>
        <v>3193.6706902845413</v>
      </c>
      <c r="AH787" s="1">
        <f t="shared" si="328"/>
        <v>44190</v>
      </c>
      <c r="AI787">
        <f t="shared" si="329"/>
        <v>1.1129247397800905</v>
      </c>
      <c r="AJ787">
        <f t="shared" ca="1" si="330"/>
        <v>0.80284758812522872</v>
      </c>
      <c r="AK787">
        <f t="shared" ca="1" si="331"/>
        <v>0.85365381086576442</v>
      </c>
      <c r="AL787">
        <f t="shared" ca="1" si="332"/>
        <v>0.96706008303576274</v>
      </c>
      <c r="AM787">
        <f t="shared" ca="1" si="333"/>
        <v>1.0841959867422686</v>
      </c>
      <c r="AN787">
        <f t="shared" ca="1" si="334"/>
        <v>1.1531943961522046</v>
      </c>
    </row>
    <row r="788" spans="2:40" x14ac:dyDescent="0.25">
      <c r="B788" s="1">
        <v>44197</v>
      </c>
      <c r="C788">
        <v>42.96</v>
      </c>
      <c r="D788">
        <v>34.648000000000003</v>
      </c>
      <c r="E788">
        <v>157.066</v>
      </c>
      <c r="G788">
        <v>51226.49</v>
      </c>
      <c r="I788" s="14">
        <f t="shared" si="317"/>
        <v>-2.5806159009478802E-2</v>
      </c>
      <c r="J788" s="15">
        <f t="shared" si="318"/>
        <v>-4.7372906986335228E-2</v>
      </c>
      <c r="K788" s="15">
        <f t="shared" si="319"/>
        <v>2.3784847833030254E-2</v>
      </c>
      <c r="L788" s="15"/>
      <c r="M788" s="16">
        <f t="shared" si="320"/>
        <v>-7.6035985213191992E-3</v>
      </c>
      <c r="O788" s="13">
        <f t="shared" si="321"/>
        <v>-1.6464739387594591E-2</v>
      </c>
      <c r="Q788" s="5">
        <f t="shared" si="322"/>
        <v>4830.7631535950286</v>
      </c>
      <c r="R788" s="6">
        <f t="shared" si="323"/>
        <v>3169.3873005463133</v>
      </c>
      <c r="T788" s="11">
        <f t="shared" si="324"/>
        <v>1.5241946456850952</v>
      </c>
      <c r="V788" s="9">
        <v>44197</v>
      </c>
      <c r="W788">
        <v>132160</v>
      </c>
      <c r="X788">
        <v>208915.5986</v>
      </c>
      <c r="Y788">
        <v>107731.78810000001</v>
      </c>
      <c r="AC788" s="24">
        <f t="shared" si="325"/>
        <v>-2.4744230928028195E-2</v>
      </c>
      <c r="AE788" s="5">
        <f t="shared" si="326"/>
        <v>3466.3663277602504</v>
      </c>
      <c r="AF788" s="6">
        <f t="shared" si="327"/>
        <v>3169.3873005463133</v>
      </c>
      <c r="AH788" s="1">
        <f t="shared" si="328"/>
        <v>44197</v>
      </c>
      <c r="AI788">
        <f t="shared" si="329"/>
        <v>1.0937023465585118</v>
      </c>
      <c r="AJ788">
        <f t="shared" ca="1" si="330"/>
        <v>0.80284758812522872</v>
      </c>
      <c r="AK788">
        <f t="shared" ca="1" si="331"/>
        <v>0.86092598047158386</v>
      </c>
      <c r="AL788">
        <f t="shared" ca="1" si="332"/>
        <v>0.96839652153954636</v>
      </c>
      <c r="AM788">
        <f t="shared" ca="1" si="333"/>
        <v>1.1041928105201051</v>
      </c>
      <c r="AN788">
        <f t="shared" ca="1" si="334"/>
        <v>1.1531943961522046</v>
      </c>
    </row>
    <row r="789" spans="2:40" x14ac:dyDescent="0.25">
      <c r="B789" s="1">
        <v>44204</v>
      </c>
      <c r="C789">
        <v>48.603000000000002</v>
      </c>
      <c r="D789">
        <v>41.351999999999997</v>
      </c>
      <c r="E789">
        <v>144.63999999999999</v>
      </c>
      <c r="G789">
        <v>51673.77</v>
      </c>
      <c r="I789" s="14">
        <f t="shared" si="317"/>
        <v>0.13135474860335195</v>
      </c>
      <c r="J789" s="15">
        <f t="shared" si="318"/>
        <v>0.19348880166243343</v>
      </c>
      <c r="K789" s="15">
        <f t="shared" si="319"/>
        <v>-7.9113239020539239E-2</v>
      </c>
      <c r="L789" s="15"/>
      <c r="M789" s="16">
        <f t="shared" si="320"/>
        <v>8.7314200133563613E-3</v>
      </c>
      <c r="O789" s="13">
        <f t="shared" si="321"/>
        <v>8.1910103748415383E-2</v>
      </c>
      <c r="Q789" s="5">
        <f t="shared" si="322"/>
        <v>5226.4514646900197</v>
      </c>
      <c r="R789" s="6">
        <f t="shared" si="323"/>
        <v>3197.0605522523811</v>
      </c>
      <c r="T789" s="11">
        <f t="shared" si="324"/>
        <v>1.6347677434535608</v>
      </c>
      <c r="V789" s="9">
        <v>44204</v>
      </c>
      <c r="W789">
        <v>149520</v>
      </c>
      <c r="X789">
        <v>249343.5901</v>
      </c>
      <c r="Y789">
        <v>99208.609299999996</v>
      </c>
      <c r="AC789" s="24">
        <f t="shared" si="325"/>
        <v>0.10975679802699992</v>
      </c>
      <c r="AE789" s="5">
        <f t="shared" si="326"/>
        <v>3846.8235966838261</v>
      </c>
      <c r="AF789" s="6">
        <f t="shared" si="327"/>
        <v>3197.0605522523811</v>
      </c>
      <c r="AH789" s="1">
        <f t="shared" si="328"/>
        <v>44204</v>
      </c>
      <c r="AI789">
        <f t="shared" si="329"/>
        <v>1.2032376408928744</v>
      </c>
      <c r="AJ789">
        <f t="shared" ca="1" si="330"/>
        <v>0.80577623550985833</v>
      </c>
      <c r="AK789">
        <f t="shared" ca="1" si="331"/>
        <v>0.87628523983801365</v>
      </c>
      <c r="AL789">
        <f t="shared" ca="1" si="332"/>
        <v>0.98070050591493885</v>
      </c>
      <c r="AM789">
        <f t="shared" ca="1" si="333"/>
        <v>1.1041928105201051</v>
      </c>
      <c r="AN789">
        <f t="shared" ca="1" si="334"/>
        <v>1.1531943961522046</v>
      </c>
    </row>
    <row r="790" spans="2:40" x14ac:dyDescent="0.25">
      <c r="B790" s="1">
        <v>44211</v>
      </c>
      <c r="C790">
        <v>47.146999999999998</v>
      </c>
      <c r="D790">
        <v>40.603000000000002</v>
      </c>
      <c r="E790">
        <v>139.035</v>
      </c>
      <c r="G790">
        <v>50500.83</v>
      </c>
      <c r="I790" s="14">
        <f t="shared" si="317"/>
        <v>-2.9956998539184876E-2</v>
      </c>
      <c r="J790" s="15">
        <f t="shared" si="318"/>
        <v>-1.8112787773263528E-2</v>
      </c>
      <c r="K790" s="15">
        <f t="shared" si="319"/>
        <v>-3.8751382743362761E-2</v>
      </c>
      <c r="L790" s="15"/>
      <c r="M790" s="16">
        <f t="shared" si="320"/>
        <v>-2.2698943777471503E-2</v>
      </c>
      <c r="O790" s="13">
        <f t="shared" si="321"/>
        <v>-2.8940389685270389E-2</v>
      </c>
      <c r="Q790" s="5">
        <f t="shared" si="322"/>
        <v>5075.195922630739</v>
      </c>
      <c r="R790" s="6">
        <f t="shared" si="323"/>
        <v>3124.4906545236322</v>
      </c>
      <c r="T790" s="11">
        <f t="shared" si="324"/>
        <v>1.6243274452694807</v>
      </c>
      <c r="V790" s="9">
        <v>44211</v>
      </c>
      <c r="W790">
        <v>145040</v>
      </c>
      <c r="X790">
        <v>244826.49600000001</v>
      </c>
      <c r="Y790">
        <v>95364.238400000002</v>
      </c>
      <c r="AC790" s="24">
        <f t="shared" si="325"/>
        <v>-2.5779292153973756E-2</v>
      </c>
      <c r="AE790" s="5">
        <f t="shared" si="326"/>
        <v>3747.6552073201133</v>
      </c>
      <c r="AF790" s="6">
        <f t="shared" si="327"/>
        <v>3124.4906545236322</v>
      </c>
      <c r="AH790" s="1">
        <f t="shared" si="328"/>
        <v>44211</v>
      </c>
      <c r="AI790">
        <f t="shared" si="329"/>
        <v>1.1994451645724287</v>
      </c>
      <c r="AJ790">
        <f t="shared" ca="1" si="330"/>
        <v>0.82017801120202838</v>
      </c>
      <c r="AK790">
        <f t="shared" ca="1" si="331"/>
        <v>0.88958401754942562</v>
      </c>
      <c r="AL790">
        <f t="shared" ca="1" si="332"/>
        <v>0.99315398695604196</v>
      </c>
      <c r="AM790">
        <f t="shared" ca="1" si="333"/>
        <v>1.1111148997384155</v>
      </c>
      <c r="AN790">
        <f t="shared" ca="1" si="334"/>
        <v>1.193584234180852</v>
      </c>
    </row>
    <row r="791" spans="2:40" x14ac:dyDescent="0.25">
      <c r="B791" s="1">
        <v>44218</v>
      </c>
      <c r="C791">
        <v>45.872999999999998</v>
      </c>
      <c r="D791">
        <v>40.677999999999997</v>
      </c>
      <c r="E791">
        <v>135.38499999999999</v>
      </c>
      <c r="G791">
        <v>48470.91</v>
      </c>
      <c r="I791" s="14">
        <f t="shared" si="317"/>
        <v>-2.702186777525617E-2</v>
      </c>
      <c r="J791" s="15">
        <f t="shared" si="318"/>
        <v>1.8471541511710932E-3</v>
      </c>
      <c r="K791" s="15">
        <f t="shared" si="319"/>
        <v>-2.6252382493616722E-2</v>
      </c>
      <c r="L791" s="15"/>
      <c r="M791" s="16">
        <f t="shared" si="320"/>
        <v>-4.0195775000133604E-2</v>
      </c>
      <c r="O791" s="13">
        <f t="shared" si="321"/>
        <v>-1.7142365372567265E-2</v>
      </c>
      <c r="Q791" s="5">
        <f t="shared" si="322"/>
        <v>4988.1950597876394</v>
      </c>
      <c r="R791" s="6">
        <f t="shared" si="323"/>
        <v>2998.8993311843801</v>
      </c>
      <c r="T791" s="11">
        <f t="shared" si="324"/>
        <v>1.6633419494670434</v>
      </c>
      <c r="V791" s="9">
        <v>44218</v>
      </c>
      <c r="W791">
        <v>141120</v>
      </c>
      <c r="X791">
        <v>245278.20540000001</v>
      </c>
      <c r="Y791">
        <v>92860.927100000001</v>
      </c>
      <c r="AC791" s="24">
        <f t="shared" si="325"/>
        <v>-1.2304574840651998E-2</v>
      </c>
      <c r="AE791" s="5">
        <f t="shared" si="326"/>
        <v>3701.5419033446838</v>
      </c>
      <c r="AF791" s="6">
        <f t="shared" si="327"/>
        <v>2998.8993311843801</v>
      </c>
      <c r="AH791" s="1">
        <f t="shared" si="328"/>
        <v>44218</v>
      </c>
      <c r="AI791">
        <f t="shared" si="329"/>
        <v>1.2343001530107394</v>
      </c>
      <c r="AJ791">
        <f t="shared" ca="1" si="330"/>
        <v>0.82017801120202838</v>
      </c>
      <c r="AK791">
        <f t="shared" ca="1" si="331"/>
        <v>0.90004832896864473</v>
      </c>
      <c r="AL791">
        <f t="shared" ca="1" si="332"/>
        <v>0.99880185947824263</v>
      </c>
      <c r="AM791">
        <f t="shared" ca="1" si="333"/>
        <v>1.1140717587663551</v>
      </c>
      <c r="AN791">
        <f t="shared" ca="1" si="334"/>
        <v>1.1992938401944944</v>
      </c>
    </row>
    <row r="792" spans="2:40" x14ac:dyDescent="0.25">
      <c r="B792" s="1">
        <v>44225</v>
      </c>
      <c r="C792">
        <v>43.688000000000002</v>
      </c>
      <c r="D792">
        <v>36.183</v>
      </c>
      <c r="E792">
        <v>136.64500000000001</v>
      </c>
      <c r="G792">
        <v>48257.14</v>
      </c>
      <c r="I792" s="14">
        <f t="shared" si="317"/>
        <v>-4.763150437076269E-2</v>
      </c>
      <c r="J792" s="15">
        <f t="shared" si="318"/>
        <v>-0.11050199124834059</v>
      </c>
      <c r="K792" s="15">
        <f t="shared" si="319"/>
        <v>9.3067917420690538E-3</v>
      </c>
      <c r="L792" s="15"/>
      <c r="M792" s="16">
        <f t="shared" si="320"/>
        <v>-4.4102741211172747E-3</v>
      </c>
      <c r="O792" s="13">
        <f t="shared" si="321"/>
        <v>-4.9608901292344743E-2</v>
      </c>
      <c r="Q792" s="5">
        <f t="shared" si="322"/>
        <v>4740.7361834396725</v>
      </c>
      <c r="R792" s="6">
        <f t="shared" si="323"/>
        <v>2985.6733630722219</v>
      </c>
      <c r="T792" s="11">
        <f t="shared" si="324"/>
        <v>1.5878281402361818</v>
      </c>
      <c r="V792" s="9">
        <v>44225</v>
      </c>
      <c r="W792">
        <v>134400</v>
      </c>
      <c r="X792">
        <v>218175.64129999999</v>
      </c>
      <c r="Y792">
        <v>93725.165599999993</v>
      </c>
      <c r="AC792" s="24">
        <f t="shared" si="325"/>
        <v>-6.8775425356816466E-2</v>
      </c>
      <c r="AE792" s="5">
        <f t="shared" si="326"/>
        <v>3446.966784466073</v>
      </c>
      <c r="AF792" s="6">
        <f t="shared" si="327"/>
        <v>2985.6733630722219</v>
      </c>
      <c r="AH792" s="1">
        <f t="shared" si="328"/>
        <v>44225</v>
      </c>
      <c r="AI792">
        <f t="shared" si="329"/>
        <v>1.1545023066150766</v>
      </c>
      <c r="AJ792">
        <f t="shared" ca="1" si="330"/>
        <v>0.82017801120202838</v>
      </c>
      <c r="AK792">
        <f t="shared" ca="1" si="331"/>
        <v>0.90448811651723915</v>
      </c>
      <c r="AL792">
        <f t="shared" ca="1" si="332"/>
        <v>1.0045260162162368</v>
      </c>
      <c r="AM792">
        <f t="shared" ca="1" si="333"/>
        <v>1.1187210449336806</v>
      </c>
      <c r="AN792">
        <f t="shared" ca="1" si="334"/>
        <v>1.2024357344302645</v>
      </c>
    </row>
    <row r="793" spans="2:40" x14ac:dyDescent="0.25">
      <c r="B793" s="1">
        <v>44232</v>
      </c>
      <c r="C793">
        <v>44.28</v>
      </c>
      <c r="D793">
        <v>36.633000000000003</v>
      </c>
      <c r="E793">
        <v>145.07400000000001</v>
      </c>
      <c r="G793">
        <v>51052.73</v>
      </c>
      <c r="I793" s="14">
        <f t="shared" si="317"/>
        <v>1.3550631752426323E-2</v>
      </c>
      <c r="J793" s="15">
        <f t="shared" si="318"/>
        <v>1.2436779703175693E-2</v>
      </c>
      <c r="K793" s="15">
        <f t="shared" si="319"/>
        <v>6.1685389147059899E-2</v>
      </c>
      <c r="L793" s="15"/>
      <c r="M793" s="16">
        <f t="shared" si="320"/>
        <v>5.7931116514571723E-2</v>
      </c>
      <c r="O793" s="13">
        <f t="shared" si="321"/>
        <v>2.9224266867553972E-2</v>
      </c>
      <c r="Q793" s="5">
        <f t="shared" si="322"/>
        <v>4879.2807228131824</v>
      </c>
      <c r="R793" s="6">
        <f t="shared" si="323"/>
        <v>3158.636754542812</v>
      </c>
      <c r="T793" s="11">
        <f t="shared" si="324"/>
        <v>1.5447425905481873</v>
      </c>
      <c r="V793" s="9">
        <v>44232</v>
      </c>
      <c r="W793">
        <v>136220</v>
      </c>
      <c r="X793">
        <v>220885.8977</v>
      </c>
      <c r="Y793">
        <v>99506.622499999998</v>
      </c>
      <c r="AC793" s="24">
        <f t="shared" si="325"/>
        <v>2.3114635798078164E-2</v>
      </c>
      <c r="AE793" s="5">
        <f t="shared" si="326"/>
        <v>3526.6421662970793</v>
      </c>
      <c r="AF793" s="6">
        <f t="shared" si="327"/>
        <v>3158.636754542812</v>
      </c>
      <c r="AH793" s="1">
        <f t="shared" si="328"/>
        <v>44232</v>
      </c>
      <c r="AI793">
        <f t="shared" si="329"/>
        <v>1.1165076709833743</v>
      </c>
      <c r="AJ793">
        <f t="shared" ca="1" si="330"/>
        <v>0.82095977877363979</v>
      </c>
      <c r="AK793">
        <f t="shared" ca="1" si="331"/>
        <v>0.91316043541194647</v>
      </c>
      <c r="AL793">
        <f t="shared" ca="1" si="332"/>
        <v>1.0080417642215582</v>
      </c>
      <c r="AM793">
        <f t="shared" ca="1" si="333"/>
        <v>1.1234904315433936</v>
      </c>
      <c r="AN793">
        <f t="shared" ca="1" si="334"/>
        <v>1.2024357344302645</v>
      </c>
    </row>
    <row r="794" spans="2:40" x14ac:dyDescent="0.25">
      <c r="B794" s="1">
        <v>44239</v>
      </c>
      <c r="C794">
        <v>44.826000000000001</v>
      </c>
      <c r="D794">
        <v>38.055999999999997</v>
      </c>
      <c r="E794">
        <v>154.93700000000001</v>
      </c>
      <c r="G794">
        <v>51466.21</v>
      </c>
      <c r="I794" s="14">
        <f t="shared" si="317"/>
        <v>1.2330623306233024E-2</v>
      </c>
      <c r="J794" s="15">
        <f t="shared" si="318"/>
        <v>3.8844757459121304E-2</v>
      </c>
      <c r="K794" s="15">
        <f t="shared" si="319"/>
        <v>6.7985993355115237E-2</v>
      </c>
      <c r="L794" s="15"/>
      <c r="M794" s="16">
        <f t="shared" si="320"/>
        <v>8.099077169820168E-3</v>
      </c>
      <c r="O794" s="13">
        <f t="shared" si="321"/>
        <v>3.9720458040156524E-2</v>
      </c>
      <c r="Q794" s="5">
        <f t="shared" si="322"/>
        <v>5073.087988029828</v>
      </c>
      <c r="R794" s="6">
        <f t="shared" si="323"/>
        <v>3184.2187973692844</v>
      </c>
      <c r="T794" s="11">
        <f t="shared" si="324"/>
        <v>1.5931970479607358</v>
      </c>
      <c r="V794" s="9">
        <v>44239</v>
      </c>
      <c r="W794">
        <v>137900</v>
      </c>
      <c r="X794">
        <v>229468.37640000001</v>
      </c>
      <c r="Y794">
        <v>106271.5232</v>
      </c>
      <c r="AC794" s="24">
        <f t="shared" si="325"/>
        <v>3.7285427910933581E-2</v>
      </c>
      <c r="AE794" s="5">
        <f t="shared" si="326"/>
        <v>3658.1345285562074</v>
      </c>
      <c r="AF794" s="6">
        <f t="shared" si="327"/>
        <v>3184.2187973692844</v>
      </c>
      <c r="AH794" s="1">
        <f t="shared" si="328"/>
        <v>44239</v>
      </c>
      <c r="AI794">
        <f t="shared" si="329"/>
        <v>1.148832652950375</v>
      </c>
      <c r="AJ794">
        <f t="shared" ca="1" si="330"/>
        <v>0.83951886693204214</v>
      </c>
      <c r="AK794">
        <f t="shared" ca="1" si="331"/>
        <v>0.91927774724764189</v>
      </c>
      <c r="AL794">
        <f t="shared" ca="1" si="332"/>
        <v>1.0113708435603201</v>
      </c>
      <c r="AM794">
        <f t="shared" ca="1" si="333"/>
        <v>1.1234904315433936</v>
      </c>
      <c r="AN794">
        <f t="shared" ca="1" si="334"/>
        <v>1.2024357344302645</v>
      </c>
    </row>
    <row r="795" spans="2:40" x14ac:dyDescent="0.25">
      <c r="B795" s="1">
        <v>44246</v>
      </c>
      <c r="C795">
        <v>43.006</v>
      </c>
      <c r="D795">
        <v>39.18</v>
      </c>
      <c r="E795">
        <v>152.982</v>
      </c>
      <c r="G795">
        <v>50992.85</v>
      </c>
      <c r="I795" s="14">
        <f t="shared" si="317"/>
        <v>-4.0601436666220514E-2</v>
      </c>
      <c r="J795" s="15">
        <f t="shared" si="318"/>
        <v>2.9535421484128799E-2</v>
      </c>
      <c r="K795" s="15">
        <f t="shared" si="319"/>
        <v>-1.2618031845201716E-2</v>
      </c>
      <c r="L795" s="15"/>
      <c r="M795" s="16">
        <f t="shared" si="320"/>
        <v>-9.1974909362861901E-3</v>
      </c>
      <c r="O795" s="13">
        <f t="shared" si="321"/>
        <v>-7.8946823424311443E-3</v>
      </c>
      <c r="Q795" s="5">
        <f t="shared" si="322"/>
        <v>5033.0375698691296</v>
      </c>
      <c r="R795" s="6">
        <f t="shared" si="323"/>
        <v>3154.9319738413283</v>
      </c>
      <c r="T795" s="11">
        <f t="shared" si="324"/>
        <v>1.5952919465775643</v>
      </c>
      <c r="V795" s="9">
        <v>44246</v>
      </c>
      <c r="W795">
        <v>132300</v>
      </c>
      <c r="X795">
        <v>236244.01740000001</v>
      </c>
      <c r="Y795">
        <v>104930.4636</v>
      </c>
      <c r="AC795" s="24">
        <f t="shared" si="325"/>
        <v>-3.4294063091383134E-4</v>
      </c>
      <c r="AE795" s="5">
        <f t="shared" si="326"/>
        <v>3656.8800055930169</v>
      </c>
      <c r="AF795" s="6">
        <f t="shared" si="327"/>
        <v>3154.9319738413283</v>
      </c>
      <c r="AH795" s="1">
        <f t="shared" si="328"/>
        <v>44246</v>
      </c>
      <c r="AI795">
        <f t="shared" si="329"/>
        <v>1.1590994785033464</v>
      </c>
      <c r="AJ795">
        <f t="shared" ca="1" si="330"/>
        <v>0.85777773897647214</v>
      </c>
      <c r="AK795">
        <f t="shared" ca="1" si="331"/>
        <v>0.92484931148665983</v>
      </c>
      <c r="AL795">
        <f t="shared" ca="1" si="332"/>
        <v>1.0174382417947134</v>
      </c>
      <c r="AM795">
        <f t="shared" ca="1" si="333"/>
        <v>1.127037118752886</v>
      </c>
      <c r="AN795">
        <f t="shared" ca="1" si="334"/>
        <v>1.2024357344302645</v>
      </c>
    </row>
    <row r="796" spans="2:40" x14ac:dyDescent="0.25">
      <c r="B796" s="1">
        <v>44253</v>
      </c>
      <c r="C796">
        <v>42.186999999999998</v>
      </c>
      <c r="D796">
        <v>38.880000000000003</v>
      </c>
      <c r="E796">
        <v>146.94300000000001</v>
      </c>
      <c r="G796">
        <v>48432.27</v>
      </c>
      <c r="I796" s="14">
        <f t="shared" si="317"/>
        <v>-1.9043854345905276E-2</v>
      </c>
      <c r="J796" s="15">
        <f t="shared" si="318"/>
        <v>-7.6569678407349961E-3</v>
      </c>
      <c r="K796" s="15">
        <f t="shared" si="319"/>
        <v>-3.9475232380279945E-2</v>
      </c>
      <c r="L796" s="15"/>
      <c r="M796" s="16">
        <f t="shared" si="320"/>
        <v>-5.0214490855090554E-2</v>
      </c>
      <c r="O796" s="13">
        <f t="shared" si="321"/>
        <v>-2.2058684855640071E-2</v>
      </c>
      <c r="Q796" s="5">
        <f t="shared" si="322"/>
        <v>4922.0153802487894</v>
      </c>
      <c r="R796" s="6">
        <f t="shared" si="323"/>
        <v>2996.5086710924402</v>
      </c>
      <c r="T796" s="11">
        <f t="shared" si="324"/>
        <v>1.6425833930440006</v>
      </c>
      <c r="V796" s="9">
        <v>44253</v>
      </c>
      <c r="W796">
        <v>129780</v>
      </c>
      <c r="X796">
        <v>234437.17980000001</v>
      </c>
      <c r="Y796">
        <v>100788.07950000001</v>
      </c>
      <c r="AC796" s="24">
        <f t="shared" si="325"/>
        <v>-1.7890233894446387E-2</v>
      </c>
      <c r="AE796" s="5">
        <f t="shared" si="326"/>
        <v>3591.4575669690335</v>
      </c>
      <c r="AF796" s="6">
        <f t="shared" si="327"/>
        <v>2996.5086710924402</v>
      </c>
      <c r="AH796" s="1">
        <f t="shared" si="328"/>
        <v>44253</v>
      </c>
      <c r="AI796">
        <f t="shared" si="329"/>
        <v>1.1985473633419161</v>
      </c>
      <c r="AJ796">
        <f t="shared" ca="1" si="330"/>
        <v>0.86402329555214508</v>
      </c>
      <c r="AK796">
        <f t="shared" ca="1" si="331"/>
        <v>0.93237444193238483</v>
      </c>
      <c r="AL796">
        <f t="shared" ca="1" si="332"/>
        <v>1.0297111798641683</v>
      </c>
      <c r="AM796">
        <f t="shared" ca="1" si="333"/>
        <v>1.1309932845145565</v>
      </c>
      <c r="AN796">
        <f t="shared" ca="1" si="334"/>
        <v>1.2024357344302645</v>
      </c>
    </row>
    <row r="797" spans="2:40" x14ac:dyDescent="0.25">
      <c r="B797" s="1">
        <v>44260</v>
      </c>
      <c r="C797">
        <v>39.411000000000001</v>
      </c>
      <c r="D797">
        <v>35.845999999999997</v>
      </c>
      <c r="E797">
        <v>141.33799999999999</v>
      </c>
      <c r="G797">
        <v>47242.26</v>
      </c>
      <c r="I797" s="14">
        <f t="shared" si="317"/>
        <v>-6.5802261360134562E-2</v>
      </c>
      <c r="J797" s="15">
        <f t="shared" si="318"/>
        <v>-7.80349794238685E-2</v>
      </c>
      <c r="K797" s="15">
        <f t="shared" si="319"/>
        <v>-3.8144042247674426E-2</v>
      </c>
      <c r="L797" s="15"/>
      <c r="M797" s="16">
        <f t="shared" si="320"/>
        <v>-2.4570601377965406E-2</v>
      </c>
      <c r="O797" s="13">
        <f t="shared" si="321"/>
        <v>-6.0660427677225827E-2</v>
      </c>
      <c r="Q797" s="5">
        <f t="shared" si="322"/>
        <v>4623.4438222490144</v>
      </c>
      <c r="R797" s="6">
        <f t="shared" si="323"/>
        <v>2922.8826510094109</v>
      </c>
      <c r="T797" s="11">
        <f t="shared" si="324"/>
        <v>1.5818095949395432</v>
      </c>
      <c r="V797" s="9">
        <v>44260</v>
      </c>
      <c r="W797">
        <v>121240</v>
      </c>
      <c r="X797">
        <v>216142.94899999999</v>
      </c>
      <c r="Y797">
        <v>96943.708599999998</v>
      </c>
      <c r="AC797" s="24">
        <f t="shared" si="325"/>
        <v>-6.5974700565523237E-2</v>
      </c>
      <c r="AE797" s="5">
        <f t="shared" si="326"/>
        <v>3354.5122293944687</v>
      </c>
      <c r="AF797" s="6">
        <f t="shared" si="327"/>
        <v>2922.8826510094109</v>
      </c>
      <c r="AH797" s="1">
        <f t="shared" si="328"/>
        <v>44260</v>
      </c>
      <c r="AI797">
        <f t="shared" si="329"/>
        <v>1.1476725650398574</v>
      </c>
      <c r="AJ797">
        <f t="shared" ca="1" si="330"/>
        <v>0.88214572496149135</v>
      </c>
      <c r="AK797">
        <f t="shared" ca="1" si="331"/>
        <v>0.95770771939871691</v>
      </c>
      <c r="AL797">
        <f t="shared" ca="1" si="332"/>
        <v>1.0442157084451547</v>
      </c>
      <c r="AM797">
        <f t="shared" ca="1" si="333"/>
        <v>1.1435945153515568</v>
      </c>
      <c r="AN797">
        <f t="shared" ca="1" si="334"/>
        <v>1.2024357344302645</v>
      </c>
    </row>
    <row r="798" spans="2:40" x14ac:dyDescent="0.25">
      <c r="B798" s="1">
        <v>44267</v>
      </c>
      <c r="C798">
        <v>39.365000000000002</v>
      </c>
      <c r="D798">
        <v>35.134999999999998</v>
      </c>
      <c r="E798">
        <v>155.97999999999999</v>
      </c>
      <c r="G798">
        <v>49070.98</v>
      </c>
      <c r="I798" s="14">
        <f t="shared" si="317"/>
        <v>-1.1671868260130225E-3</v>
      </c>
      <c r="J798" s="15">
        <f t="shared" si="318"/>
        <v>-1.9834849076605487E-2</v>
      </c>
      <c r="K798" s="15">
        <f t="shared" si="319"/>
        <v>0.10359563599315114</v>
      </c>
      <c r="L798" s="15"/>
      <c r="M798" s="16">
        <f t="shared" si="320"/>
        <v>3.8709409753047375E-2</v>
      </c>
      <c r="O798" s="13">
        <f t="shared" si="321"/>
        <v>2.7531200030177543E-2</v>
      </c>
      <c r="Q798" s="5">
        <f t="shared" si="322"/>
        <v>4750.7327789476403</v>
      </c>
      <c r="R798" s="6">
        <f t="shared" si="323"/>
        <v>3036.0257132074075</v>
      </c>
      <c r="T798" s="11">
        <f t="shared" si="324"/>
        <v>1.5647867402047566</v>
      </c>
      <c r="V798" s="9">
        <v>44267</v>
      </c>
      <c r="W798">
        <v>121100</v>
      </c>
      <c r="X798">
        <v>211851.70970000001</v>
      </c>
      <c r="Y798">
        <v>106986.755</v>
      </c>
      <c r="AC798" s="24">
        <f t="shared" si="325"/>
        <v>1.2926382819331832E-2</v>
      </c>
      <c r="AE798" s="5">
        <f t="shared" si="326"/>
        <v>3397.8739386437519</v>
      </c>
      <c r="AF798" s="6">
        <f t="shared" si="327"/>
        <v>3036.0257132074075</v>
      </c>
      <c r="AH798" s="1">
        <f t="shared" si="328"/>
        <v>44267</v>
      </c>
      <c r="AI798">
        <f t="shared" si="329"/>
        <v>1.1191848355770577</v>
      </c>
      <c r="AJ798">
        <f t="shared" ca="1" si="330"/>
        <v>0.89345868993463295</v>
      </c>
      <c r="AK798">
        <f t="shared" ca="1" si="331"/>
        <v>0.96575699725788455</v>
      </c>
      <c r="AL798">
        <f t="shared" ca="1" si="332"/>
        <v>1.059565509286061</v>
      </c>
      <c r="AM798">
        <f t="shared" ca="1" si="333"/>
        <v>1.1479625870174868</v>
      </c>
      <c r="AN798">
        <f t="shared" ca="1" si="334"/>
        <v>1.2024357344302645</v>
      </c>
    </row>
    <row r="799" spans="2:40" x14ac:dyDescent="0.25">
      <c r="B799" s="1">
        <v>44274</v>
      </c>
      <c r="C799">
        <v>39.502000000000002</v>
      </c>
      <c r="D799">
        <v>34.273000000000003</v>
      </c>
      <c r="E799">
        <v>155.93700000000001</v>
      </c>
      <c r="G799">
        <v>48976</v>
      </c>
      <c r="I799" s="14">
        <f t="shared" si="317"/>
        <v>3.4802489521148505E-3</v>
      </c>
      <c r="J799" s="15">
        <f t="shared" si="318"/>
        <v>-2.4533940515155672E-2</v>
      </c>
      <c r="K799" s="15">
        <f t="shared" si="319"/>
        <v>-2.7567636876513202E-4</v>
      </c>
      <c r="L799" s="15"/>
      <c r="M799" s="16">
        <f t="shared" si="320"/>
        <v>-1.9355635448895514E-3</v>
      </c>
      <c r="O799" s="13">
        <f t="shared" si="321"/>
        <v>-7.1097893106019843E-3</v>
      </c>
      <c r="Q799" s="5">
        <f t="shared" si="322"/>
        <v>4716.9560698183514</v>
      </c>
      <c r="R799" s="6">
        <f t="shared" si="323"/>
        <v>3030.1492925155758</v>
      </c>
      <c r="T799" s="11">
        <f t="shared" si="324"/>
        <v>1.5566744785377946</v>
      </c>
      <c r="V799" s="9">
        <v>44274</v>
      </c>
      <c r="W799">
        <v>121520</v>
      </c>
      <c r="X799">
        <v>206657.05160000001</v>
      </c>
      <c r="Y799">
        <v>106956.95359999999</v>
      </c>
      <c r="AC799" s="24">
        <f t="shared" si="325"/>
        <v>-1.0923329514081209E-2</v>
      </c>
      <c r="AE799" s="5">
        <f t="shared" si="326"/>
        <v>3360.757841964637</v>
      </c>
      <c r="AF799" s="6">
        <f t="shared" si="327"/>
        <v>3030.1492925155758</v>
      </c>
      <c r="AH799" s="1">
        <f t="shared" si="328"/>
        <v>44274</v>
      </c>
      <c r="AI799">
        <f t="shared" si="329"/>
        <v>1.1091063566622477</v>
      </c>
      <c r="AJ799">
        <f t="shared" ca="1" si="330"/>
        <v>0.90283684698646116</v>
      </c>
      <c r="AK799">
        <f t="shared" ca="1" si="331"/>
        <v>0.96653076956415673</v>
      </c>
      <c r="AL799">
        <f t="shared" ca="1" si="332"/>
        <v>1.0729610829057783</v>
      </c>
      <c r="AM799">
        <f t="shared" ca="1" si="333"/>
        <v>1.1479625870174868</v>
      </c>
      <c r="AN799">
        <f t="shared" ca="1" si="334"/>
        <v>1.2024357344302645</v>
      </c>
    </row>
    <row r="800" spans="2:40" x14ac:dyDescent="0.25">
      <c r="B800" s="1">
        <v>44281</v>
      </c>
      <c r="C800">
        <v>39.228999999999999</v>
      </c>
      <c r="D800">
        <v>35.097000000000001</v>
      </c>
      <c r="E800">
        <v>154.59</v>
      </c>
      <c r="G800">
        <v>46440.78</v>
      </c>
      <c r="I800" s="14">
        <f t="shared" si="317"/>
        <v>-6.911042478861873E-3</v>
      </c>
      <c r="J800" s="15">
        <f t="shared" si="318"/>
        <v>2.404224900067109E-2</v>
      </c>
      <c r="K800" s="15">
        <f t="shared" si="319"/>
        <v>-8.6381038496315954E-3</v>
      </c>
      <c r="L800" s="15"/>
      <c r="M800" s="16">
        <f t="shared" si="320"/>
        <v>-5.1764537732767124E-2</v>
      </c>
      <c r="O800" s="13">
        <f t="shared" si="321"/>
        <v>2.831034224059207E-3</v>
      </c>
      <c r="Q800" s="5">
        <f t="shared" si="322"/>
        <v>4730.3099338853908</v>
      </c>
      <c r="R800" s="6">
        <f t="shared" si="323"/>
        <v>2873.2950151272357</v>
      </c>
      <c r="T800" s="11">
        <f t="shared" si="324"/>
        <v>1.6463015141088539</v>
      </c>
      <c r="V800" s="9">
        <v>44281</v>
      </c>
      <c r="W800">
        <v>120680</v>
      </c>
      <c r="X800">
        <v>211625.85500000001</v>
      </c>
      <c r="Y800">
        <v>106033.11259999999</v>
      </c>
      <c r="AC800" s="24">
        <f t="shared" si="325"/>
        <v>7.365007329570598E-3</v>
      </c>
      <c r="AE800" s="5">
        <f t="shared" si="326"/>
        <v>3385.5098481036184</v>
      </c>
      <c r="AF800" s="6">
        <f t="shared" si="327"/>
        <v>2873.2950151272357</v>
      </c>
      <c r="AH800" s="1">
        <f t="shared" si="328"/>
        <v>44281</v>
      </c>
      <c r="AI800">
        <f t="shared" si="329"/>
        <v>1.1782674004164868</v>
      </c>
      <c r="AJ800">
        <f t="shared" ca="1" si="330"/>
        <v>0.90619484888012602</v>
      </c>
      <c r="AK800">
        <f t="shared" ca="1" si="331"/>
        <v>0.96721117054383221</v>
      </c>
      <c r="AL800">
        <f t="shared" ca="1" si="332"/>
        <v>1.0859674076432184</v>
      </c>
      <c r="AM800">
        <f t="shared" ca="1" si="333"/>
        <v>1.1479625870174868</v>
      </c>
      <c r="AN800">
        <f t="shared" ca="1" si="334"/>
        <v>1.2024357344302645</v>
      </c>
    </row>
    <row r="801" spans="2:40" x14ac:dyDescent="0.25">
      <c r="B801" s="1">
        <v>44288</v>
      </c>
      <c r="C801">
        <v>42.777999999999999</v>
      </c>
      <c r="D801">
        <v>37.531999999999996</v>
      </c>
      <c r="E801">
        <v>161.93199999999999</v>
      </c>
      <c r="G801">
        <v>47982.39</v>
      </c>
      <c r="I801" s="14">
        <f t="shared" si="317"/>
        <v>9.0468785847204858E-2</v>
      </c>
      <c r="J801" s="15">
        <f t="shared" si="318"/>
        <v>6.937914921503241E-2</v>
      </c>
      <c r="K801" s="15">
        <f t="shared" si="319"/>
        <v>4.749336955818606E-2</v>
      </c>
      <c r="L801" s="15"/>
      <c r="M801" s="16">
        <f t="shared" si="320"/>
        <v>3.3195178892344135E-2</v>
      </c>
      <c r="O801" s="13">
        <f t="shared" si="321"/>
        <v>6.9113768206807771E-2</v>
      </c>
      <c r="Q801" s="5">
        <f t="shared" si="322"/>
        <v>5057.2394782023057</v>
      </c>
      <c r="R801" s="6">
        <f t="shared" si="323"/>
        <v>2968.6745571648648</v>
      </c>
      <c r="T801" s="11">
        <f t="shared" si="324"/>
        <v>1.7035344834268584</v>
      </c>
      <c r="V801" s="9">
        <v>44288</v>
      </c>
      <c r="W801">
        <v>131600</v>
      </c>
      <c r="X801">
        <v>226306.4106</v>
      </c>
      <c r="Y801">
        <v>111069.5364</v>
      </c>
      <c r="AC801" s="24">
        <f t="shared" si="325"/>
        <v>6.9891264328380581E-2</v>
      </c>
      <c r="AE801" s="5">
        <f t="shared" si="326"/>
        <v>3622.1274117837643</v>
      </c>
      <c r="AF801" s="6">
        <f t="shared" si="327"/>
        <v>2968.6745571648648</v>
      </c>
      <c r="AH801" s="1">
        <f t="shared" si="328"/>
        <v>44288</v>
      </c>
      <c r="AI801">
        <f t="shared" si="329"/>
        <v>1.2201160288997654</v>
      </c>
      <c r="AJ801">
        <f t="shared" ca="1" si="330"/>
        <v>0.91629793916731272</v>
      </c>
      <c r="AK801">
        <f t="shared" ca="1" si="331"/>
        <v>0.96891365328336865</v>
      </c>
      <c r="AL801">
        <f t="shared" ca="1" si="332"/>
        <v>1.0978944436719051</v>
      </c>
      <c r="AM801">
        <f t="shared" ca="1" si="333"/>
        <v>1.1502382533804689</v>
      </c>
      <c r="AN801">
        <f t="shared" ca="1" si="334"/>
        <v>1.2024357344302645</v>
      </c>
    </row>
    <row r="802" spans="2:40" x14ac:dyDescent="0.25">
      <c r="B802" s="1">
        <v>44295</v>
      </c>
      <c r="C802">
        <v>43.915999999999997</v>
      </c>
      <c r="D802">
        <v>38.131</v>
      </c>
      <c r="E802">
        <v>164.53899999999999</v>
      </c>
      <c r="G802">
        <v>48845.99</v>
      </c>
      <c r="I802" s="14">
        <f t="shared" si="317"/>
        <v>2.6602459208004081E-2</v>
      </c>
      <c r="J802" s="15">
        <f t="shared" si="318"/>
        <v>1.5959714377065115E-2</v>
      </c>
      <c r="K802" s="15">
        <f t="shared" si="319"/>
        <v>1.6099350344588981E-2</v>
      </c>
      <c r="L802" s="15"/>
      <c r="M802" s="16">
        <f t="shared" si="320"/>
        <v>1.7998269781892784E-2</v>
      </c>
      <c r="O802" s="13">
        <f t="shared" si="321"/>
        <v>1.955384130988606E-2</v>
      </c>
      <c r="Q802" s="5">
        <f t="shared" si="322"/>
        <v>5156.127936425165</v>
      </c>
      <c r="R802" s="6">
        <f t="shared" si="323"/>
        <v>3022.1055627393594</v>
      </c>
      <c r="T802" s="11">
        <f t="shared" si="324"/>
        <v>1.7061376015440841</v>
      </c>
      <c r="V802" s="9">
        <v>44295</v>
      </c>
      <c r="W802">
        <v>135100</v>
      </c>
      <c r="X802">
        <v>229920.0858</v>
      </c>
      <c r="Y802">
        <v>112857.6159</v>
      </c>
      <c r="AC802" s="24">
        <f t="shared" si="325"/>
        <v>1.8979260541400082E-2</v>
      </c>
      <c r="AE802" s="5">
        <f t="shared" si="326"/>
        <v>3690.8727116461555</v>
      </c>
      <c r="AF802" s="6">
        <f t="shared" si="327"/>
        <v>3022.1055627393594</v>
      </c>
      <c r="AH802" s="1">
        <f t="shared" si="328"/>
        <v>44295</v>
      </c>
      <c r="AI802">
        <f t="shared" si="329"/>
        <v>1.2212917897879776</v>
      </c>
      <c r="AJ802">
        <f t="shared" ca="1" si="330"/>
        <v>0.92101389183962068</v>
      </c>
      <c r="AK802">
        <f t="shared" ca="1" si="331"/>
        <v>0.9863353663588128</v>
      </c>
      <c r="AL802">
        <f t="shared" ca="1" si="332"/>
        <v>1.1055964487237731</v>
      </c>
      <c r="AM802">
        <f t="shared" ca="1" si="333"/>
        <v>1.1544668676568326</v>
      </c>
      <c r="AN802">
        <f t="shared" ca="1" si="334"/>
        <v>1.2031906788005895</v>
      </c>
    </row>
    <row r="803" spans="2:40" x14ac:dyDescent="0.25">
      <c r="B803" s="1">
        <v>44302</v>
      </c>
      <c r="C803">
        <v>40.639000000000003</v>
      </c>
      <c r="D803">
        <v>37.831000000000003</v>
      </c>
      <c r="E803">
        <v>158.15199999999999</v>
      </c>
      <c r="G803">
        <v>47664.34</v>
      </c>
      <c r="I803" s="14">
        <f t="shared" si="317"/>
        <v>-7.4619728572729582E-2</v>
      </c>
      <c r="J803" s="15">
        <f t="shared" si="318"/>
        <v>-7.8676142770972568E-3</v>
      </c>
      <c r="K803" s="15">
        <f t="shared" si="319"/>
        <v>-3.8817544776618362E-2</v>
      </c>
      <c r="L803" s="15"/>
      <c r="M803" s="16">
        <f t="shared" si="320"/>
        <v>-2.4191340988277688E-2</v>
      </c>
      <c r="O803" s="13">
        <f t="shared" si="321"/>
        <v>-4.04349625421484E-2</v>
      </c>
      <c r="Q803" s="5">
        <f t="shared" si="322"/>
        <v>4947.6400964532886</v>
      </c>
      <c r="R803" s="6">
        <f t="shared" si="323"/>
        <v>2948.9967765685606</v>
      </c>
      <c r="T803" s="11">
        <f t="shared" si="324"/>
        <v>1.6777366919370935</v>
      </c>
      <c r="V803" s="9">
        <v>44302</v>
      </c>
      <c r="W803">
        <v>125020</v>
      </c>
      <c r="X803">
        <v>228113.2482</v>
      </c>
      <c r="Y803">
        <v>108476.82120000001</v>
      </c>
      <c r="AC803" s="24">
        <f t="shared" si="325"/>
        <v>-3.4048258331589608E-2</v>
      </c>
      <c r="AE803" s="5">
        <f t="shared" si="326"/>
        <v>3565.2049240910123</v>
      </c>
      <c r="AF803" s="6">
        <f t="shared" si="327"/>
        <v>2948.9967765685606</v>
      </c>
      <c r="AH803" s="1">
        <f t="shared" si="328"/>
        <v>44302</v>
      </c>
      <c r="AI803">
        <f t="shared" si="329"/>
        <v>1.2089551783910286</v>
      </c>
      <c r="AJ803">
        <f t="shared" ca="1" si="330"/>
        <v>0.92713113542843628</v>
      </c>
      <c r="AK803">
        <f t="shared" ca="1" si="331"/>
        <v>0.9937458670327195</v>
      </c>
      <c r="AL803">
        <f t="shared" ca="1" si="332"/>
        <v>1.1098089881933859</v>
      </c>
      <c r="AM803">
        <f t="shared" ca="1" si="333"/>
        <v>1.1556515995871441</v>
      </c>
      <c r="AN803">
        <f t="shared" ca="1" si="334"/>
        <v>1.2061714024208017</v>
      </c>
    </row>
    <row r="804" spans="2:40" x14ac:dyDescent="0.25">
      <c r="B804" s="1">
        <v>44309</v>
      </c>
      <c r="C804">
        <v>40.320999999999998</v>
      </c>
      <c r="D804">
        <v>40.603000000000002</v>
      </c>
      <c r="E804">
        <v>159.84700000000001</v>
      </c>
      <c r="G804">
        <v>47374.47</v>
      </c>
      <c r="I804" s="14">
        <f t="shared" si="317"/>
        <v>-7.824995693791803E-3</v>
      </c>
      <c r="J804" s="15">
        <f t="shared" si="318"/>
        <v>7.3273241521503385E-2</v>
      </c>
      <c r="K804" s="15">
        <f t="shared" si="319"/>
        <v>1.0717537558804224E-2</v>
      </c>
      <c r="L804" s="15"/>
      <c r="M804" s="16">
        <f t="shared" si="320"/>
        <v>-6.0814856557332986E-3</v>
      </c>
      <c r="O804" s="13">
        <f t="shared" si="321"/>
        <v>2.5388594462171937E-2</v>
      </c>
      <c r="Q804" s="5">
        <f t="shared" si="322"/>
        <v>5073.2537244069226</v>
      </c>
      <c r="R804" s="6">
        <f t="shared" si="323"/>
        <v>2931.062494973055</v>
      </c>
      <c r="T804" s="11">
        <f t="shared" si="324"/>
        <v>1.7308582580916825</v>
      </c>
      <c r="V804" s="9">
        <v>44309</v>
      </c>
      <c r="W804">
        <v>124040</v>
      </c>
      <c r="X804">
        <v>244826.49600000001</v>
      </c>
      <c r="Y804">
        <v>109639.07279999999</v>
      </c>
      <c r="AC804" s="24">
        <f t="shared" si="325"/>
        <v>3.6608648063962891E-2</v>
      </c>
      <c r="AE804" s="5">
        <f t="shared" si="326"/>
        <v>3695.7222564329677</v>
      </c>
      <c r="AF804" s="6">
        <f t="shared" si="327"/>
        <v>2931.062494973055</v>
      </c>
      <c r="AH804" s="1">
        <f t="shared" si="328"/>
        <v>44309</v>
      </c>
      <c r="AI804">
        <f t="shared" si="329"/>
        <v>1.2608814253436593</v>
      </c>
      <c r="AJ804">
        <f t="shared" ca="1" si="330"/>
        <v>0.9302400182442575</v>
      </c>
      <c r="AK804">
        <f t="shared" ca="1" si="331"/>
        <v>1.0010339156626653</v>
      </c>
      <c r="AL804">
        <f t="shared" ca="1" si="332"/>
        <v>1.1117181797523072</v>
      </c>
      <c r="AM804">
        <f t="shared" ca="1" si="333"/>
        <v>1.1638914589816314</v>
      </c>
      <c r="AN804">
        <f t="shared" ca="1" si="334"/>
        <v>1.2087093981443162</v>
      </c>
    </row>
    <row r="805" spans="2:40" x14ac:dyDescent="0.25">
      <c r="B805" s="1">
        <v>44316</v>
      </c>
      <c r="C805">
        <v>41.731000000000002</v>
      </c>
      <c r="D805">
        <v>41.203000000000003</v>
      </c>
      <c r="E805">
        <v>161.62799999999999</v>
      </c>
      <c r="G805">
        <v>49056.1</v>
      </c>
      <c r="I805" s="14">
        <f t="shared" si="317"/>
        <v>3.4969370799335486E-2</v>
      </c>
      <c r="J805" s="15">
        <f t="shared" si="318"/>
        <v>1.4777233209368745E-2</v>
      </c>
      <c r="K805" s="15">
        <f t="shared" si="319"/>
        <v>1.1141904446126505E-2</v>
      </c>
      <c r="L805" s="15"/>
      <c r="M805" s="16">
        <f t="shared" si="320"/>
        <v>3.5496544868997892E-2</v>
      </c>
      <c r="O805" s="13">
        <f t="shared" si="321"/>
        <v>2.0296169484943578E-2</v>
      </c>
      <c r="Q805" s="5">
        <f t="shared" si="322"/>
        <v>5176.2213418376068</v>
      </c>
      <c r="R805" s="6">
        <f t="shared" si="323"/>
        <v>3035.1050863397031</v>
      </c>
      <c r="T805" s="11">
        <f t="shared" si="324"/>
        <v>1.7054504521555336</v>
      </c>
      <c r="V805" s="9">
        <v>44316</v>
      </c>
      <c r="W805">
        <v>128380</v>
      </c>
      <c r="X805">
        <v>248440.17129999999</v>
      </c>
      <c r="Y805">
        <v>110860.9271</v>
      </c>
      <c r="AC805" s="24">
        <f t="shared" si="325"/>
        <v>1.917855852103861E-2</v>
      </c>
      <c r="AE805" s="5">
        <f t="shared" si="326"/>
        <v>3766.6008820054726</v>
      </c>
      <c r="AF805" s="6">
        <f t="shared" si="327"/>
        <v>3035.1050863397031</v>
      </c>
      <c r="AH805" s="1">
        <f t="shared" si="328"/>
        <v>44316</v>
      </c>
      <c r="AI805">
        <f t="shared" si="329"/>
        <v>1.2410116865337089</v>
      </c>
      <c r="AJ805">
        <f t="shared" ca="1" si="330"/>
        <v>0.9302400182442575</v>
      </c>
      <c r="AK805">
        <f t="shared" ca="1" si="331"/>
        <v>1.0051560384008111</v>
      </c>
      <c r="AL805">
        <f t="shared" ca="1" si="332"/>
        <v>1.1147162053817325</v>
      </c>
      <c r="AM805">
        <f t="shared" ca="1" si="333"/>
        <v>1.1831835305106364</v>
      </c>
      <c r="AN805">
        <f t="shared" ca="1" si="334"/>
        <v>1.2094084436565633</v>
      </c>
    </row>
    <row r="806" spans="2:40" x14ac:dyDescent="0.25">
      <c r="B806" s="1">
        <v>44323</v>
      </c>
      <c r="C806">
        <v>42.686999999999998</v>
      </c>
      <c r="D806">
        <v>42.475999999999999</v>
      </c>
      <c r="E806">
        <v>162.88800000000001</v>
      </c>
      <c r="G806">
        <v>51419.49</v>
      </c>
      <c r="I806" s="14">
        <f t="shared" si="317"/>
        <v>2.2908629076705544E-2</v>
      </c>
      <c r="J806" s="15">
        <f t="shared" si="318"/>
        <v>3.089580855762919E-2</v>
      </c>
      <c r="K806" s="15">
        <f t="shared" si="319"/>
        <v>7.7956789665158954E-3</v>
      </c>
      <c r="L806" s="15"/>
      <c r="M806" s="16">
        <f t="shared" si="320"/>
        <v>4.8177290897564173E-2</v>
      </c>
      <c r="O806" s="13">
        <f t="shared" si="321"/>
        <v>2.0533372200283544E-2</v>
      </c>
      <c r="Q806" s="5">
        <f t="shared" si="322"/>
        <v>5282.50662124061</v>
      </c>
      <c r="R806" s="6">
        <f t="shared" si="323"/>
        <v>3181.3282269889678</v>
      </c>
      <c r="T806" s="11">
        <f t="shared" si="324"/>
        <v>1.6604720557992674</v>
      </c>
      <c r="V806" s="9">
        <v>44323</v>
      </c>
      <c r="W806">
        <v>131320</v>
      </c>
      <c r="X806">
        <v>256119.2311</v>
      </c>
      <c r="Y806">
        <v>111725.16559999999</v>
      </c>
      <c r="AC806" s="24">
        <f t="shared" si="325"/>
        <v>2.3542035987546037E-2</v>
      </c>
      <c r="AE806" s="5">
        <f t="shared" si="326"/>
        <v>3855.2743355203679</v>
      </c>
      <c r="AF806" s="6">
        <f t="shared" si="327"/>
        <v>3181.3282269889678</v>
      </c>
      <c r="AH806" s="1">
        <f t="shared" si="328"/>
        <v>44323</v>
      </c>
      <c r="AI806">
        <f t="shared" si="329"/>
        <v>1.2118442551177029</v>
      </c>
      <c r="AJ806">
        <f t="shared" ca="1" si="330"/>
        <v>0.9302400182442575</v>
      </c>
      <c r="AK806">
        <f t="shared" ca="1" si="331"/>
        <v>1.0091696160396446</v>
      </c>
      <c r="AL806">
        <f t="shared" ca="1" si="332"/>
        <v>1.1170102433542612</v>
      </c>
      <c r="AM806">
        <f t="shared" ca="1" si="333"/>
        <v>1.1980857814302932</v>
      </c>
      <c r="AN806">
        <f t="shared" ca="1" si="334"/>
        <v>1.2190503066561733</v>
      </c>
    </row>
    <row r="807" spans="2:40" x14ac:dyDescent="0.25">
      <c r="B807" s="1">
        <v>44330</v>
      </c>
      <c r="C807">
        <v>43.460999999999999</v>
      </c>
      <c r="D807">
        <v>44.274000000000001</v>
      </c>
      <c r="E807">
        <v>173.18600000000001</v>
      </c>
      <c r="G807">
        <v>54850.06</v>
      </c>
      <c r="I807" s="14">
        <f t="shared" si="317"/>
        <v>1.8131983976386268E-2</v>
      </c>
      <c r="J807" s="15">
        <f t="shared" si="318"/>
        <v>4.2329786232225386E-2</v>
      </c>
      <c r="K807" s="15">
        <f t="shared" si="319"/>
        <v>6.3221354550365927E-2</v>
      </c>
      <c r="L807" s="15"/>
      <c r="M807" s="16">
        <f t="shared" si="320"/>
        <v>6.6717308942581877E-2</v>
      </c>
      <c r="O807" s="13">
        <f t="shared" si="321"/>
        <v>4.1227708252992525E-2</v>
      </c>
      <c r="Q807" s="5">
        <f t="shared" si="322"/>
        <v>5500.2922630656194</v>
      </c>
      <c r="R807" s="6">
        <f t="shared" si="323"/>
        <v>3393.577885156747</v>
      </c>
      <c r="T807" s="11">
        <f t="shared" si="324"/>
        <v>1.6207944680225204</v>
      </c>
      <c r="V807" s="9">
        <v>44330</v>
      </c>
      <c r="W807">
        <v>133700</v>
      </c>
      <c r="X807">
        <v>266960.25679999997</v>
      </c>
      <c r="Y807">
        <v>118788.07950000001</v>
      </c>
      <c r="AC807" s="24">
        <f t="shared" si="325"/>
        <v>4.0639879123814768E-2</v>
      </c>
      <c r="AE807" s="5">
        <f t="shared" si="326"/>
        <v>4011.952218505061</v>
      </c>
      <c r="AF807" s="6">
        <f t="shared" si="327"/>
        <v>3393.577885156747</v>
      </c>
      <c r="AH807" s="1">
        <f t="shared" si="328"/>
        <v>44330</v>
      </c>
      <c r="AI807">
        <f t="shared" si="329"/>
        <v>1.1822189895959179</v>
      </c>
      <c r="AJ807">
        <f t="shared" ca="1" si="330"/>
        <v>0.96551686921421864</v>
      </c>
      <c r="AK807">
        <f t="shared" ca="1" si="331"/>
        <v>1.0119075314116146</v>
      </c>
      <c r="AL807">
        <f t="shared" ca="1" si="332"/>
        <v>1.1183488256511032</v>
      </c>
      <c r="AM807">
        <f t="shared" ca="1" si="333"/>
        <v>1.1987718136495442</v>
      </c>
      <c r="AN807">
        <f t="shared" ca="1" si="334"/>
        <v>1.2192888515215592</v>
      </c>
    </row>
    <row r="808" spans="2:40" x14ac:dyDescent="0.25">
      <c r="B808" s="1">
        <v>44337</v>
      </c>
      <c r="C808">
        <v>44.097999999999999</v>
      </c>
      <c r="D808">
        <v>43.899000000000001</v>
      </c>
      <c r="E808">
        <v>186.09</v>
      </c>
      <c r="G808">
        <v>56221.88</v>
      </c>
      <c r="I808" s="14">
        <f t="shared" si="317"/>
        <v>1.4656818757046608E-2</v>
      </c>
      <c r="J808" s="15">
        <f t="shared" si="318"/>
        <v>-8.4699823824366804E-3</v>
      </c>
      <c r="K808" s="15">
        <f t="shared" si="319"/>
        <v>7.4509486910027345E-2</v>
      </c>
      <c r="L808" s="15"/>
      <c r="M808" s="16">
        <f t="shared" si="320"/>
        <v>2.501036461947348E-2</v>
      </c>
      <c r="O808" s="13">
        <f t="shared" si="321"/>
        <v>2.6898774428212424E-2</v>
      </c>
      <c r="Q808" s="5">
        <f t="shared" si="322"/>
        <v>5648.2433839390633</v>
      </c>
      <c r="R808" s="6">
        <f t="shared" si="323"/>
        <v>3478.4525054290989</v>
      </c>
      <c r="T808" s="11">
        <f t="shared" si="324"/>
        <v>1.6237805101904936</v>
      </c>
      <c r="V808" s="9">
        <v>44337</v>
      </c>
      <c r="W808">
        <v>135660</v>
      </c>
      <c r="X808">
        <v>264701.70970000001</v>
      </c>
      <c r="Y808">
        <v>127639.07279999999</v>
      </c>
      <c r="AC808" s="24">
        <f t="shared" si="325"/>
        <v>1.6458435330410543E-2</v>
      </c>
      <c r="AE808" s="5">
        <f t="shared" si="326"/>
        <v>4077.9826746420235</v>
      </c>
      <c r="AF808" s="6">
        <f t="shared" si="327"/>
        <v>3478.4525054290989</v>
      </c>
      <c r="AH808" s="1">
        <f t="shared" si="328"/>
        <v>44337</v>
      </c>
      <c r="AI808">
        <f t="shared" si="329"/>
        <v>1.1723554276728487</v>
      </c>
      <c r="AJ808">
        <f t="shared" ca="1" si="330"/>
        <v>0.96594020957994287</v>
      </c>
      <c r="AK808">
        <f t="shared" ca="1" si="331"/>
        <v>1.0199352530606154</v>
      </c>
      <c r="AL808">
        <f t="shared" ca="1" si="332"/>
        <v>1.1207652840681672</v>
      </c>
      <c r="AM808">
        <f t="shared" ca="1" si="333"/>
        <v>1.1987718136495442</v>
      </c>
      <c r="AN808">
        <f t="shared" ca="1" si="334"/>
        <v>1.2192888515215592</v>
      </c>
    </row>
    <row r="809" spans="2:40" x14ac:dyDescent="0.25">
      <c r="B809" s="1">
        <v>44344</v>
      </c>
      <c r="C809">
        <v>47.238</v>
      </c>
      <c r="D809">
        <v>46.820999999999998</v>
      </c>
      <c r="E809">
        <v>191.173</v>
      </c>
      <c r="G809">
        <v>59212.959999999999</v>
      </c>
      <c r="I809" s="14">
        <f t="shared" si="317"/>
        <v>7.1205043312621896E-2</v>
      </c>
      <c r="J809" s="15">
        <f t="shared" si="318"/>
        <v>6.6561880680653163E-2</v>
      </c>
      <c r="K809" s="15">
        <f t="shared" si="319"/>
        <v>2.7314740179483099E-2</v>
      </c>
      <c r="L809" s="15"/>
      <c r="M809" s="16">
        <f t="shared" si="320"/>
        <v>5.3201351502297767E-2</v>
      </c>
      <c r="O809" s="13">
        <f t="shared" si="321"/>
        <v>5.5027221390919388E-2</v>
      </c>
      <c r="Q809" s="5">
        <f t="shared" si="322"/>
        <v>5959.0505230968738</v>
      </c>
      <c r="R809" s="6">
        <f t="shared" si="323"/>
        <v>3663.5108798544807</v>
      </c>
      <c r="T809" s="11">
        <f t="shared" si="324"/>
        <v>1.6265955577927955</v>
      </c>
      <c r="V809" s="9">
        <v>44344</v>
      </c>
      <c r="W809">
        <v>145320</v>
      </c>
      <c r="X809">
        <v>282318.37640000001</v>
      </c>
      <c r="Y809">
        <v>131125.8278</v>
      </c>
      <c r="AC809" s="24">
        <f t="shared" si="325"/>
        <v>5.8267239221541707E-2</v>
      </c>
      <c r="AE809" s="5">
        <f t="shared" si="326"/>
        <v>4315.5954666866928</v>
      </c>
      <c r="AF809" s="6">
        <f t="shared" si="327"/>
        <v>3663.5108798544807</v>
      </c>
      <c r="AH809" s="1">
        <f t="shared" si="328"/>
        <v>44344</v>
      </c>
      <c r="AI809">
        <f t="shared" si="329"/>
        <v>1.1779944452787086</v>
      </c>
      <c r="AJ809">
        <f t="shared" ca="1" si="330"/>
        <v>0.96681834302285152</v>
      </c>
      <c r="AK809">
        <f t="shared" ca="1" si="331"/>
        <v>1.0333506376329935</v>
      </c>
      <c r="AL809">
        <f t="shared" ca="1" si="332"/>
        <v>1.1246351305275102</v>
      </c>
      <c r="AM809">
        <f t="shared" ca="1" si="333"/>
        <v>1.1987718136495442</v>
      </c>
      <c r="AN809">
        <f t="shared" ca="1" si="334"/>
        <v>1.2192888515215592</v>
      </c>
    </row>
    <row r="810" spans="2:40" x14ac:dyDescent="0.25">
      <c r="B810" s="1">
        <v>44351</v>
      </c>
      <c r="C810">
        <v>51.515999999999998</v>
      </c>
      <c r="D810">
        <v>51.69</v>
      </c>
      <c r="E810">
        <v>205.16399999999999</v>
      </c>
      <c r="G810">
        <v>66190.06</v>
      </c>
      <c r="I810" s="14">
        <f t="shared" si="317"/>
        <v>9.0562682586053489E-2</v>
      </c>
      <c r="J810" s="15">
        <f t="shared" si="318"/>
        <v>0.10399179855193186</v>
      </c>
      <c r="K810" s="15">
        <f t="shared" si="319"/>
        <v>7.3185020897302389E-2</v>
      </c>
      <c r="L810" s="15"/>
      <c r="M810" s="16">
        <f t="shared" si="320"/>
        <v>0.11783062356619234</v>
      </c>
      <c r="O810" s="13">
        <f t="shared" si="321"/>
        <v>8.924650067842925E-2</v>
      </c>
      <c r="Q810" s="5">
        <f t="shared" si="322"/>
        <v>6490.8749296492333</v>
      </c>
      <c r="R810" s="6">
        <f t="shared" si="323"/>
        <v>4095.1846512692641</v>
      </c>
      <c r="T810" s="11">
        <f t="shared" si="324"/>
        <v>1.5850017721758767</v>
      </c>
      <c r="V810" s="9">
        <v>44351</v>
      </c>
      <c r="W810">
        <v>158480</v>
      </c>
      <c r="X810">
        <v>311679.48759999999</v>
      </c>
      <c r="Y810">
        <v>140721.85430000001</v>
      </c>
      <c r="AC810" s="24">
        <f t="shared" si="325"/>
        <v>9.3269774290279495E-2</v>
      </c>
      <c r="AE810" s="5">
        <f t="shared" si="326"/>
        <v>4718.1100817927145</v>
      </c>
      <c r="AF810" s="6">
        <f t="shared" si="327"/>
        <v>4095.1846512692641</v>
      </c>
      <c r="AH810" s="1">
        <f t="shared" si="328"/>
        <v>44351</v>
      </c>
      <c r="AI810">
        <f t="shared" si="329"/>
        <v>1.1521116832498335</v>
      </c>
      <c r="AJ810">
        <f t="shared" ca="1" si="330"/>
        <v>0.96681834302285152</v>
      </c>
      <c r="AK810">
        <f t="shared" ca="1" si="331"/>
        <v>1.0478285149668225</v>
      </c>
      <c r="AL810">
        <f t="shared" ca="1" si="332"/>
        <v>1.1271497090100286</v>
      </c>
      <c r="AM810">
        <f t="shared" ca="1" si="333"/>
        <v>1.1987718136495442</v>
      </c>
      <c r="AN810">
        <f t="shared" ca="1" si="334"/>
        <v>1.2192888515215592</v>
      </c>
    </row>
    <row r="811" spans="2:40" x14ac:dyDescent="0.25">
      <c r="B811" s="1">
        <v>44358</v>
      </c>
      <c r="C811">
        <v>52.244</v>
      </c>
      <c r="D811">
        <v>51.466000000000001</v>
      </c>
      <c r="E811">
        <v>205.03299999999999</v>
      </c>
      <c r="G811">
        <v>66093.97</v>
      </c>
      <c r="I811" s="14">
        <f t="shared" si="317"/>
        <v>1.4131531951238507E-2</v>
      </c>
      <c r="J811" s="15">
        <f t="shared" si="318"/>
        <v>-4.3335267943508393E-3</v>
      </c>
      <c r="K811" s="15">
        <f t="shared" si="319"/>
        <v>-6.3851357938038422E-4</v>
      </c>
      <c r="L811" s="15"/>
      <c r="M811" s="16">
        <f t="shared" si="320"/>
        <v>-1.4517285525953438E-3</v>
      </c>
      <c r="O811" s="13">
        <f t="shared" si="321"/>
        <v>3.0531638591690946E-3</v>
      </c>
      <c r="Q811" s="5">
        <f t="shared" si="322"/>
        <v>6510.6926343988252</v>
      </c>
      <c r="R811" s="6">
        <f t="shared" si="323"/>
        <v>4089.2395547828664</v>
      </c>
      <c r="T811" s="11">
        <f t="shared" si="324"/>
        <v>1.5921524154249591</v>
      </c>
      <c r="V811" s="9">
        <v>44358</v>
      </c>
      <c r="W811">
        <v>160720</v>
      </c>
      <c r="X811">
        <v>310324.35940000002</v>
      </c>
      <c r="Y811">
        <v>140632.4503</v>
      </c>
      <c r="AC811" s="24">
        <f t="shared" si="325"/>
        <v>1.3080133622951639E-3</v>
      </c>
      <c r="AE811" s="5">
        <f t="shared" si="326"/>
        <v>4724.2814328244785</v>
      </c>
      <c r="AF811" s="6">
        <f t="shared" si="327"/>
        <v>4089.2395547828664</v>
      </c>
      <c r="AH811" s="1">
        <f t="shared" si="328"/>
        <v>44358</v>
      </c>
      <c r="AI811">
        <f t="shared" si="329"/>
        <v>1.1552958366791823</v>
      </c>
      <c r="AJ811">
        <f t="shared" ca="1" si="330"/>
        <v>0.96681834302285152</v>
      </c>
      <c r="AK811">
        <f t="shared" ca="1" si="331"/>
        <v>1.0636276031848462</v>
      </c>
      <c r="AL811">
        <f t="shared" ca="1" si="332"/>
        <v>1.1346116795047991</v>
      </c>
      <c r="AM811">
        <f t="shared" ca="1" si="333"/>
        <v>1.1987718136495442</v>
      </c>
      <c r="AN811">
        <f t="shared" ca="1" si="334"/>
        <v>1.2192888515215592</v>
      </c>
    </row>
    <row r="812" spans="2:40" x14ac:dyDescent="0.25">
      <c r="B812" s="1">
        <v>44365</v>
      </c>
      <c r="C812">
        <v>51.88</v>
      </c>
      <c r="D812">
        <v>52.14</v>
      </c>
      <c r="E812">
        <v>200.124</v>
      </c>
      <c r="G812">
        <v>65136</v>
      </c>
      <c r="I812" s="14">
        <f t="shared" si="317"/>
        <v>-6.9673072505933575E-3</v>
      </c>
      <c r="J812" s="15">
        <f t="shared" si="318"/>
        <v>1.3096024559903663E-2</v>
      </c>
      <c r="K812" s="15">
        <f t="shared" si="319"/>
        <v>-2.3942487306921278E-2</v>
      </c>
      <c r="L812" s="15"/>
      <c r="M812" s="16">
        <f t="shared" si="320"/>
        <v>-1.4494060502039718E-2</v>
      </c>
      <c r="O812" s="13">
        <f t="shared" si="321"/>
        <v>-5.9379233325369913E-3</v>
      </c>
      <c r="Q812" s="5">
        <f t="shared" si="322"/>
        <v>6472.0326406940521</v>
      </c>
      <c r="R812" s="6">
        <f t="shared" si="323"/>
        <v>4029.9698692685097</v>
      </c>
      <c r="T812" s="11">
        <f t="shared" si="324"/>
        <v>1.6059754416647307</v>
      </c>
      <c r="V812" s="9">
        <v>44365</v>
      </c>
      <c r="W812">
        <v>159600</v>
      </c>
      <c r="X812">
        <v>314389.74400000001</v>
      </c>
      <c r="Y812">
        <v>137264.90059999999</v>
      </c>
      <c r="AC812" s="24">
        <f t="shared" si="325"/>
        <v>-6.9131416888761055E-4</v>
      </c>
      <c r="AE812" s="5">
        <f t="shared" si="326"/>
        <v>4721.0154701321544</v>
      </c>
      <c r="AF812" s="6">
        <f t="shared" si="327"/>
        <v>4029.9698692685097</v>
      </c>
      <c r="AH812" s="1">
        <f t="shared" si="328"/>
        <v>44365</v>
      </c>
      <c r="AI812">
        <f t="shared" si="329"/>
        <v>1.1714766172653985</v>
      </c>
      <c r="AJ812">
        <f t="shared" ca="1" si="330"/>
        <v>0.97095262943142047</v>
      </c>
      <c r="AK812">
        <f t="shared" ca="1" si="331"/>
        <v>1.0755967758168516</v>
      </c>
      <c r="AL812">
        <f t="shared" ca="1" si="332"/>
        <v>1.1447605172625708</v>
      </c>
      <c r="AM812">
        <f t="shared" ca="1" si="333"/>
        <v>1.1987718136495442</v>
      </c>
      <c r="AN812">
        <f t="shared" ca="1" si="334"/>
        <v>1.2192888515215592</v>
      </c>
    </row>
    <row r="813" spans="2:40" x14ac:dyDescent="0.25">
      <c r="B813" s="1">
        <v>44372</v>
      </c>
      <c r="C813">
        <v>54.155000000000001</v>
      </c>
      <c r="D813">
        <v>57.758000000000003</v>
      </c>
      <c r="E813">
        <v>206.29300000000001</v>
      </c>
      <c r="G813">
        <v>65133.46</v>
      </c>
      <c r="I813" s="14">
        <f t="shared" si="317"/>
        <v>4.3851195065535808E-2</v>
      </c>
      <c r="J813" s="15">
        <f t="shared" si="318"/>
        <v>0.10774836977368629</v>
      </c>
      <c r="K813" s="15">
        <f t="shared" si="319"/>
        <v>3.0825887949471387E-2</v>
      </c>
      <c r="L813" s="15"/>
      <c r="M813" s="16">
        <f t="shared" si="320"/>
        <v>-3.8995332842017838E-5</v>
      </c>
      <c r="O813" s="13">
        <f t="shared" si="321"/>
        <v>6.0808484262897831E-2</v>
      </c>
      <c r="Q813" s="5">
        <f t="shared" si="322"/>
        <v>6865.5871356746566</v>
      </c>
      <c r="R813" s="6">
        <f t="shared" si="323"/>
        <v>4029.8127192521142</v>
      </c>
      <c r="T813" s="11">
        <f t="shared" si="324"/>
        <v>1.7036988103379724</v>
      </c>
      <c r="V813" s="9">
        <v>44372</v>
      </c>
      <c r="W813">
        <v>166600</v>
      </c>
      <c r="X813">
        <v>348267.94919999997</v>
      </c>
      <c r="Y813">
        <v>141496.6887</v>
      </c>
      <c r="AC813" s="24">
        <f t="shared" si="325"/>
        <v>7.3790761290383838E-2</v>
      </c>
      <c r="AE813" s="5">
        <f t="shared" si="326"/>
        <v>5069.3827957368858</v>
      </c>
      <c r="AF813" s="6">
        <f t="shared" si="327"/>
        <v>4029.8127192521142</v>
      </c>
      <c r="AH813" s="1">
        <f t="shared" si="328"/>
        <v>44372</v>
      </c>
      <c r="AI813">
        <f t="shared" si="329"/>
        <v>1.2579698236392742</v>
      </c>
      <c r="AJ813">
        <f t="shared" ca="1" si="330"/>
        <v>0.97120463830525017</v>
      </c>
      <c r="AK813">
        <f t="shared" ca="1" si="331"/>
        <v>1.0898348771008652</v>
      </c>
      <c r="AL813">
        <f t="shared" ca="1" si="332"/>
        <v>1.1482526089951162</v>
      </c>
      <c r="AM813">
        <f t="shared" ca="1" si="333"/>
        <v>1.1987718136495442</v>
      </c>
      <c r="AN813">
        <f t="shared" ca="1" si="334"/>
        <v>1.2192888515215592</v>
      </c>
    </row>
    <row r="814" spans="2:40" x14ac:dyDescent="0.25">
      <c r="B814" s="1">
        <v>44379</v>
      </c>
      <c r="C814">
        <v>53.518000000000001</v>
      </c>
      <c r="D814">
        <v>54.837000000000003</v>
      </c>
      <c r="E814">
        <v>199.429</v>
      </c>
      <c r="G814">
        <v>63330.37</v>
      </c>
      <c r="I814" s="14">
        <f t="shared" si="317"/>
        <v>-1.1762533468747116E-2</v>
      </c>
      <c r="J814" s="15">
        <f t="shared" si="318"/>
        <v>-5.0573080785345725E-2</v>
      </c>
      <c r="K814" s="15">
        <f t="shared" si="319"/>
        <v>-3.3273063070487163E-2</v>
      </c>
      <c r="L814" s="15"/>
      <c r="M814" s="16">
        <f t="shared" si="320"/>
        <v>-2.7683006553006595E-2</v>
      </c>
      <c r="O814" s="13">
        <f t="shared" si="321"/>
        <v>-3.1869559108193335E-2</v>
      </c>
      <c r="Q814" s="5">
        <f t="shared" si="322"/>
        <v>6646.7839006418217</v>
      </c>
      <c r="R814" s="6">
        <f t="shared" si="323"/>
        <v>3918.2553873376687</v>
      </c>
      <c r="T814" s="11">
        <f t="shared" si="324"/>
        <v>1.6963631115321716</v>
      </c>
      <c r="V814" s="9">
        <v>44379</v>
      </c>
      <c r="W814">
        <v>164640</v>
      </c>
      <c r="X814">
        <v>330651.28249999997</v>
      </c>
      <c r="Y814">
        <v>136788.07949999999</v>
      </c>
      <c r="AC814" s="24">
        <f t="shared" si="325"/>
        <v>-3.6992622775651421E-2</v>
      </c>
      <c r="AE814" s="5">
        <f t="shared" si="326"/>
        <v>4881.8530302688141</v>
      </c>
      <c r="AF814" s="6">
        <f t="shared" si="327"/>
        <v>3918.2553873376687</v>
      </c>
      <c r="AH814" s="1">
        <f t="shared" si="328"/>
        <v>44379</v>
      </c>
      <c r="AI814">
        <f t="shared" si="329"/>
        <v>1.2459251752821245</v>
      </c>
      <c r="AJ814">
        <f t="shared" ca="1" si="330"/>
        <v>0.97120463830525017</v>
      </c>
      <c r="AK814">
        <f t="shared" ca="1" si="331"/>
        <v>1.0999904922286019</v>
      </c>
      <c r="AL814">
        <f t="shared" ca="1" si="332"/>
        <v>1.1504721681001042</v>
      </c>
      <c r="AM814">
        <f t="shared" ca="1" si="333"/>
        <v>1.2002758784218275</v>
      </c>
      <c r="AN814">
        <f t="shared" ca="1" si="334"/>
        <v>1.2211742136991564</v>
      </c>
    </row>
    <row r="815" spans="2:40" x14ac:dyDescent="0.25">
      <c r="B815" s="1">
        <v>44386</v>
      </c>
      <c r="C815">
        <v>52.607999999999997</v>
      </c>
      <c r="D815">
        <v>55.735999999999997</v>
      </c>
      <c r="E815">
        <v>208.81299999999999</v>
      </c>
      <c r="G815">
        <v>62371.57</v>
      </c>
      <c r="I815" s="14">
        <f t="shared" si="317"/>
        <v>-1.7003624948615514E-2</v>
      </c>
      <c r="J815" s="15">
        <f t="shared" si="318"/>
        <v>1.6394040520086639E-2</v>
      </c>
      <c r="K815" s="15">
        <f t="shared" si="319"/>
        <v>4.7054340141102768E-2</v>
      </c>
      <c r="L815" s="15"/>
      <c r="M815" s="16">
        <f t="shared" si="320"/>
        <v>-1.5139655744945135E-2</v>
      </c>
      <c r="O815" s="13">
        <f t="shared" si="321"/>
        <v>1.5481585237524631E-2</v>
      </c>
      <c r="Q815" s="5">
        <f t="shared" si="322"/>
        <v>6749.6866521550137</v>
      </c>
      <c r="R815" s="6">
        <f t="shared" si="323"/>
        <v>3858.9343496525998</v>
      </c>
      <c r="T815" s="11">
        <f t="shared" si="324"/>
        <v>1.749106369939321</v>
      </c>
      <c r="V815" s="9">
        <v>44386</v>
      </c>
      <c r="W815">
        <v>161840</v>
      </c>
      <c r="X815">
        <v>336071.7953</v>
      </c>
      <c r="Y815">
        <v>143225.1655</v>
      </c>
      <c r="AC815" s="24">
        <f t="shared" si="325"/>
        <v>1.4330014672785286E-2</v>
      </c>
      <c r="AE815" s="5">
        <f t="shared" si="326"/>
        <v>4951.810055822948</v>
      </c>
      <c r="AF815" s="6">
        <f t="shared" si="327"/>
        <v>3858.9343496525998</v>
      </c>
      <c r="AH815" s="1">
        <f t="shared" si="328"/>
        <v>44386</v>
      </c>
      <c r="AI815">
        <f t="shared" si="329"/>
        <v>1.2832066076140254</v>
      </c>
      <c r="AJ815">
        <f t="shared" ca="1" si="330"/>
        <v>1.00623720131262</v>
      </c>
      <c r="AK815">
        <f t="shared" ca="1" si="331"/>
        <v>1.1073514026930105</v>
      </c>
      <c r="AL815">
        <f t="shared" ca="1" si="332"/>
        <v>1.1532833689602924</v>
      </c>
      <c r="AM815">
        <f t="shared" ca="1" si="333"/>
        <v>1.2028854252007366</v>
      </c>
      <c r="AN815">
        <f t="shared" ca="1" si="334"/>
        <v>1.2329993166884632</v>
      </c>
    </row>
    <row r="816" spans="2:40" x14ac:dyDescent="0.25">
      <c r="B816" s="1">
        <v>44393</v>
      </c>
      <c r="C816">
        <v>52.061999999999998</v>
      </c>
      <c r="D816">
        <v>56.26</v>
      </c>
      <c r="E816">
        <v>224.71600000000001</v>
      </c>
      <c r="G816">
        <v>63090.8</v>
      </c>
      <c r="I816" s="14">
        <f t="shared" si="317"/>
        <v>-1.037864963503643E-2</v>
      </c>
      <c r="J816" s="15">
        <f t="shared" si="318"/>
        <v>9.4014640447825926E-3</v>
      </c>
      <c r="K816" s="15">
        <f t="shared" si="319"/>
        <v>7.6159051400056521E-2</v>
      </c>
      <c r="L816" s="15"/>
      <c r="M816" s="16">
        <f t="shared" si="320"/>
        <v>1.1531375593078819E-2</v>
      </c>
      <c r="O816" s="13">
        <f t="shared" si="321"/>
        <v>2.5060621936600896E-2</v>
      </c>
      <c r="Q816" s="5">
        <f t="shared" si="322"/>
        <v>6918.8379975351927</v>
      </c>
      <c r="R816" s="6">
        <f t="shared" si="323"/>
        <v>3903.4331710274773</v>
      </c>
      <c r="T816" s="11">
        <f t="shared" si="324"/>
        <v>1.7725006921827198</v>
      </c>
      <c r="V816" s="9">
        <v>44393</v>
      </c>
      <c r="W816">
        <v>160160</v>
      </c>
      <c r="X816">
        <v>339233.7611</v>
      </c>
      <c r="Y816">
        <v>154132.4503</v>
      </c>
      <c r="AC816" s="24">
        <f t="shared" si="325"/>
        <v>1.9321579851960223E-2</v>
      </c>
      <c r="AE816" s="5">
        <f t="shared" si="326"/>
        <v>5047.4868492282703</v>
      </c>
      <c r="AF816" s="6">
        <f t="shared" si="327"/>
        <v>3903.4331710274773</v>
      </c>
      <c r="AH816" s="1">
        <f t="shared" si="328"/>
        <v>44393</v>
      </c>
      <c r="AI816">
        <f t="shared" si="329"/>
        <v>1.2930890905709167</v>
      </c>
      <c r="AJ816">
        <f t="shared" ca="1" si="330"/>
        <v>1.0129667306121397</v>
      </c>
      <c r="AK816">
        <f t="shared" ca="1" si="331"/>
        <v>1.1101603039589549</v>
      </c>
      <c r="AL816">
        <f t="shared" ca="1" si="332"/>
        <v>1.1544786806429139</v>
      </c>
      <c r="AM816">
        <f t="shared" ca="1" si="333"/>
        <v>1.2040525746506319</v>
      </c>
      <c r="AN816">
        <f t="shared" ca="1" si="334"/>
        <v>1.2403405331814119</v>
      </c>
    </row>
    <row r="817" spans="2:40" x14ac:dyDescent="0.25">
      <c r="B817" s="1">
        <v>44400</v>
      </c>
      <c r="C817">
        <v>54.518999999999998</v>
      </c>
      <c r="D817">
        <v>59.332000000000001</v>
      </c>
      <c r="E817">
        <v>240.096</v>
      </c>
      <c r="G817">
        <v>64841.23</v>
      </c>
      <c r="I817" s="14">
        <f t="shared" si="317"/>
        <v>4.7193730552034019E-2</v>
      </c>
      <c r="J817" s="15">
        <f t="shared" si="318"/>
        <v>5.4603626022040608E-2</v>
      </c>
      <c r="K817" s="15">
        <f t="shared" si="319"/>
        <v>6.8441944498834006E-2</v>
      </c>
      <c r="L817" s="15"/>
      <c r="M817" s="16">
        <f t="shared" si="320"/>
        <v>2.7744615696741803E-2</v>
      </c>
      <c r="O817" s="13">
        <f t="shared" si="321"/>
        <v>5.6746433690969544E-2</v>
      </c>
      <c r="Q817" s="5">
        <f t="shared" si="322"/>
        <v>7311.4573791808843</v>
      </c>
      <c r="R817" s="6">
        <f t="shared" si="323"/>
        <v>4011.7324242555487</v>
      </c>
      <c r="T817" s="11">
        <f t="shared" si="324"/>
        <v>1.8225187041325821</v>
      </c>
      <c r="V817" s="9">
        <v>44400</v>
      </c>
      <c r="W817">
        <v>167720</v>
      </c>
      <c r="X817">
        <v>357753.84659999999</v>
      </c>
      <c r="Y817">
        <v>164682.11919999999</v>
      </c>
      <c r="AC817" s="24">
        <f t="shared" si="325"/>
        <v>5.6051410456511526E-2</v>
      </c>
      <c r="AE817" s="5">
        <f t="shared" si="326"/>
        <v>5330.4056063882081</v>
      </c>
      <c r="AF817" s="6">
        <f t="shared" si="327"/>
        <v>4011.7324242555487</v>
      </c>
      <c r="AH817" s="1">
        <f t="shared" si="328"/>
        <v>44400</v>
      </c>
      <c r="AI817">
        <f t="shared" si="329"/>
        <v>1.328704171334997</v>
      </c>
      <c r="AJ817">
        <f t="shared" ca="1" si="330"/>
        <v>1.0384352180104861</v>
      </c>
      <c r="AK817">
        <f t="shared" ca="1" si="331"/>
        <v>1.112321459766199</v>
      </c>
      <c r="AL817">
        <f t="shared" ca="1" si="332"/>
        <v>1.1548990716471295</v>
      </c>
      <c r="AM817">
        <f t="shared" ca="1" si="333"/>
        <v>1.2071118265406855</v>
      </c>
      <c r="AN817">
        <f t="shared" ca="1" si="334"/>
        <v>1.2454338264072831</v>
      </c>
    </row>
    <row r="818" spans="2:40" x14ac:dyDescent="0.25">
      <c r="B818" s="1">
        <v>44407</v>
      </c>
      <c r="C818">
        <v>54.884</v>
      </c>
      <c r="D818">
        <v>63.076999999999998</v>
      </c>
      <c r="E818">
        <v>251.697</v>
      </c>
      <c r="G818">
        <v>66005.289999999994</v>
      </c>
      <c r="I818" s="14">
        <f t="shared" si="317"/>
        <v>6.6949136998111225E-3</v>
      </c>
      <c r="J818" s="15">
        <f t="shared" si="318"/>
        <v>6.3119395941481748E-2</v>
      </c>
      <c r="K818" s="15">
        <f t="shared" si="319"/>
        <v>4.831817273090766E-2</v>
      </c>
      <c r="L818" s="15"/>
      <c r="M818" s="16">
        <f t="shared" si="320"/>
        <v>1.795246635512604E-2</v>
      </c>
      <c r="O818" s="13">
        <f t="shared" si="321"/>
        <v>3.9377494124066846E-2</v>
      </c>
      <c r="Q818" s="5">
        <f t="shared" si="322"/>
        <v>7599.3642491679439</v>
      </c>
      <c r="R818" s="6">
        <f t="shared" si="323"/>
        <v>4083.7529156277647</v>
      </c>
      <c r="T818" s="11">
        <f t="shared" si="324"/>
        <v>1.8608775815222776</v>
      </c>
      <c r="V818" s="9">
        <v>44407</v>
      </c>
      <c r="W818">
        <v>168840</v>
      </c>
      <c r="X818">
        <v>380339.31670000002</v>
      </c>
      <c r="Y818">
        <v>172639.07279999999</v>
      </c>
      <c r="AC818" s="24">
        <f t="shared" si="325"/>
        <v>4.5875451737004129E-2</v>
      </c>
      <c r="AE818" s="5">
        <f t="shared" si="326"/>
        <v>5574.9403715227263</v>
      </c>
      <c r="AF818" s="6">
        <f t="shared" si="327"/>
        <v>4083.7529156277647</v>
      </c>
      <c r="AH818" s="1">
        <f t="shared" si="328"/>
        <v>44407</v>
      </c>
      <c r="AI818">
        <f t="shared" si="329"/>
        <v>1.3651512436485722</v>
      </c>
      <c r="AJ818">
        <f t="shared" ca="1" si="330"/>
        <v>1.0530661590480044</v>
      </c>
      <c r="AK818">
        <f t="shared" ca="1" si="331"/>
        <v>1.1156119381825533</v>
      </c>
      <c r="AL818">
        <f t="shared" ca="1" si="332"/>
        <v>1.1571976575912644</v>
      </c>
      <c r="AM818">
        <f t="shared" ca="1" si="333"/>
        <v>1.2090810854092326</v>
      </c>
      <c r="AN818">
        <f t="shared" ca="1" si="334"/>
        <v>1.2567653588035592</v>
      </c>
    </row>
    <row r="819" spans="2:40" x14ac:dyDescent="0.25">
      <c r="B819" s="1">
        <v>44414</v>
      </c>
      <c r="C819">
        <v>55.521000000000001</v>
      </c>
      <c r="D819">
        <v>60.53</v>
      </c>
      <c r="E819">
        <v>246.44</v>
      </c>
      <c r="G819">
        <v>65860.91</v>
      </c>
      <c r="I819" s="14">
        <f t="shared" si="317"/>
        <v>1.1606296917134218E-2</v>
      </c>
      <c r="J819" s="15">
        <f t="shared" si="318"/>
        <v>-4.0379219049732851E-2</v>
      </c>
      <c r="K819" s="15">
        <f t="shared" si="319"/>
        <v>-2.0886224309387913E-2</v>
      </c>
      <c r="L819" s="15"/>
      <c r="M819" s="16">
        <f t="shared" si="320"/>
        <v>-2.187400434116582E-3</v>
      </c>
      <c r="O819" s="13">
        <f t="shared" si="321"/>
        <v>-1.6553048813995514E-2</v>
      </c>
      <c r="Q819" s="5">
        <f t="shared" si="322"/>
        <v>7473.571601796134</v>
      </c>
      <c r="R819" s="6">
        <f t="shared" si="323"/>
        <v>4074.8201127272955</v>
      </c>
      <c r="T819" s="11">
        <f t="shared" si="324"/>
        <v>1.8340862651711118</v>
      </c>
      <c r="V819" s="9">
        <v>44414</v>
      </c>
      <c r="W819">
        <v>170800</v>
      </c>
      <c r="X819">
        <v>364981.19709999999</v>
      </c>
      <c r="Y819">
        <v>169033.11259999999</v>
      </c>
      <c r="AC819" s="24">
        <f t="shared" si="325"/>
        <v>-2.35571385506127E-2</v>
      </c>
      <c r="AE819" s="5">
        <f t="shared" si="326"/>
        <v>5443.6107287793611</v>
      </c>
      <c r="AF819" s="6">
        <f t="shared" si="327"/>
        <v>4074.8201127272955</v>
      </c>
      <c r="AH819" s="1">
        <f t="shared" si="328"/>
        <v>44414</v>
      </c>
      <c r="AI819">
        <f t="shared" si="329"/>
        <v>1.3359143663242419</v>
      </c>
      <c r="AJ819">
        <f t="shared" ca="1" si="330"/>
        <v>1.0687439742480607</v>
      </c>
      <c r="AK819">
        <f t="shared" ca="1" si="331"/>
        <v>1.1172615295397048</v>
      </c>
      <c r="AL819">
        <f t="shared" ca="1" si="332"/>
        <v>1.1652880478843723</v>
      </c>
      <c r="AM819">
        <f t="shared" ca="1" si="333"/>
        <v>1.2100551686273096</v>
      </c>
      <c r="AN819">
        <f t="shared" ca="1" si="334"/>
        <v>1.2605902651732208</v>
      </c>
    </row>
    <row r="820" spans="2:40" x14ac:dyDescent="0.25">
      <c r="B820" s="1">
        <v>44421</v>
      </c>
      <c r="C820">
        <v>57.613999999999997</v>
      </c>
      <c r="D820">
        <v>67.421999999999997</v>
      </c>
      <c r="E820">
        <v>248.30799999999999</v>
      </c>
      <c r="G820">
        <v>69544.77</v>
      </c>
      <c r="I820" s="14">
        <f t="shared" si="317"/>
        <v>3.7697447812539364E-2</v>
      </c>
      <c r="J820" s="15">
        <f t="shared" si="318"/>
        <v>0.11386089542375677</v>
      </c>
      <c r="K820" s="15">
        <f t="shared" si="319"/>
        <v>7.5799383217010075E-3</v>
      </c>
      <c r="L820" s="15"/>
      <c r="M820" s="16">
        <f t="shared" si="320"/>
        <v>5.5933937141166234E-2</v>
      </c>
      <c r="O820" s="13">
        <f t="shared" si="321"/>
        <v>5.3046093852665711E-2</v>
      </c>
      <c r="Q820" s="5">
        <f t="shared" si="322"/>
        <v>7870.0153823996297</v>
      </c>
      <c r="R820" s="6">
        <f t="shared" si="323"/>
        <v>4302.7408447741436</v>
      </c>
      <c r="T820" s="11">
        <f t="shared" si="324"/>
        <v>1.829070275510106</v>
      </c>
      <c r="V820" s="9">
        <v>44421</v>
      </c>
      <c r="W820">
        <v>177240</v>
      </c>
      <c r="X820">
        <v>406538.4621</v>
      </c>
      <c r="Y820">
        <v>170314.56950000001</v>
      </c>
      <c r="AC820" s="24">
        <f t="shared" si="325"/>
        <v>6.9914968936754432E-2</v>
      </c>
      <c r="AE820" s="5">
        <f t="shared" si="326"/>
        <v>5824.2006037857536</v>
      </c>
      <c r="AF820" s="6">
        <f t="shared" si="327"/>
        <v>4302.7408447741436</v>
      </c>
      <c r="AH820" s="1">
        <f t="shared" si="328"/>
        <v>44421</v>
      </c>
      <c r="AI820">
        <f t="shared" si="329"/>
        <v>1.3536024626859611</v>
      </c>
      <c r="AJ820">
        <f t="shared" ca="1" si="330"/>
        <v>1.0797794565109839</v>
      </c>
      <c r="AK820">
        <f t="shared" ca="1" si="331"/>
        <v>1.1187668306140803</v>
      </c>
      <c r="AL820">
        <f t="shared" ca="1" si="332"/>
        <v>1.1719160224691236</v>
      </c>
      <c r="AM820">
        <f t="shared" ca="1" si="333"/>
        <v>1.2139121985632184</v>
      </c>
      <c r="AN820">
        <f t="shared" ca="1" si="334"/>
        <v>1.2809740893869888</v>
      </c>
    </row>
    <row r="821" spans="2:40" x14ac:dyDescent="0.25">
      <c r="B821" s="1">
        <v>44428</v>
      </c>
      <c r="C821">
        <v>55.793999999999997</v>
      </c>
      <c r="D821">
        <v>67.421999999999997</v>
      </c>
      <c r="E821">
        <v>230.06</v>
      </c>
      <c r="G821">
        <v>67822.2</v>
      </c>
      <c r="I821" s="14">
        <f t="shared" si="317"/>
        <v>-3.1589544208004972E-2</v>
      </c>
      <c r="J821" s="15">
        <f t="shared" si="318"/>
        <v>0</v>
      </c>
      <c r="K821" s="15">
        <f t="shared" si="319"/>
        <v>-7.3489376097427339E-2</v>
      </c>
      <c r="L821" s="15"/>
      <c r="M821" s="16">
        <f t="shared" si="320"/>
        <v>-2.4769224199030493E-2</v>
      </c>
      <c r="O821" s="13">
        <f t="shared" si="321"/>
        <v>-3.5026306768477435E-2</v>
      </c>
      <c r="Q821" s="5">
        <f t="shared" si="322"/>
        <v>7594.3578093430642</v>
      </c>
      <c r="R821" s="6">
        <f t="shared" si="323"/>
        <v>4196.1652921196073</v>
      </c>
      <c r="T821" s="11">
        <f t="shared" si="324"/>
        <v>1.8098328546793088</v>
      </c>
      <c r="V821" s="9">
        <v>44428</v>
      </c>
      <c r="W821">
        <v>171640</v>
      </c>
      <c r="X821">
        <v>406538.4621</v>
      </c>
      <c r="Y821">
        <v>157798.01319999999</v>
      </c>
      <c r="AC821" s="24">
        <f t="shared" si="325"/>
        <v>-2.4022556248593941E-2</v>
      </c>
      <c r="AE821" s="5">
        <f t="shared" si="326"/>
        <v>5684.2884171782152</v>
      </c>
      <c r="AF821" s="6">
        <f t="shared" si="327"/>
        <v>4196.1652921196073</v>
      </c>
      <c r="AH821" s="1">
        <f t="shared" si="328"/>
        <v>44428</v>
      </c>
      <c r="AI821">
        <f t="shared" si="329"/>
        <v>1.3546388241314757</v>
      </c>
      <c r="AJ821">
        <f t="shared" ca="1" si="330"/>
        <v>1.0945407659811905</v>
      </c>
      <c r="AK821">
        <f t="shared" ca="1" si="331"/>
        <v>1.1215555083137221</v>
      </c>
      <c r="AL821">
        <f t="shared" ca="1" si="332"/>
        <v>1.1751749364757786</v>
      </c>
      <c r="AM821">
        <f t="shared" ca="1" si="333"/>
        <v>1.2204099691218184</v>
      </c>
      <c r="AN821">
        <f t="shared" ca="1" si="334"/>
        <v>1.2921008422752276</v>
      </c>
    </row>
    <row r="822" spans="2:40" x14ac:dyDescent="0.25">
      <c r="B822" s="1">
        <v>44435</v>
      </c>
      <c r="C822">
        <v>56.158000000000001</v>
      </c>
      <c r="D822">
        <v>66.299000000000007</v>
      </c>
      <c r="E822">
        <v>238.923</v>
      </c>
      <c r="G822">
        <v>73203.63</v>
      </c>
      <c r="I822" s="14">
        <f t="shared" si="317"/>
        <v>6.5239989963079559E-3</v>
      </c>
      <c r="J822" s="15">
        <f t="shared" si="318"/>
        <v>-1.6656284298893431E-2</v>
      </c>
      <c r="K822" s="15">
        <f t="shared" si="319"/>
        <v>3.8524732678431706E-2</v>
      </c>
      <c r="L822" s="15"/>
      <c r="M822" s="16">
        <f t="shared" si="320"/>
        <v>7.9346143298212102E-2</v>
      </c>
      <c r="O822" s="13">
        <f t="shared" si="321"/>
        <v>9.4641491252820762E-3</v>
      </c>
      <c r="Q822" s="5">
        <f t="shared" si="322"/>
        <v>7666.2319441614372</v>
      </c>
      <c r="R822" s="6">
        <f t="shared" si="323"/>
        <v>4529.1148246911134</v>
      </c>
      <c r="T822" s="11">
        <f t="shared" si="324"/>
        <v>1.6926556823792331</v>
      </c>
      <c r="V822" s="9">
        <v>44435</v>
      </c>
      <c r="W822">
        <v>172760</v>
      </c>
      <c r="X822">
        <v>399762.821</v>
      </c>
      <c r="Y822">
        <v>163877.4834</v>
      </c>
      <c r="AC822" s="24">
        <f t="shared" si="325"/>
        <v>5.8084092986419097E-4</v>
      </c>
      <c r="AE822" s="5">
        <f t="shared" si="326"/>
        <v>5687.5900845480655</v>
      </c>
      <c r="AF822" s="6">
        <f t="shared" si="327"/>
        <v>4529.1148246911134</v>
      </c>
      <c r="AH822" s="1">
        <f t="shared" si="328"/>
        <v>44435</v>
      </c>
      <c r="AI822">
        <f t="shared" si="329"/>
        <v>1.2557840339002579</v>
      </c>
      <c r="AJ822">
        <f t="shared" ca="1" si="330"/>
        <v>1.1027885223729936</v>
      </c>
      <c r="AK822">
        <f t="shared" ca="1" si="331"/>
        <v>1.1257798295116268</v>
      </c>
      <c r="AL822">
        <f t="shared" ca="1" si="332"/>
        <v>1.1781309228475978</v>
      </c>
      <c r="AM822">
        <f t="shared" ca="1" si="333"/>
        <v>1.2245438805936679</v>
      </c>
      <c r="AN822">
        <f t="shared" ca="1" si="334"/>
        <v>1.325142663258589</v>
      </c>
    </row>
    <row r="823" spans="2:40" x14ac:dyDescent="0.25">
      <c r="B823" s="1">
        <v>44442</v>
      </c>
      <c r="C823">
        <v>60.344999999999999</v>
      </c>
      <c r="D823">
        <v>71.691999999999993</v>
      </c>
      <c r="E823">
        <v>235.79499999999999</v>
      </c>
      <c r="G823">
        <v>74734.95</v>
      </c>
      <c r="I823" s="14">
        <f t="shared" si="317"/>
        <v>7.4557498486413243E-2</v>
      </c>
      <c r="J823" s="15">
        <f t="shared" si="318"/>
        <v>8.1343610009200429E-2</v>
      </c>
      <c r="K823" s="15">
        <f t="shared" si="319"/>
        <v>-1.3092084060555176E-2</v>
      </c>
      <c r="L823" s="15"/>
      <c r="M823" s="16">
        <f t="shared" si="320"/>
        <v>2.0918634772619793E-2</v>
      </c>
      <c r="O823" s="13">
        <f t="shared" si="321"/>
        <v>4.7603008145019499E-2</v>
      </c>
      <c r="Q823" s="5">
        <f t="shared" si="322"/>
        <v>8031.167645840962</v>
      </c>
      <c r="R823" s="6">
        <f t="shared" si="323"/>
        <v>4623.8577235520852</v>
      </c>
      <c r="T823" s="11">
        <f t="shared" si="324"/>
        <v>1.7368976568922958</v>
      </c>
      <c r="V823" s="9">
        <v>44442</v>
      </c>
      <c r="W823">
        <v>185640</v>
      </c>
      <c r="X823">
        <v>432285.89799999999</v>
      </c>
      <c r="Y823">
        <v>161731.78810000001</v>
      </c>
      <c r="AC823" s="24">
        <f t="shared" si="325"/>
        <v>5.8735997798169175E-2</v>
      </c>
      <c r="AE823" s="5">
        <f t="shared" si="326"/>
        <v>6021.6563632309699</v>
      </c>
      <c r="AF823" s="6">
        <f t="shared" si="327"/>
        <v>4623.8577235520852</v>
      </c>
      <c r="AH823" s="1">
        <f t="shared" si="328"/>
        <v>44442</v>
      </c>
      <c r="AI823">
        <f t="shared" si="329"/>
        <v>1.3023013949064774</v>
      </c>
      <c r="AJ823">
        <f t="shared" ca="1" si="330"/>
        <v>1.1092468829684754</v>
      </c>
      <c r="AK823">
        <f t="shared" ca="1" si="331"/>
        <v>1.1272622992671715</v>
      </c>
      <c r="AL823">
        <f t="shared" ca="1" si="332"/>
        <v>1.1802431950062022</v>
      </c>
      <c r="AM823">
        <f t="shared" ca="1" si="333"/>
        <v>1.2359780363914816</v>
      </c>
      <c r="AN823">
        <f t="shared" ca="1" si="334"/>
        <v>1.325142663258589</v>
      </c>
    </row>
    <row r="824" spans="2:40" x14ac:dyDescent="0.25">
      <c r="B824" s="1">
        <v>44449</v>
      </c>
      <c r="C824">
        <v>59.252000000000002</v>
      </c>
      <c r="D824">
        <v>72.590999999999994</v>
      </c>
      <c r="E824">
        <v>225.67099999999999</v>
      </c>
      <c r="G824">
        <v>75895.02</v>
      </c>
      <c r="I824" s="14">
        <f t="shared" si="317"/>
        <v>-1.8112519678515127E-2</v>
      </c>
      <c r="J824" s="15">
        <f t="shared" si="318"/>
        <v>1.2539753389499531E-2</v>
      </c>
      <c r="K824" s="15">
        <f t="shared" si="319"/>
        <v>-4.2935600839712484E-2</v>
      </c>
      <c r="L824" s="15"/>
      <c r="M824" s="16">
        <f t="shared" si="320"/>
        <v>1.552245636077898E-2</v>
      </c>
      <c r="O824" s="13">
        <f t="shared" si="321"/>
        <v>-1.6169455709576026E-2</v>
      </c>
      <c r="Q824" s="5">
        <f t="shared" si="322"/>
        <v>7901.308036295356</v>
      </c>
      <c r="R824" s="6">
        <f t="shared" si="323"/>
        <v>4695.6313532843733</v>
      </c>
      <c r="T824" s="11">
        <f t="shared" si="324"/>
        <v>1.6826934317935249</v>
      </c>
      <c r="V824" s="9">
        <v>44449</v>
      </c>
      <c r="W824">
        <v>182280</v>
      </c>
      <c r="X824">
        <v>437706.41080000001</v>
      </c>
      <c r="Y824">
        <v>154788.07949999999</v>
      </c>
      <c r="AC824" s="24">
        <f t="shared" si="325"/>
        <v>-6.2664694807730197E-3</v>
      </c>
      <c r="AE824" s="5">
        <f t="shared" si="326"/>
        <v>5983.9218374070806</v>
      </c>
      <c r="AF824" s="6">
        <f t="shared" si="327"/>
        <v>4695.6313532843733</v>
      </c>
      <c r="AH824" s="1">
        <f t="shared" si="328"/>
        <v>44449</v>
      </c>
      <c r="AI824">
        <f t="shared" si="329"/>
        <v>1.274359375171479</v>
      </c>
      <c r="AJ824">
        <f t="shared" ca="1" si="330"/>
        <v>1.1107529317300806</v>
      </c>
      <c r="AK824">
        <f t="shared" ca="1" si="331"/>
        <v>1.1382300744950418</v>
      </c>
      <c r="AL824">
        <f t="shared" ca="1" si="332"/>
        <v>1.1900754551945016</v>
      </c>
      <c r="AM824">
        <f t="shared" ca="1" si="333"/>
        <v>1.2422400587208129</v>
      </c>
      <c r="AN824">
        <f t="shared" ca="1" si="334"/>
        <v>1.3260638936921449</v>
      </c>
    </row>
    <row r="825" spans="2:40" x14ac:dyDescent="0.25">
      <c r="B825" s="1">
        <v>44456</v>
      </c>
      <c r="C825">
        <v>59.252000000000002</v>
      </c>
      <c r="D825">
        <v>73.489999999999995</v>
      </c>
      <c r="E825">
        <v>229.36500000000001</v>
      </c>
      <c r="G825">
        <v>78512.09</v>
      </c>
      <c r="I825" s="14">
        <f t="shared" si="317"/>
        <v>0</v>
      </c>
      <c r="J825" s="15">
        <f t="shared" si="318"/>
        <v>1.2384455373255721E-2</v>
      </c>
      <c r="K825" s="15">
        <f t="shared" si="319"/>
        <v>1.6368961895857348E-2</v>
      </c>
      <c r="L825" s="15"/>
      <c r="M825" s="16">
        <f t="shared" si="320"/>
        <v>3.4482763164170649E-2</v>
      </c>
      <c r="O825" s="13">
        <f t="shared" si="321"/>
        <v>9.5844724230376901E-3</v>
      </c>
      <c r="Q825" s="5">
        <f t="shared" si="322"/>
        <v>7977.0379052751541</v>
      </c>
      <c r="R825" s="6">
        <f t="shared" si="323"/>
        <v>4857.5496971459324</v>
      </c>
      <c r="T825" s="11">
        <f t="shared" si="324"/>
        <v>1.6421937813548435</v>
      </c>
      <c r="V825" s="9">
        <v>44456</v>
      </c>
      <c r="W825">
        <v>182280</v>
      </c>
      <c r="X825">
        <v>443126.92369999998</v>
      </c>
      <c r="Y825">
        <v>155754.3204</v>
      </c>
      <c r="AC825" s="24">
        <f t="shared" si="325"/>
        <v>1.0266827039347831E-2</v>
      </c>
      <c r="AE825" s="5">
        <f t="shared" si="326"/>
        <v>6045.3577279287156</v>
      </c>
      <c r="AF825" s="6">
        <f t="shared" si="327"/>
        <v>4857.5496971459324</v>
      </c>
      <c r="AH825" s="1">
        <f t="shared" si="328"/>
        <v>44456</v>
      </c>
      <c r="AI825">
        <f t="shared" si="329"/>
        <v>1.2445282302475842</v>
      </c>
      <c r="AJ825">
        <f t="shared" ca="1" si="330"/>
        <v>1.1132830329004189</v>
      </c>
      <c r="AK825">
        <f t="shared" ca="1" si="331"/>
        <v>1.146216541151214</v>
      </c>
      <c r="AL825">
        <f t="shared" ca="1" si="332"/>
        <v>1.1982396420675008</v>
      </c>
      <c r="AM825">
        <f t="shared" ca="1" si="333"/>
        <v>1.2483898899366579</v>
      </c>
      <c r="AN825">
        <f t="shared" ca="1" si="334"/>
        <v>1.3260638936921449</v>
      </c>
    </row>
    <row r="826" spans="2:40" x14ac:dyDescent="0.25">
      <c r="B826" s="1">
        <v>44463</v>
      </c>
      <c r="C826">
        <v>57.067999999999998</v>
      </c>
      <c r="D826">
        <v>68.396000000000001</v>
      </c>
      <c r="E826">
        <v>228.58199999999999</v>
      </c>
      <c r="G826">
        <v>74180.2</v>
      </c>
      <c r="I826" s="14">
        <f t="shared" si="317"/>
        <v>-3.6859515290623146E-2</v>
      </c>
      <c r="J826" s="15">
        <f t="shared" si="318"/>
        <v>-6.9315553136481078E-2</v>
      </c>
      <c r="K826" s="15">
        <f t="shared" si="319"/>
        <v>-3.4137728075339657E-3</v>
      </c>
      <c r="L826" s="15"/>
      <c r="M826" s="16">
        <f t="shared" si="320"/>
        <v>-5.5174814477617407E-2</v>
      </c>
      <c r="O826" s="13">
        <f t="shared" si="321"/>
        <v>-3.6529613744879397E-2</v>
      </c>
      <c r="Q826" s="5">
        <f t="shared" si="322"/>
        <v>7685.6397917671911</v>
      </c>
      <c r="R826" s="6">
        <f t="shared" si="323"/>
        <v>4589.5352937900989</v>
      </c>
      <c r="T826" s="11">
        <f t="shared" si="324"/>
        <v>1.6746008691046121</v>
      </c>
      <c r="V826" s="9">
        <v>44463</v>
      </c>
      <c r="W826">
        <v>175560</v>
      </c>
      <c r="X826">
        <v>412410.68430000002</v>
      </c>
      <c r="Y826">
        <v>155223.23920000001</v>
      </c>
      <c r="AC826" s="24">
        <f t="shared" si="325"/>
        <v>-4.8602065736744082E-2</v>
      </c>
      <c r="AE826" s="5">
        <f t="shared" si="326"/>
        <v>5751.54085423379</v>
      </c>
      <c r="AF826" s="6">
        <f t="shared" si="327"/>
        <v>4589.5352937900989</v>
      </c>
      <c r="AH826" s="1">
        <f t="shared" si="328"/>
        <v>44463</v>
      </c>
      <c r="AI826">
        <f t="shared" si="329"/>
        <v>1.2531858861649785</v>
      </c>
      <c r="AJ826">
        <f t="shared" ca="1" si="330"/>
        <v>1.1166081854575518</v>
      </c>
      <c r="AK826">
        <f t="shared" ca="1" si="331"/>
        <v>1.1485426309727456</v>
      </c>
      <c r="AL826">
        <f t="shared" ca="1" si="332"/>
        <v>1.1989962639571723</v>
      </c>
      <c r="AM826">
        <f t="shared" ca="1" si="333"/>
        <v>1.2483898899366579</v>
      </c>
      <c r="AN826">
        <f t="shared" ca="1" si="334"/>
        <v>1.3260638936921449</v>
      </c>
    </row>
    <row r="827" spans="2:40" x14ac:dyDescent="0.25">
      <c r="B827" s="1">
        <v>44470</v>
      </c>
      <c r="C827">
        <v>57.523000000000003</v>
      </c>
      <c r="D827">
        <v>70.718999999999994</v>
      </c>
      <c r="E827">
        <v>238.96700000000001</v>
      </c>
      <c r="G827">
        <v>77626.16</v>
      </c>
      <c r="I827" s="14">
        <f t="shared" si="317"/>
        <v>7.9729445573701874E-3</v>
      </c>
      <c r="J827" s="15">
        <f t="shared" si="318"/>
        <v>3.3963974501432626E-2</v>
      </c>
      <c r="K827" s="15">
        <f t="shared" si="319"/>
        <v>4.5432273757338715E-2</v>
      </c>
      <c r="L827" s="15"/>
      <c r="M827" s="16">
        <f t="shared" si="320"/>
        <v>4.6453905489605152E-2</v>
      </c>
      <c r="O827" s="13">
        <f t="shared" si="321"/>
        <v>2.9123064272047177E-2</v>
      </c>
      <c r="Q827" s="5">
        <f t="shared" si="322"/>
        <v>7909.4691733946311</v>
      </c>
      <c r="R827" s="6">
        <f t="shared" si="323"/>
        <v>4802.737132569031</v>
      </c>
      <c r="T827" s="11">
        <f t="shared" si="324"/>
        <v>1.6468669750334177</v>
      </c>
      <c r="V827" s="9">
        <v>44470</v>
      </c>
      <c r="W827">
        <v>176960</v>
      </c>
      <c r="X827">
        <v>426413.67580000003</v>
      </c>
      <c r="Y827">
        <v>162274.81760000001</v>
      </c>
      <c r="AC827" s="24">
        <f t="shared" si="325"/>
        <v>3.021954310826757E-2</v>
      </c>
      <c r="AE827" s="5">
        <f t="shared" si="326"/>
        <v>5925.3497910172691</v>
      </c>
      <c r="AF827" s="6">
        <f t="shared" si="327"/>
        <v>4802.737132569031</v>
      </c>
      <c r="AH827" s="1">
        <f t="shared" si="328"/>
        <v>44470</v>
      </c>
      <c r="AI827">
        <f t="shared" si="329"/>
        <v>1.2337443477460823</v>
      </c>
      <c r="AJ827">
        <f t="shared" ca="1" si="330"/>
        <v>1.1166081854575518</v>
      </c>
      <c r="AK827">
        <f t="shared" ca="1" si="331"/>
        <v>1.1512919256749687</v>
      </c>
      <c r="AL827">
        <f t="shared" ca="1" si="332"/>
        <v>1.2011065922712265</v>
      </c>
      <c r="AM827">
        <f t="shared" ca="1" si="333"/>
        <v>1.2538354230987983</v>
      </c>
      <c r="AN827">
        <f t="shared" ca="1" si="334"/>
        <v>1.3260638936921449</v>
      </c>
    </row>
    <row r="828" spans="2:40" x14ac:dyDescent="0.25">
      <c r="B828" s="1">
        <v>44477</v>
      </c>
      <c r="C828">
        <v>56.249000000000002</v>
      </c>
      <c r="D828">
        <v>67.721999999999994</v>
      </c>
      <c r="E828">
        <v>230.364</v>
      </c>
      <c r="G828">
        <v>77553.31</v>
      </c>
      <c r="I828" s="14">
        <f t="shared" si="317"/>
        <v>-2.2147662674060875E-2</v>
      </c>
      <c r="J828" s="15">
        <f t="shared" si="318"/>
        <v>-4.2378992915623859E-2</v>
      </c>
      <c r="K828" s="15">
        <f t="shared" si="319"/>
        <v>-3.600078671950524E-2</v>
      </c>
      <c r="L828" s="15"/>
      <c r="M828" s="16">
        <f t="shared" si="320"/>
        <v>-9.3847228820809203E-4</v>
      </c>
      <c r="O828" s="13">
        <f t="shared" si="321"/>
        <v>-3.3509147436396658E-2</v>
      </c>
      <c r="Q828" s="5">
        <f t="shared" si="322"/>
        <v>7644.4296047197158</v>
      </c>
      <c r="R828" s="6">
        <f t="shared" si="323"/>
        <v>4798.2298968625673</v>
      </c>
      <c r="T828" s="11">
        <f t="shared" si="324"/>
        <v>1.5931770192416586</v>
      </c>
      <c r="V828" s="9">
        <v>44477</v>
      </c>
      <c r="W828">
        <v>173040</v>
      </c>
      <c r="X828">
        <v>408345.29969999997</v>
      </c>
      <c r="Y828">
        <v>156374.93359999999</v>
      </c>
      <c r="AC828" s="24">
        <f t="shared" si="325"/>
        <v>-3.6351215826763046E-2</v>
      </c>
      <c r="AE828" s="5">
        <f t="shared" si="326"/>
        <v>5709.9561219149355</v>
      </c>
      <c r="AF828" s="6">
        <f t="shared" si="327"/>
        <v>4798.2298968625673</v>
      </c>
      <c r="AH828" s="1">
        <f t="shared" si="328"/>
        <v>44477</v>
      </c>
      <c r="AI828">
        <f t="shared" si="329"/>
        <v>1.190013034942015</v>
      </c>
      <c r="AJ828">
        <f t="shared" ca="1" si="330"/>
        <v>1.1166081854575518</v>
      </c>
      <c r="AK828">
        <f t="shared" ca="1" si="331"/>
        <v>1.1512919256749687</v>
      </c>
      <c r="AL828">
        <f t="shared" ca="1" si="332"/>
        <v>1.2030028304314493</v>
      </c>
      <c r="AM828">
        <f t="shared" ca="1" si="333"/>
        <v>1.2538354230987983</v>
      </c>
      <c r="AN828">
        <f t="shared" ca="1" si="334"/>
        <v>1.3260638936921449</v>
      </c>
    </row>
    <row r="829" spans="2:40" x14ac:dyDescent="0.25">
      <c r="B829" s="1">
        <v>44484</v>
      </c>
      <c r="C829">
        <v>60.981999999999999</v>
      </c>
      <c r="D829">
        <v>74.614000000000004</v>
      </c>
      <c r="E829">
        <v>244.83199999999999</v>
      </c>
      <c r="G829">
        <v>81990.22</v>
      </c>
      <c r="I829" s="14">
        <f t="shared" si="317"/>
        <v>8.4143718110544219E-2</v>
      </c>
      <c r="J829" s="15">
        <f t="shared" si="318"/>
        <v>0.10176899678095763</v>
      </c>
      <c r="K829" s="15">
        <f t="shared" si="319"/>
        <v>6.2804952162664351E-2</v>
      </c>
      <c r="L829" s="15"/>
      <c r="M829" s="16">
        <f t="shared" si="320"/>
        <v>5.7211097759721774E-2</v>
      </c>
      <c r="O829" s="13">
        <f t="shared" si="321"/>
        <v>8.2905889018055401E-2</v>
      </c>
      <c r="Q829" s="5">
        <f t="shared" si="322"/>
        <v>8278.1978371349451</v>
      </c>
      <c r="R829" s="6">
        <f t="shared" si="323"/>
        <v>5072.7418965655916</v>
      </c>
      <c r="T829" s="11">
        <f t="shared" si="324"/>
        <v>1.6318980949414259</v>
      </c>
      <c r="V829" s="9">
        <v>44484</v>
      </c>
      <c r="W829">
        <v>187600</v>
      </c>
      <c r="X829">
        <v>449902.56469999999</v>
      </c>
      <c r="Y829">
        <v>166133.2383</v>
      </c>
      <c r="AC829" s="24">
        <f t="shared" si="325"/>
        <v>8.9376246808239121E-2</v>
      </c>
      <c r="AE829" s="5">
        <f t="shared" si="326"/>
        <v>6220.2905695314203</v>
      </c>
      <c r="AF829" s="6">
        <f t="shared" si="327"/>
        <v>5072.7418965655916</v>
      </c>
      <c r="AH829" s="1">
        <f t="shared" si="328"/>
        <v>44484</v>
      </c>
      <c r="AI829">
        <f t="shared" si="329"/>
        <v>1.226218620297389</v>
      </c>
      <c r="AJ829">
        <f t="shared" ca="1" si="330"/>
        <v>1.1166081854575518</v>
      </c>
      <c r="AK829">
        <f t="shared" ca="1" si="331"/>
        <v>1.1512919256749687</v>
      </c>
      <c r="AL829">
        <f t="shared" ca="1" si="332"/>
        <v>1.2011065922712265</v>
      </c>
      <c r="AM829">
        <f t="shared" ca="1" si="333"/>
        <v>1.2538354230987983</v>
      </c>
      <c r="AN829">
        <f t="shared" ca="1" si="334"/>
        <v>1.3260638936921449</v>
      </c>
    </row>
    <row r="830" spans="2:40" x14ac:dyDescent="0.25">
      <c r="B830" s="1">
        <v>44491</v>
      </c>
      <c r="C830">
        <v>65.350999999999999</v>
      </c>
      <c r="D830">
        <v>78.284999999999997</v>
      </c>
      <c r="E830">
        <v>242.48599999999999</v>
      </c>
      <c r="G830">
        <v>86898.52</v>
      </c>
      <c r="I830" s="14">
        <f t="shared" si="317"/>
        <v>7.1644091699189838E-2</v>
      </c>
      <c r="J830" s="15">
        <f t="shared" si="318"/>
        <v>4.9199882059667077E-2</v>
      </c>
      <c r="K830" s="15">
        <f t="shared" si="319"/>
        <v>-9.5820807737551084E-3</v>
      </c>
      <c r="L830" s="15"/>
      <c r="M830" s="16">
        <f t="shared" si="320"/>
        <v>5.9864457004750182E-2</v>
      </c>
      <c r="O830" s="13">
        <f t="shared" si="321"/>
        <v>3.7087297661700602E-2</v>
      </c>
      <c r="Q830" s="5">
        <f t="shared" si="322"/>
        <v>8585.2138244232156</v>
      </c>
      <c r="R830" s="6">
        <f t="shared" si="323"/>
        <v>5376.4188357287376</v>
      </c>
      <c r="T830" s="11">
        <f t="shared" si="324"/>
        <v>1.5968275699375545</v>
      </c>
      <c r="V830" s="9">
        <v>44491</v>
      </c>
      <c r="W830">
        <v>201040</v>
      </c>
      <c r="X830">
        <v>472036.32539999997</v>
      </c>
      <c r="Y830">
        <v>164478.79399999999</v>
      </c>
      <c r="AC830" s="24">
        <f t="shared" si="325"/>
        <v>4.2287417371017315E-2</v>
      </c>
      <c r="AE830" s="5">
        <f t="shared" si="326"/>
        <v>6483.3305930141978</v>
      </c>
      <c r="AF830" s="6">
        <f t="shared" si="327"/>
        <v>5376.4188357287376</v>
      </c>
      <c r="AH830" s="1">
        <f t="shared" si="328"/>
        <v>44491</v>
      </c>
      <c r="AI830">
        <f t="shared" si="329"/>
        <v>1.2058827243758485</v>
      </c>
      <c r="AJ830">
        <f t="shared" ca="1" si="330"/>
        <v>1.1166081854575518</v>
      </c>
      <c r="AK830">
        <f t="shared" ca="1" si="331"/>
        <v>1.1512919256749687</v>
      </c>
      <c r="AL830">
        <f t="shared" ca="1" si="332"/>
        <v>1.2013414027326514</v>
      </c>
      <c r="AM830">
        <f t="shared" ca="1" si="333"/>
        <v>1.2538354230987983</v>
      </c>
      <c r="AN830">
        <f t="shared" ca="1" si="334"/>
        <v>1.3260638936921449</v>
      </c>
    </row>
    <row r="831" spans="2:40" x14ac:dyDescent="0.25">
      <c r="B831" s="1">
        <v>44498</v>
      </c>
      <c r="C831">
        <v>69.718999999999994</v>
      </c>
      <c r="D831">
        <v>78.659000000000006</v>
      </c>
      <c r="E831">
        <v>240.74799999999999</v>
      </c>
      <c r="G831">
        <v>83560.960000000006</v>
      </c>
      <c r="I831" s="14">
        <f t="shared" si="317"/>
        <v>6.6839069027252673E-2</v>
      </c>
      <c r="J831" s="15">
        <f t="shared" si="318"/>
        <v>4.7774158523345989E-3</v>
      </c>
      <c r="K831" s="15">
        <f t="shared" si="319"/>
        <v>-7.1674240987108506E-3</v>
      </c>
      <c r="L831" s="15"/>
      <c r="M831" s="16">
        <f t="shared" si="320"/>
        <v>-3.8407558609743875E-2</v>
      </c>
      <c r="O831" s="13">
        <f t="shared" si="321"/>
        <v>2.1483020260292141E-2</v>
      </c>
      <c r="Q831" s="5">
        <f t="shared" si="322"/>
        <v>8769.6501469522391</v>
      </c>
      <c r="R831" s="6">
        <f t="shared" si="323"/>
        <v>5169.9237141849553</v>
      </c>
      <c r="T831" s="11">
        <f t="shared" si="324"/>
        <v>1.6962823112632301</v>
      </c>
      <c r="V831" s="9">
        <v>44498</v>
      </c>
      <c r="W831">
        <v>214480</v>
      </c>
      <c r="X831">
        <v>474294.87239999999</v>
      </c>
      <c r="Y831">
        <v>163224.92069999999</v>
      </c>
      <c r="AC831" s="24">
        <f t="shared" si="325"/>
        <v>1.7328472661760096E-2</v>
      </c>
      <c r="AE831" s="5">
        <f t="shared" si="326"/>
        <v>6595.6768099523979</v>
      </c>
      <c r="AF831" s="6">
        <f t="shared" si="327"/>
        <v>5169.9237141849553</v>
      </c>
      <c r="AH831" s="1">
        <f t="shared" si="328"/>
        <v>44498</v>
      </c>
      <c r="AI831">
        <f t="shared" si="329"/>
        <v>1.2757783624264203</v>
      </c>
      <c r="AJ831">
        <f t="shared" ca="1" si="330"/>
        <v>1.1166081854575518</v>
      </c>
      <c r="AK831">
        <f t="shared" ca="1" si="331"/>
        <v>1.1512919256749687</v>
      </c>
      <c r="AL831">
        <f t="shared" ca="1" si="332"/>
        <v>1.2045601826343615</v>
      </c>
      <c r="AM831">
        <f t="shared" ca="1" si="333"/>
        <v>1.2538354230987983</v>
      </c>
      <c r="AN831">
        <f t="shared" ca="1" si="334"/>
        <v>1.3260638936921449</v>
      </c>
    </row>
    <row r="832" spans="2:40" x14ac:dyDescent="0.25">
      <c r="B832" s="1">
        <v>44505</v>
      </c>
      <c r="C832">
        <v>89.103999999999999</v>
      </c>
      <c r="D832">
        <v>101.133</v>
      </c>
      <c r="E832">
        <v>269.42399999999998</v>
      </c>
      <c r="G832">
        <v>92895.88</v>
      </c>
      <c r="I832" s="14">
        <f t="shared" ref="I832:I895" si="335">+C832/C831-1</f>
        <v>0.27804472238557643</v>
      </c>
      <c r="J832" s="15">
        <f t="shared" ref="J832:J895" si="336">+D832/D831-1</f>
        <v>0.28571428571428559</v>
      </c>
      <c r="K832" s="15">
        <f t="shared" ref="K832:K895" si="337">+E832/E831-1</f>
        <v>0.1191121006197351</v>
      </c>
      <c r="L832" s="15"/>
      <c r="M832" s="16">
        <f t="shared" ref="M832:M895" si="338">+G832/G831-1</f>
        <v>0.11171389127171349</v>
      </c>
      <c r="O832" s="13">
        <f t="shared" ref="O832:O895" si="339">+AVERAGE(I832:L832)</f>
        <v>0.22762370290653236</v>
      </c>
      <c r="Q832" s="5">
        <f t="shared" ref="Q832:Q895" si="340">+Q831*(1+O832)</f>
        <v>10765.830386596324</v>
      </c>
      <c r="R832" s="6">
        <f t="shared" ref="R832:R895" si="341">+R831*(1+M832)</f>
        <v>5747.4760098744664</v>
      </c>
      <c r="T832" s="11">
        <f t="shared" ref="T832:T895" si="342">+Q832/R832</f>
        <v>1.8731405521484668</v>
      </c>
      <c r="V832" s="9">
        <v>44505</v>
      </c>
      <c r="W832">
        <v>270760</v>
      </c>
      <c r="X832">
        <v>609807.69310000003</v>
      </c>
      <c r="Y832">
        <v>182584.59909999999</v>
      </c>
      <c r="AC832" s="24">
        <f t="shared" ref="AC832:AC895" si="343">+SUMPRODUCT(I832:L832,W831:Z831)/SUM(W831:AA831)</f>
        <v>0.25186615966214532</v>
      </c>
      <c r="AE832" s="5">
        <f t="shared" ref="AE832:AE895" si="344">+AE831*(1+AC832)</f>
        <v>8256.904598447778</v>
      </c>
      <c r="AF832" s="6">
        <f t="shared" ref="AF832:AF895" si="345">+AF831*(1+M832)</f>
        <v>5747.4760098744664</v>
      </c>
      <c r="AH832" s="1">
        <f t="shared" ref="AH832:AH895" si="346">+B832</f>
        <v>44505</v>
      </c>
      <c r="AI832">
        <f t="shared" ref="AI832:AI895" si="347">+(AE832/$AE$6)/(AF832/$AF$6)</f>
        <v>1.4366140170506116</v>
      </c>
      <c r="AJ832">
        <f t="shared" ref="AJ832:AJ895" ca="1" si="348">+_xlfn.PERCENTILE.INC(OFFSET(AI832,-52,0,52,1),0.1)</f>
        <v>1.1166081854575518</v>
      </c>
      <c r="AK832">
        <f t="shared" ref="AK832:AK895" ca="1" si="349">+_xlfn.PERCENTILE.INC(OFFSET(AI832,-52,0,52,1),0.25)</f>
        <v>1.1512919256749687</v>
      </c>
      <c r="AL832">
        <f t="shared" ref="AL832:AL895" ca="1" si="350">+_xlfn.PERCENTILE.INC(OFFSET(AI832,-52,0,52,1),0.5)</f>
        <v>1.2045601826343615</v>
      </c>
      <c r="AM832">
        <f t="shared" ref="AM832:AM895" ca="1" si="351">+_xlfn.PERCENTILE.INC(OFFSET(AI832,-52,0,52,1),0.75)</f>
        <v>1.2538354230987983</v>
      </c>
      <c r="AN832">
        <f t="shared" ref="AN832:AN895" ca="1" si="352">+_xlfn.PERCENTILE.INC(OFFSET(AI832,-52,0,52,1),0.9)</f>
        <v>1.3013801644729213</v>
      </c>
    </row>
    <row r="833" spans="2:40" x14ac:dyDescent="0.25">
      <c r="B833" s="1">
        <v>44512</v>
      </c>
      <c r="C833">
        <v>94.91</v>
      </c>
      <c r="D833">
        <v>102.444</v>
      </c>
      <c r="E833">
        <v>262.47199999999998</v>
      </c>
      <c r="G833">
        <v>94963.42</v>
      </c>
      <c r="I833" s="14">
        <f t="shared" si="335"/>
        <v>6.515981325193021E-2</v>
      </c>
      <c r="J833" s="15">
        <f t="shared" si="336"/>
        <v>1.2963127762451565E-2</v>
      </c>
      <c r="K833" s="15">
        <f t="shared" si="337"/>
        <v>-2.5803194964071463E-2</v>
      </c>
      <c r="L833" s="15"/>
      <c r="M833" s="16">
        <f t="shared" si="338"/>
        <v>2.2256530644846562E-2</v>
      </c>
      <c r="O833" s="13">
        <f t="shared" si="339"/>
        <v>1.7439915350103436E-2</v>
      </c>
      <c r="Q833" s="5">
        <f t="shared" si="340"/>
        <v>10953.585557212136</v>
      </c>
      <c r="R833" s="6">
        <f t="shared" si="341"/>
        <v>5875.3948858187578</v>
      </c>
      <c r="T833" s="11">
        <f t="shared" si="342"/>
        <v>1.8643147856581412</v>
      </c>
      <c r="V833" s="9">
        <v>44512</v>
      </c>
      <c r="W833">
        <v>288400</v>
      </c>
      <c r="X833">
        <v>617712.60759999999</v>
      </c>
      <c r="Y833">
        <v>177792.12609999999</v>
      </c>
      <c r="AC833" s="24">
        <f t="shared" si="343"/>
        <v>1.959871621133645E-2</v>
      </c>
      <c r="AE833" s="5">
        <f t="shared" si="344"/>
        <v>8418.729328456835</v>
      </c>
      <c r="AF833" s="6">
        <f t="shared" si="345"/>
        <v>5875.3948858187578</v>
      </c>
      <c r="AH833" s="1">
        <f t="shared" si="346"/>
        <v>44512</v>
      </c>
      <c r="AI833">
        <f t="shared" si="347"/>
        <v>1.4328788944513053</v>
      </c>
      <c r="AJ833">
        <f t="shared" ca="1" si="348"/>
        <v>1.1166081854575518</v>
      </c>
      <c r="AK833">
        <f t="shared" ca="1" si="349"/>
        <v>1.1512919256749687</v>
      </c>
      <c r="AL833">
        <f t="shared" ca="1" si="350"/>
        <v>1.2045601826343615</v>
      </c>
      <c r="AM833">
        <f t="shared" ca="1" si="351"/>
        <v>1.256330481335012</v>
      </c>
      <c r="AN833">
        <f t="shared" ca="1" si="352"/>
        <v>1.3260638936921449</v>
      </c>
    </row>
    <row r="834" spans="2:40" x14ac:dyDescent="0.25">
      <c r="B834" s="1">
        <v>44519</v>
      </c>
      <c r="C834">
        <v>83.575999999999993</v>
      </c>
      <c r="D834">
        <v>95.89</v>
      </c>
      <c r="E834">
        <v>245.39699999999999</v>
      </c>
      <c r="G834">
        <v>85695.15</v>
      </c>
      <c r="I834" s="14">
        <f t="shared" si="335"/>
        <v>-0.11941839637551366</v>
      </c>
      <c r="J834" s="15">
        <f t="shared" si="336"/>
        <v>-6.39764163835852E-2</v>
      </c>
      <c r="K834" s="15">
        <f t="shared" si="337"/>
        <v>-6.5054558200493773E-2</v>
      </c>
      <c r="L834" s="15"/>
      <c r="M834" s="16">
        <f t="shared" si="338"/>
        <v>-9.7598317331031303E-2</v>
      </c>
      <c r="O834" s="13">
        <f t="shared" si="339"/>
        <v>-8.2816456986530881E-2</v>
      </c>
      <c r="Q834" s="5">
        <f t="shared" si="340"/>
        <v>10046.448410064992</v>
      </c>
      <c r="R834" s="6">
        <f t="shared" si="341"/>
        <v>5301.9662313075005</v>
      </c>
      <c r="T834" s="11">
        <f t="shared" si="342"/>
        <v>1.8948533377564478</v>
      </c>
      <c r="V834" s="9">
        <v>44519</v>
      </c>
      <c r="W834">
        <v>253960</v>
      </c>
      <c r="X834">
        <v>578188.03489999997</v>
      </c>
      <c r="Y834">
        <v>166144.56030000001</v>
      </c>
      <c r="AC834" s="24">
        <f t="shared" si="343"/>
        <v>-7.8904990503103928E-2</v>
      </c>
      <c r="AE834" s="5">
        <f t="shared" si="344"/>
        <v>7754.4495707467458</v>
      </c>
      <c r="AF834" s="6">
        <f t="shared" si="345"/>
        <v>5301.9662313075005</v>
      </c>
      <c r="AH834" s="1">
        <f t="shared" si="346"/>
        <v>44519</v>
      </c>
      <c r="AI834">
        <f t="shared" si="347"/>
        <v>1.4625611013811468</v>
      </c>
      <c r="AJ834">
        <f t="shared" ca="1" si="348"/>
        <v>1.1167753874427426</v>
      </c>
      <c r="AK834">
        <f t="shared" ca="1" si="349"/>
        <v>1.1539046507737658</v>
      </c>
      <c r="AL834">
        <f t="shared" ca="1" si="350"/>
        <v>1.2074189513834386</v>
      </c>
      <c r="AM834">
        <f t="shared" ca="1" si="351"/>
        <v>1.2586977240653705</v>
      </c>
      <c r="AN834">
        <f t="shared" ca="1" si="352"/>
        <v>1.3351933468253174</v>
      </c>
    </row>
    <row r="835" spans="2:40" x14ac:dyDescent="0.25">
      <c r="B835" s="1">
        <v>44526</v>
      </c>
      <c r="C835">
        <v>83.483999999999995</v>
      </c>
      <c r="D835">
        <v>89.896000000000001</v>
      </c>
      <c r="E835">
        <v>230.19</v>
      </c>
      <c r="G835">
        <v>80369.02</v>
      </c>
      <c r="I835" s="14">
        <f t="shared" si="335"/>
        <v>-1.100794486455392E-3</v>
      </c>
      <c r="J835" s="15">
        <f t="shared" si="336"/>
        <v>-6.2509125039107327E-2</v>
      </c>
      <c r="K835" s="15">
        <f t="shared" si="337"/>
        <v>-6.1968972725827909E-2</v>
      </c>
      <c r="L835" s="15"/>
      <c r="M835" s="16">
        <f t="shared" si="338"/>
        <v>-6.2152058780455932E-2</v>
      </c>
      <c r="O835" s="13">
        <f t="shared" si="339"/>
        <v>-4.185963075046354E-2</v>
      </c>
      <c r="Q835" s="5">
        <f t="shared" si="340"/>
        <v>9625.9077892660898</v>
      </c>
      <c r="R835" s="6">
        <f t="shared" si="341"/>
        <v>4972.4381144472845</v>
      </c>
      <c r="T835" s="11">
        <f t="shared" si="342"/>
        <v>1.9358527080102363</v>
      </c>
      <c r="V835" s="9">
        <v>44526</v>
      </c>
      <c r="W835">
        <v>253680</v>
      </c>
      <c r="X835">
        <v>542051.28280000004</v>
      </c>
      <c r="Y835">
        <v>155765.88769999999</v>
      </c>
      <c r="AC835" s="24">
        <f t="shared" si="343"/>
        <v>-4.6797295590353422E-2</v>
      </c>
      <c r="AE835" s="5">
        <f t="shared" si="344"/>
        <v>7391.5623020440216</v>
      </c>
      <c r="AF835" s="6">
        <f t="shared" si="345"/>
        <v>4972.4381144472845</v>
      </c>
      <c r="AH835" s="1">
        <f t="shared" si="346"/>
        <v>44526</v>
      </c>
      <c r="AI835">
        <f t="shared" si="347"/>
        <v>1.4865066456167726</v>
      </c>
      <c r="AJ835">
        <f t="shared" ca="1" si="348"/>
        <v>1.1195009252752797</v>
      </c>
      <c r="AK835">
        <f t="shared" ca="1" si="349"/>
        <v>1.155097454163156</v>
      </c>
      <c r="AL835">
        <f t="shared" ca="1" si="350"/>
        <v>1.2103997167543659</v>
      </c>
      <c r="AM835">
        <f t="shared" ca="1" si="351"/>
        <v>1.2642509128006143</v>
      </c>
      <c r="AN835">
        <f t="shared" ca="1" si="352"/>
        <v>1.3518336530497892</v>
      </c>
    </row>
    <row r="836" spans="2:40" x14ac:dyDescent="0.25">
      <c r="B836" s="1">
        <v>44533</v>
      </c>
      <c r="C836">
        <v>92.052999999999997</v>
      </c>
      <c r="D836">
        <v>91.956999999999994</v>
      </c>
      <c r="E836">
        <v>235.96899999999999</v>
      </c>
      <c r="G836">
        <v>86359.77</v>
      </c>
      <c r="I836" s="14">
        <f t="shared" si="335"/>
        <v>0.1026424225001199</v>
      </c>
      <c r="J836" s="15">
        <f t="shared" si="336"/>
        <v>2.2926492836166101E-2</v>
      </c>
      <c r="K836" s="15">
        <f t="shared" si="337"/>
        <v>2.5105347756201324E-2</v>
      </c>
      <c r="L836" s="15"/>
      <c r="M836" s="16">
        <f t="shared" si="338"/>
        <v>7.4540538132728207E-2</v>
      </c>
      <c r="O836" s="13">
        <f t="shared" si="339"/>
        <v>5.022475436416244E-2</v>
      </c>
      <c r="Q836" s="5">
        <f t="shared" si="340"/>
        <v>10109.366643514059</v>
      </c>
      <c r="R836" s="6">
        <f t="shared" si="341"/>
        <v>5343.0863273298737</v>
      </c>
      <c r="T836" s="11">
        <f t="shared" si="342"/>
        <v>1.8920462863953129</v>
      </c>
      <c r="V836" s="9">
        <v>44533</v>
      </c>
      <c r="W836">
        <v>279720</v>
      </c>
      <c r="X836">
        <v>554473.29130000004</v>
      </c>
      <c r="Y836">
        <v>159605.62950000001</v>
      </c>
      <c r="AC836" s="24">
        <f t="shared" si="343"/>
        <v>4.4536360889831116E-2</v>
      </c>
      <c r="AE836" s="5">
        <f t="shared" si="344"/>
        <v>7720.7555882675242</v>
      </c>
      <c r="AF836" s="6">
        <f t="shared" si="345"/>
        <v>5343.0863273298737</v>
      </c>
      <c r="AH836" s="1">
        <f t="shared" si="346"/>
        <v>44533</v>
      </c>
      <c r="AI836">
        <f t="shared" si="347"/>
        <v>1.4449992224111889</v>
      </c>
      <c r="AJ836">
        <f t="shared" ca="1" si="348"/>
        <v>1.1228486482557807</v>
      </c>
      <c r="AK836">
        <f t="shared" ca="1" si="349"/>
        <v>1.1581485680473054</v>
      </c>
      <c r="AL836">
        <f t="shared" ca="1" si="350"/>
        <v>1.2159801420087342</v>
      </c>
      <c r="AM836">
        <f t="shared" ca="1" si="351"/>
        <v>1.2747141219852143</v>
      </c>
      <c r="AN836">
        <f t="shared" ca="1" si="352"/>
        <v>1.3545351879869243</v>
      </c>
    </row>
    <row r="837" spans="2:40" x14ac:dyDescent="0.25">
      <c r="B837" s="1">
        <v>44540</v>
      </c>
      <c r="C837">
        <v>93.527000000000001</v>
      </c>
      <c r="D837">
        <v>95.701999999999998</v>
      </c>
      <c r="E837">
        <v>226.80099999999999</v>
      </c>
      <c r="G837">
        <v>85441.38</v>
      </c>
      <c r="I837" s="14">
        <f t="shared" si="335"/>
        <v>1.6012514529673227E-2</v>
      </c>
      <c r="J837" s="15">
        <f t="shared" si="336"/>
        <v>4.0725556510108119E-2</v>
      </c>
      <c r="K837" s="15">
        <f t="shared" si="337"/>
        <v>-3.8852561141505926E-2</v>
      </c>
      <c r="L837" s="15"/>
      <c r="M837" s="16">
        <f t="shared" si="338"/>
        <v>-1.0634465561916162E-2</v>
      </c>
      <c r="O837" s="13">
        <f t="shared" si="339"/>
        <v>5.9618366327584731E-3</v>
      </c>
      <c r="Q837" s="5">
        <f t="shared" si="340"/>
        <v>10169.637035903348</v>
      </c>
      <c r="R837" s="6">
        <f t="shared" si="341"/>
        <v>5286.2654597875389</v>
      </c>
      <c r="T837" s="11">
        <f t="shared" si="342"/>
        <v>1.9237847802505319</v>
      </c>
      <c r="V837" s="9">
        <v>44540</v>
      </c>
      <c r="W837">
        <v>284200</v>
      </c>
      <c r="X837">
        <v>577058.76139999996</v>
      </c>
      <c r="Y837">
        <v>153404.78479999999</v>
      </c>
      <c r="AC837" s="24">
        <f t="shared" si="343"/>
        <v>2.0989322897387769E-2</v>
      </c>
      <c r="AE837" s="5">
        <f t="shared" si="344"/>
        <v>7882.8090203214833</v>
      </c>
      <c r="AF837" s="6">
        <f t="shared" si="345"/>
        <v>5286.2654597875389</v>
      </c>
      <c r="AH837" s="1">
        <f t="shared" si="346"/>
        <v>44540</v>
      </c>
      <c r="AI837">
        <f t="shared" si="347"/>
        <v>1.4911867518356337</v>
      </c>
      <c r="AJ837">
        <f t="shared" ca="1" si="348"/>
        <v>1.128822247520411</v>
      </c>
      <c r="AK837">
        <f t="shared" ca="1" si="349"/>
        <v>1.1683823325748854</v>
      </c>
      <c r="AL837">
        <f t="shared" ca="1" si="350"/>
        <v>1.2207039093438716</v>
      </c>
      <c r="AM837">
        <f t="shared" ca="1" si="351"/>
        <v>1.2776354237233216</v>
      </c>
      <c r="AN837">
        <f t="shared" ca="1" si="352"/>
        <v>1.3641000016968625</v>
      </c>
    </row>
    <row r="838" spans="2:40" x14ac:dyDescent="0.25">
      <c r="B838" s="1">
        <v>44547</v>
      </c>
      <c r="C838">
        <v>87.445999999999998</v>
      </c>
      <c r="D838">
        <v>95.328000000000003</v>
      </c>
      <c r="E838">
        <v>220.892</v>
      </c>
      <c r="G838">
        <v>83234.039999999994</v>
      </c>
      <c r="I838" s="14">
        <f t="shared" si="335"/>
        <v>-6.501865771381532E-2</v>
      </c>
      <c r="J838" s="15">
        <f t="shared" si="336"/>
        <v>-3.9079643058660407E-3</v>
      </c>
      <c r="K838" s="15">
        <f t="shared" si="337"/>
        <v>-2.6053677012006116E-2</v>
      </c>
      <c r="L838" s="15"/>
      <c r="M838" s="16">
        <f t="shared" si="338"/>
        <v>-2.5834554638513696E-2</v>
      </c>
      <c r="O838" s="13">
        <f t="shared" si="339"/>
        <v>-3.1660099677229159E-2</v>
      </c>
      <c r="Q838" s="5">
        <f t="shared" si="340"/>
        <v>9847.6653136654077</v>
      </c>
      <c r="R838" s="6">
        <f t="shared" si="341"/>
        <v>5149.6971459329698</v>
      </c>
      <c r="T838" s="11">
        <f t="shared" si="342"/>
        <v>1.9122804768126433</v>
      </c>
      <c r="V838" s="9">
        <v>44547</v>
      </c>
      <c r="W838">
        <v>265720</v>
      </c>
      <c r="X838">
        <v>574800.21440000006</v>
      </c>
      <c r="Y838">
        <v>149408.03169999999</v>
      </c>
      <c r="AC838" s="24">
        <f t="shared" si="343"/>
        <v>-2.4372794678686253E-2</v>
      </c>
      <c r="AE838" s="5">
        <f t="shared" si="344"/>
        <v>7690.6829345778915</v>
      </c>
      <c r="AF838" s="6">
        <f t="shared" si="345"/>
        <v>5149.6971459329698</v>
      </c>
      <c r="AH838" s="1">
        <f t="shared" si="346"/>
        <v>44547</v>
      </c>
      <c r="AI838">
        <f t="shared" si="347"/>
        <v>1.4934243153797293</v>
      </c>
      <c r="AJ838">
        <f t="shared" ca="1" si="348"/>
        <v>1.1424308790407416</v>
      </c>
      <c r="AK838">
        <f t="shared" ca="1" si="349"/>
        <v>1.1721357250709863</v>
      </c>
      <c r="AL838">
        <f t="shared" ca="1" si="350"/>
        <v>1.2237552050426834</v>
      </c>
      <c r="AM838">
        <f t="shared" ca="1" si="351"/>
        <v>1.2856772283532483</v>
      </c>
      <c r="AN838">
        <f t="shared" ca="1" si="352"/>
        <v>1.426106129371032</v>
      </c>
    </row>
    <row r="839" spans="2:40" x14ac:dyDescent="0.25">
      <c r="B839" s="1">
        <v>44554</v>
      </c>
      <c r="C839">
        <v>85.787000000000006</v>
      </c>
      <c r="D839">
        <v>96.638999999999996</v>
      </c>
      <c r="E839">
        <v>232.27600000000001</v>
      </c>
      <c r="G839">
        <v>84850.3</v>
      </c>
      <c r="I839" s="14">
        <f t="shared" si="335"/>
        <v>-1.8971708254236774E-2</v>
      </c>
      <c r="J839" s="15">
        <f t="shared" si="336"/>
        <v>1.3752517623363492E-2</v>
      </c>
      <c r="K839" s="15">
        <f t="shared" si="337"/>
        <v>5.1536497473878784E-2</v>
      </c>
      <c r="L839" s="15"/>
      <c r="M839" s="16">
        <f t="shared" si="338"/>
        <v>1.9418257241868853E-2</v>
      </c>
      <c r="O839" s="13">
        <f t="shared" si="339"/>
        <v>1.5439102281001834E-2</v>
      </c>
      <c r="Q839" s="5">
        <f t="shared" si="340"/>
        <v>9999.704425672162</v>
      </c>
      <c r="R839" s="6">
        <f t="shared" si="341"/>
        <v>5249.6952898304144</v>
      </c>
      <c r="T839" s="11">
        <f t="shared" si="342"/>
        <v>1.9048161604814193</v>
      </c>
      <c r="V839" s="9">
        <v>44554</v>
      </c>
      <c r="W839">
        <v>260680</v>
      </c>
      <c r="X839">
        <v>582705.12899999996</v>
      </c>
      <c r="Y839">
        <v>157107.65890000001</v>
      </c>
      <c r="AC839" s="24">
        <f t="shared" si="343"/>
        <v>1.067123243632594E-2</v>
      </c>
      <c r="AE839" s="5">
        <f t="shared" si="344"/>
        <v>7772.7519997668569</v>
      </c>
      <c r="AF839" s="6">
        <f t="shared" si="345"/>
        <v>5249.6952898304144</v>
      </c>
      <c r="AH839" s="1">
        <f t="shared" si="346"/>
        <v>44554</v>
      </c>
      <c r="AI839">
        <f t="shared" si="347"/>
        <v>1.4806101250912691</v>
      </c>
      <c r="AJ839">
        <f t="shared" ca="1" si="348"/>
        <v>1.147788573830909</v>
      </c>
      <c r="AK839">
        <f t="shared" ca="1" si="349"/>
        <v>1.1765846908772435</v>
      </c>
      <c r="AL839">
        <f t="shared" ca="1" si="350"/>
        <v>1.2299814840217356</v>
      </c>
      <c r="AM839">
        <f t="shared" ca="1" si="351"/>
        <v>1.2953921666548069</v>
      </c>
      <c r="AN839">
        <f t="shared" ca="1" si="352"/>
        <v>1.436240504790681</v>
      </c>
    </row>
    <row r="840" spans="2:40" x14ac:dyDescent="0.25">
      <c r="B840" s="1">
        <v>44561</v>
      </c>
      <c r="C840">
        <v>85.765000000000001</v>
      </c>
      <c r="D840">
        <v>93.454999999999998</v>
      </c>
      <c r="E840">
        <v>236.53399999999999</v>
      </c>
      <c r="G840">
        <v>83500.11</v>
      </c>
      <c r="I840" s="14">
        <f t="shared" si="335"/>
        <v>-2.5644911233646539E-4</v>
      </c>
      <c r="J840" s="15">
        <f t="shared" si="336"/>
        <v>-3.2947360796365843E-2</v>
      </c>
      <c r="K840" s="15">
        <f t="shared" si="337"/>
        <v>1.8331639945581957E-2</v>
      </c>
      <c r="L840" s="15"/>
      <c r="M840" s="16">
        <f t="shared" si="338"/>
        <v>-1.5912613155168565E-2</v>
      </c>
      <c r="O840" s="13">
        <f t="shared" si="339"/>
        <v>-4.957389987706784E-3</v>
      </c>
      <c r="Q840" s="5">
        <f t="shared" si="340"/>
        <v>9950.1319910723068</v>
      </c>
      <c r="R840" s="6">
        <f t="shared" si="341"/>
        <v>5166.1589195008328</v>
      </c>
      <c r="T840" s="11">
        <f t="shared" si="342"/>
        <v>1.9260212754031409</v>
      </c>
      <c r="V840" s="9">
        <v>44561</v>
      </c>
      <c r="W840">
        <v>260400</v>
      </c>
      <c r="X840">
        <v>563507.47939999995</v>
      </c>
      <c r="Y840">
        <v>159969.70689999999</v>
      </c>
      <c r="AC840" s="24">
        <f t="shared" si="343"/>
        <v>-1.6377335689149813E-2</v>
      </c>
      <c r="AE840" s="5">
        <f t="shared" si="344"/>
        <v>7645.4550310381646</v>
      </c>
      <c r="AF840" s="6">
        <f t="shared" si="345"/>
        <v>5166.1589195008328</v>
      </c>
      <c r="AH840" s="1">
        <f t="shared" si="346"/>
        <v>44561</v>
      </c>
      <c r="AI840">
        <f t="shared" si="347"/>
        <v>1.4799109261193397</v>
      </c>
      <c r="AJ840">
        <f t="shared" ca="1" si="348"/>
        <v>1.1491605559803209</v>
      </c>
      <c r="AK840">
        <f t="shared" ca="1" si="349"/>
        <v>1.1781991616320422</v>
      </c>
      <c r="AL840">
        <f t="shared" ca="1" si="350"/>
        <v>1.2340222503784108</v>
      </c>
      <c r="AM840">
        <f t="shared" ca="1" si="351"/>
        <v>1.3089020890136074</v>
      </c>
      <c r="AN840">
        <f t="shared" ca="1" si="352"/>
        <v>1.4441607018751312</v>
      </c>
    </row>
    <row r="841" spans="2:40" x14ac:dyDescent="0.25">
      <c r="B841" s="1">
        <v>44568</v>
      </c>
      <c r="C841">
        <v>82.906000000000006</v>
      </c>
      <c r="D841">
        <v>95.701999999999998</v>
      </c>
      <c r="E841">
        <v>238.619</v>
      </c>
      <c r="G841">
        <v>84402.07</v>
      </c>
      <c r="I841" s="14">
        <f t="shared" si="335"/>
        <v>-3.333527662799507E-2</v>
      </c>
      <c r="J841" s="15">
        <f t="shared" si="336"/>
        <v>2.4043657375207417E-2</v>
      </c>
      <c r="K841" s="15">
        <f t="shared" si="337"/>
        <v>8.8148004092434284E-3</v>
      </c>
      <c r="L841" s="15"/>
      <c r="M841" s="16">
        <f t="shared" si="338"/>
        <v>1.0801901937614211E-2</v>
      </c>
      <c r="O841" s="13">
        <f t="shared" si="339"/>
        <v>-1.5893961451474148E-4</v>
      </c>
      <c r="Q841" s="5">
        <f t="shared" si="340"/>
        <v>9948.5505209292751</v>
      </c>
      <c r="R841" s="6">
        <f t="shared" si="341"/>
        <v>5221.963261543412</v>
      </c>
      <c r="T841" s="11">
        <f t="shared" si="342"/>
        <v>1.9051360614109079</v>
      </c>
      <c r="V841" s="9">
        <v>44568</v>
      </c>
      <c r="W841">
        <v>251720</v>
      </c>
      <c r="X841">
        <v>577058.76139999996</v>
      </c>
      <c r="Y841">
        <v>161308.49660000001</v>
      </c>
      <c r="AC841" s="24">
        <f t="shared" si="343"/>
        <v>6.3812596271184694E-3</v>
      </c>
      <c r="AE841" s="5">
        <f t="shared" si="344"/>
        <v>7694.2426645586784</v>
      </c>
      <c r="AF841" s="6">
        <f t="shared" si="345"/>
        <v>5221.963261543412</v>
      </c>
      <c r="AH841" s="1">
        <f t="shared" si="346"/>
        <v>44568</v>
      </c>
      <c r="AI841">
        <f t="shared" si="347"/>
        <v>1.4734386818118967</v>
      </c>
      <c r="AJ841">
        <f t="shared" ca="1" si="348"/>
        <v>1.1523507455863577</v>
      </c>
      <c r="AK841">
        <f t="shared" ca="1" si="349"/>
        <v>1.18123109230106</v>
      </c>
      <c r="AL841">
        <f t="shared" ca="1" si="350"/>
        <v>1.2376559197722241</v>
      </c>
      <c r="AM841">
        <f t="shared" ca="1" si="351"/>
        <v>1.3305067200823082</v>
      </c>
      <c r="AN841">
        <f t="shared" ca="1" si="352"/>
        <v>1.460804913484151</v>
      </c>
    </row>
    <row r="842" spans="2:40" x14ac:dyDescent="0.25">
      <c r="B842" s="1">
        <v>44575</v>
      </c>
      <c r="C842">
        <v>83.828000000000003</v>
      </c>
      <c r="D842">
        <v>94.391000000000005</v>
      </c>
      <c r="E842">
        <v>233.23099999999999</v>
      </c>
      <c r="G842">
        <v>85481.07</v>
      </c>
      <c r="I842" s="14">
        <f t="shared" si="335"/>
        <v>1.1121028634839325E-2</v>
      </c>
      <c r="J842" s="15">
        <f t="shared" si="336"/>
        <v>-1.3698773275375609E-2</v>
      </c>
      <c r="K842" s="15">
        <f t="shared" si="337"/>
        <v>-2.2579928672905369E-2</v>
      </c>
      <c r="L842" s="15"/>
      <c r="M842" s="16">
        <f t="shared" si="338"/>
        <v>1.2784046647197123E-2</v>
      </c>
      <c r="O842" s="13">
        <f t="shared" si="339"/>
        <v>-8.3858911044805504E-3</v>
      </c>
      <c r="Q842" s="5">
        <f t="shared" si="340"/>
        <v>9865.1230596133391</v>
      </c>
      <c r="R842" s="6">
        <f t="shared" si="341"/>
        <v>5288.7210834689331</v>
      </c>
      <c r="T842" s="11">
        <f t="shared" si="342"/>
        <v>1.8653135425214542</v>
      </c>
      <c r="V842" s="9">
        <v>44575</v>
      </c>
      <c r="W842">
        <v>254520</v>
      </c>
      <c r="X842">
        <v>569153.8469</v>
      </c>
      <c r="Y842">
        <v>157580.3498</v>
      </c>
      <c r="AC842" s="24">
        <f t="shared" si="343"/>
        <v>-8.8355304927957307E-3</v>
      </c>
      <c r="AE842" s="5">
        <f t="shared" si="344"/>
        <v>7626.2599488770002</v>
      </c>
      <c r="AF842" s="6">
        <f t="shared" si="345"/>
        <v>5288.7210834689331</v>
      </c>
      <c r="AH842" s="1">
        <f t="shared" si="346"/>
        <v>44575</v>
      </c>
      <c r="AI842">
        <f t="shared" si="347"/>
        <v>1.4419856574994212</v>
      </c>
      <c r="AJ842">
        <f t="shared" ca="1" si="348"/>
        <v>1.1523507455863577</v>
      </c>
      <c r="AK842">
        <f t="shared" ca="1" si="349"/>
        <v>1.18123109230106</v>
      </c>
      <c r="AL842">
        <f t="shared" ca="1" si="350"/>
        <v>1.2427699583906464</v>
      </c>
      <c r="AM842">
        <f t="shared" ca="1" si="351"/>
        <v>1.3403363904146717</v>
      </c>
      <c r="AN842">
        <f t="shared" ca="1" si="352"/>
        <v>1.4723509237688217</v>
      </c>
    </row>
    <row r="843" spans="2:40" x14ac:dyDescent="0.25">
      <c r="B843" s="1">
        <v>44582</v>
      </c>
      <c r="C843">
        <v>82.906000000000006</v>
      </c>
      <c r="D843">
        <v>92.893000000000001</v>
      </c>
      <c r="E843">
        <v>226.75800000000001</v>
      </c>
      <c r="G843">
        <v>83622.48</v>
      </c>
      <c r="I843" s="14">
        <f t="shared" si="335"/>
        <v>-1.099871164765942E-2</v>
      </c>
      <c r="J843" s="15">
        <f t="shared" si="336"/>
        <v>-1.5870157112436667E-2</v>
      </c>
      <c r="K843" s="15">
        <f t="shared" si="337"/>
        <v>-2.7753600507651188E-2</v>
      </c>
      <c r="L843" s="15"/>
      <c r="M843" s="16">
        <f t="shared" si="338"/>
        <v>-2.1742708648827325E-2</v>
      </c>
      <c r="O843" s="13">
        <f t="shared" si="339"/>
        <v>-1.8207489755915757E-2</v>
      </c>
      <c r="Q843" s="5">
        <f t="shared" si="340"/>
        <v>9685.5039325645812</v>
      </c>
      <c r="R843" s="6">
        <f t="shared" si="341"/>
        <v>5173.7299618261577</v>
      </c>
      <c r="T843" s="11">
        <f t="shared" si="342"/>
        <v>1.8720543986694493</v>
      </c>
      <c r="V843" s="9">
        <v>44582</v>
      </c>
      <c r="W843">
        <v>251720</v>
      </c>
      <c r="X843">
        <v>560119.65890000004</v>
      </c>
      <c r="Y843">
        <v>153124.44130000001</v>
      </c>
      <c r="AC843" s="24">
        <f t="shared" si="343"/>
        <v>-1.6514961353253321E-2</v>
      </c>
      <c r="AE843" s="5">
        <f t="shared" si="344"/>
        <v>7500.3125605514324</v>
      </c>
      <c r="AF843" s="6">
        <f t="shared" si="345"/>
        <v>5173.7299618261577</v>
      </c>
      <c r="AH843" s="1">
        <f t="shared" si="346"/>
        <v>44582</v>
      </c>
      <c r="AI843">
        <f t="shared" si="347"/>
        <v>1.4496915408982938</v>
      </c>
      <c r="AJ843">
        <f t="shared" ca="1" si="348"/>
        <v>1.1523507455863577</v>
      </c>
      <c r="AK843">
        <f t="shared" ca="1" si="349"/>
        <v>1.18123109230106</v>
      </c>
      <c r="AL843">
        <f t="shared" ca="1" si="350"/>
        <v>1.2452267027648545</v>
      </c>
      <c r="AM843">
        <f t="shared" ca="1" si="351"/>
        <v>1.3538615530473397</v>
      </c>
      <c r="AN843">
        <f t="shared" ca="1" si="352"/>
        <v>1.4723509237688217</v>
      </c>
    </row>
    <row r="844" spans="2:40" x14ac:dyDescent="0.25">
      <c r="B844" s="1">
        <v>44589</v>
      </c>
      <c r="C844">
        <v>83.644000000000005</v>
      </c>
      <c r="D844">
        <v>93.454999999999998</v>
      </c>
      <c r="E844">
        <v>231.971</v>
      </c>
      <c r="G844">
        <v>88269.84</v>
      </c>
      <c r="I844" s="14">
        <f t="shared" si="335"/>
        <v>8.901647649144806E-3</v>
      </c>
      <c r="J844" s="15">
        <f t="shared" si="336"/>
        <v>6.0499714725543718E-3</v>
      </c>
      <c r="K844" s="15">
        <f t="shared" si="337"/>
        <v>2.298926608984031E-2</v>
      </c>
      <c r="L844" s="15"/>
      <c r="M844" s="16">
        <f t="shared" si="338"/>
        <v>5.5575486400307739E-2</v>
      </c>
      <c r="O844" s="13">
        <f t="shared" si="339"/>
        <v>1.2646961737179829E-2</v>
      </c>
      <c r="Q844" s="5">
        <f t="shared" si="340"/>
        <v>9807.9961302050306</v>
      </c>
      <c r="R844" s="6">
        <f t="shared" si="341"/>
        <v>5461.2625209584921</v>
      </c>
      <c r="T844" s="11">
        <f t="shared" si="342"/>
        <v>1.7959210150702762</v>
      </c>
      <c r="V844" s="9">
        <v>44589</v>
      </c>
      <c r="W844">
        <v>253960</v>
      </c>
      <c r="X844">
        <v>563507.47939999995</v>
      </c>
      <c r="Y844">
        <v>156563.79810000001</v>
      </c>
      <c r="AC844" s="24">
        <f t="shared" si="343"/>
        <v>9.4818545351190563E-3</v>
      </c>
      <c r="AE844" s="5">
        <f t="shared" si="344"/>
        <v>7571.4294332185063</v>
      </c>
      <c r="AF844" s="6">
        <f t="shared" si="345"/>
        <v>5461.2625209584921</v>
      </c>
      <c r="AH844" s="1">
        <f t="shared" si="346"/>
        <v>44589</v>
      </c>
      <c r="AI844">
        <f t="shared" si="347"/>
        <v>1.3863881115697885</v>
      </c>
      <c r="AJ844">
        <f t="shared" ca="1" si="348"/>
        <v>1.1523507455863577</v>
      </c>
      <c r="AK844">
        <f t="shared" ca="1" si="349"/>
        <v>1.18123109230106</v>
      </c>
      <c r="AL844">
        <f t="shared" ca="1" si="350"/>
        <v>1.2495555307235515</v>
      </c>
      <c r="AM844">
        <f t="shared" ca="1" si="351"/>
        <v>1.3572669290107497</v>
      </c>
      <c r="AN844">
        <f t="shared" ca="1" si="352"/>
        <v>1.4723509237688217</v>
      </c>
    </row>
    <row r="845" spans="2:40" x14ac:dyDescent="0.25">
      <c r="B845" s="1">
        <v>44596</v>
      </c>
      <c r="C845">
        <v>86.870999999999995</v>
      </c>
      <c r="D845">
        <v>93.828999999999994</v>
      </c>
      <c r="E845">
        <v>233.75299999999999</v>
      </c>
      <c r="G845">
        <v>87934.02</v>
      </c>
      <c r="I845" s="14">
        <f t="shared" si="335"/>
        <v>3.8580173114628469E-2</v>
      </c>
      <c r="J845" s="15">
        <f t="shared" si="336"/>
        <v>4.0019260606709572E-3</v>
      </c>
      <c r="K845" s="15">
        <f t="shared" si="337"/>
        <v>7.6819947321000726E-3</v>
      </c>
      <c r="L845" s="15"/>
      <c r="M845" s="16">
        <f t="shared" si="338"/>
        <v>-3.8044704737200119E-3</v>
      </c>
      <c r="O845" s="13">
        <f t="shared" si="339"/>
        <v>1.6754697969133165E-2</v>
      </c>
      <c r="Q845" s="5">
        <f t="shared" si="340"/>
        <v>9972.326143049042</v>
      </c>
      <c r="R845" s="6">
        <f t="shared" si="341"/>
        <v>5440.4853089482722</v>
      </c>
      <c r="T845" s="11">
        <f t="shared" si="342"/>
        <v>1.8329846652920827</v>
      </c>
      <c r="V845" s="9">
        <v>44596</v>
      </c>
      <c r="W845">
        <v>263760</v>
      </c>
      <c r="X845">
        <v>565766.02639999997</v>
      </c>
      <c r="Y845">
        <v>157686.76490000001</v>
      </c>
      <c r="AC845" s="24">
        <f t="shared" si="343"/>
        <v>1.3609068425040068E-2</v>
      </c>
      <c r="AE845" s="5">
        <f t="shared" si="344"/>
        <v>7674.469534450539</v>
      </c>
      <c r="AF845" s="6">
        <f t="shared" si="345"/>
        <v>5440.4853089482722</v>
      </c>
      <c r="AH845" s="1">
        <f t="shared" si="346"/>
        <v>44596</v>
      </c>
      <c r="AI845">
        <f t="shared" si="347"/>
        <v>1.4106222328783624</v>
      </c>
      <c r="AJ845">
        <f t="shared" ca="1" si="348"/>
        <v>1.1524300985927685</v>
      </c>
      <c r="AK845">
        <f t="shared" ca="1" si="349"/>
        <v>1.1880645236054908</v>
      </c>
      <c r="AL845">
        <f t="shared" ca="1" si="350"/>
        <v>1.2544849600326182</v>
      </c>
      <c r="AM845">
        <f t="shared" ca="1" si="351"/>
        <v>1.3704604606288764</v>
      </c>
      <c r="AN845">
        <f t="shared" ca="1" si="352"/>
        <v>1.4723509237688217</v>
      </c>
    </row>
    <row r="846" spans="2:40" x14ac:dyDescent="0.25">
      <c r="B846" s="1">
        <v>44603</v>
      </c>
      <c r="C846">
        <v>90.929000000000002</v>
      </c>
      <c r="D846">
        <v>93.641999999999996</v>
      </c>
      <c r="E846">
        <v>235.404</v>
      </c>
      <c r="G846">
        <v>88184.98</v>
      </c>
      <c r="I846" s="14">
        <f t="shared" si="335"/>
        <v>4.6712942178632755E-2</v>
      </c>
      <c r="J846" s="15">
        <f t="shared" si="336"/>
        <v>-1.9929872427500994E-3</v>
      </c>
      <c r="K846" s="15">
        <f t="shared" si="337"/>
        <v>7.0630109560092524E-3</v>
      </c>
      <c r="L846" s="15"/>
      <c r="M846" s="16">
        <f t="shared" si="338"/>
        <v>2.8539580016926358E-3</v>
      </c>
      <c r="O846" s="13">
        <f t="shared" si="339"/>
        <v>1.7260988630630636E-2</v>
      </c>
      <c r="Q846" s="5">
        <f t="shared" si="340"/>
        <v>10144.45835122515</v>
      </c>
      <c r="R846" s="6">
        <f t="shared" si="341"/>
        <v>5456.0122255288361</v>
      </c>
      <c r="T846" s="11">
        <f t="shared" si="342"/>
        <v>1.8593173790481887</v>
      </c>
      <c r="V846" s="9">
        <v>44603</v>
      </c>
      <c r="W846">
        <v>276080</v>
      </c>
      <c r="X846">
        <v>564636.75289999996</v>
      </c>
      <c r="Y846">
        <v>158728.7133</v>
      </c>
      <c r="AC846" s="24">
        <f t="shared" si="343"/>
        <v>1.246659748800392E-2</v>
      </c>
      <c r="AE846" s="5">
        <f t="shared" si="344"/>
        <v>7770.1440570704817</v>
      </c>
      <c r="AF846" s="6">
        <f t="shared" si="345"/>
        <v>5456.0122255288361</v>
      </c>
      <c r="AH846" s="1">
        <f t="shared" si="346"/>
        <v>44603</v>
      </c>
      <c r="AI846">
        <f t="shared" si="347"/>
        <v>1.4241434468775118</v>
      </c>
      <c r="AJ846">
        <f t="shared" ca="1" si="348"/>
        <v>1.1556762008615988</v>
      </c>
      <c r="AK846">
        <f t="shared" ca="1" si="349"/>
        <v>1.1964137812419409</v>
      </c>
      <c r="AL846">
        <f t="shared" ca="1" si="350"/>
        <v>1.2568769287697661</v>
      </c>
      <c r="AM846">
        <f t="shared" ca="1" si="351"/>
        <v>1.3924466418969319</v>
      </c>
      <c r="AN846">
        <f t="shared" ca="1" si="352"/>
        <v>1.4723509237688217</v>
      </c>
    </row>
    <row r="847" spans="2:40" x14ac:dyDescent="0.25">
      <c r="B847" s="1">
        <v>44610</v>
      </c>
      <c r="C847">
        <v>89.453999999999994</v>
      </c>
      <c r="D847">
        <v>92.893000000000001</v>
      </c>
      <c r="E847">
        <v>231.84100000000001</v>
      </c>
      <c r="G847">
        <v>89443.19</v>
      </c>
      <c r="I847" s="14">
        <f t="shared" si="335"/>
        <v>-1.6221447502996922E-2</v>
      </c>
      <c r="J847" s="15">
        <f t="shared" si="336"/>
        <v>-7.9985476602378869E-3</v>
      </c>
      <c r="K847" s="15">
        <f t="shared" si="337"/>
        <v>-1.5135681636675669E-2</v>
      </c>
      <c r="L847" s="15"/>
      <c r="M847" s="16">
        <f t="shared" si="338"/>
        <v>1.4267849241446751E-2</v>
      </c>
      <c r="O847" s="13">
        <f t="shared" si="339"/>
        <v>-1.3118558933303492E-2</v>
      </c>
      <c r="Q847" s="5">
        <f t="shared" si="340"/>
        <v>10011.377676498159</v>
      </c>
      <c r="R847" s="6">
        <f t="shared" si="341"/>
        <v>5533.8577854221721</v>
      </c>
      <c r="T847" s="11">
        <f t="shared" si="342"/>
        <v>1.8091136535657109</v>
      </c>
      <c r="V847" s="9">
        <v>44610</v>
      </c>
      <c r="W847">
        <v>271600</v>
      </c>
      <c r="X847">
        <v>560119.65890000004</v>
      </c>
      <c r="Y847">
        <v>156254.61360000001</v>
      </c>
      <c r="AC847" s="24">
        <f t="shared" si="343"/>
        <v>-1.1403482092786117E-2</v>
      </c>
      <c r="AE847" s="5">
        <f t="shared" si="344"/>
        <v>7681.5373584573099</v>
      </c>
      <c r="AF847" s="6">
        <f t="shared" si="345"/>
        <v>5533.8577854221721</v>
      </c>
      <c r="AH847" s="1">
        <f t="shared" si="346"/>
        <v>44610</v>
      </c>
      <c r="AI847">
        <f t="shared" si="347"/>
        <v>1.3880980784675683</v>
      </c>
      <c r="AJ847">
        <f t="shared" ca="1" si="348"/>
        <v>1.1603371923795516</v>
      </c>
      <c r="AK847">
        <f t="shared" ca="1" si="349"/>
        <v>1.2040488841173653</v>
      </c>
      <c r="AL847">
        <f t="shared" ca="1" si="350"/>
        <v>1.2594256244914668</v>
      </c>
      <c r="AM847">
        <f t="shared" ca="1" si="351"/>
        <v>1.4140025363781499</v>
      </c>
      <c r="AN847">
        <f t="shared" ca="1" si="352"/>
        <v>1.4723509237688217</v>
      </c>
    </row>
    <row r="848" spans="2:40" x14ac:dyDescent="0.25">
      <c r="B848" s="1">
        <v>44617</v>
      </c>
      <c r="C848">
        <v>85.396000000000001</v>
      </c>
      <c r="D848">
        <v>92.706000000000003</v>
      </c>
      <c r="E848">
        <v>207.64</v>
      </c>
      <c r="G848">
        <v>87969.87</v>
      </c>
      <c r="I848" s="14">
        <f t="shared" si="335"/>
        <v>-4.5364097748563426E-2</v>
      </c>
      <c r="J848" s="15">
        <f t="shared" si="336"/>
        <v>-2.0130687995866259E-3</v>
      </c>
      <c r="K848" s="15">
        <f t="shared" si="337"/>
        <v>-0.10438619571171626</v>
      </c>
      <c r="L848" s="15"/>
      <c r="M848" s="16">
        <f t="shared" si="338"/>
        <v>-1.6472131640206555E-2</v>
      </c>
      <c r="O848" s="13">
        <f t="shared" si="339"/>
        <v>-5.0587787419955434E-2</v>
      </c>
      <c r="Q848" s="5">
        <f t="shared" si="340"/>
        <v>9504.924230818584</v>
      </c>
      <c r="R848" s="6">
        <f t="shared" si="341"/>
        <v>5442.7033515025159</v>
      </c>
      <c r="T848" s="11">
        <f t="shared" si="342"/>
        <v>1.7463608829966177</v>
      </c>
      <c r="V848" s="9">
        <v>44617</v>
      </c>
      <c r="W848">
        <v>259280</v>
      </c>
      <c r="X848">
        <v>558990.38529999997</v>
      </c>
      <c r="Y848">
        <v>139881.6813</v>
      </c>
      <c r="AC848" s="24">
        <f t="shared" si="343"/>
        <v>-3.0121506057724512E-2</v>
      </c>
      <c r="AE848" s="5">
        <f t="shared" si="344"/>
        <v>7450.1578843819016</v>
      </c>
      <c r="AF848" s="6">
        <f t="shared" si="345"/>
        <v>5442.7033515025159</v>
      </c>
      <c r="AH848" s="1">
        <f t="shared" si="346"/>
        <v>44617</v>
      </c>
      <c r="AI848">
        <f t="shared" si="347"/>
        <v>1.3688340890975084</v>
      </c>
      <c r="AJ848">
        <f t="shared" ca="1" si="348"/>
        <v>1.1715644983061435</v>
      </c>
      <c r="AK848">
        <f t="shared" ca="1" si="349"/>
        <v>1.2081870648872335</v>
      </c>
      <c r="AL848">
        <f t="shared" ca="1" si="350"/>
        <v>1.2676204002575693</v>
      </c>
      <c r="AM848">
        <f t="shared" ca="1" si="351"/>
        <v>1.4140025363781499</v>
      </c>
      <c r="AN848">
        <f t="shared" ca="1" si="352"/>
        <v>1.4723509237688217</v>
      </c>
    </row>
    <row r="849" spans="2:40" x14ac:dyDescent="0.25">
      <c r="B849" s="1">
        <v>44624</v>
      </c>
      <c r="C849">
        <v>91.206000000000003</v>
      </c>
      <c r="D849">
        <v>96.450999999999993</v>
      </c>
      <c r="E849">
        <v>189.08799999999999</v>
      </c>
      <c r="G849">
        <v>89515.44</v>
      </c>
      <c r="I849" s="14">
        <f t="shared" si="335"/>
        <v>6.8035973581900722E-2</v>
      </c>
      <c r="J849" s="15">
        <f t="shared" si="336"/>
        <v>4.0396522339438468E-2</v>
      </c>
      <c r="K849" s="15">
        <f t="shared" si="337"/>
        <v>-8.9346946638412583E-2</v>
      </c>
      <c r="L849" s="15"/>
      <c r="M849" s="16">
        <f t="shared" si="338"/>
        <v>1.7569310947032291E-2</v>
      </c>
      <c r="O849" s="13">
        <f t="shared" si="339"/>
        <v>6.3618497609755353E-3</v>
      </c>
      <c r="Q849" s="5">
        <f t="shared" si="340"/>
        <v>9565.3931307645071</v>
      </c>
      <c r="R849" s="6">
        <f t="shared" si="341"/>
        <v>5538.3278990775189</v>
      </c>
      <c r="T849" s="11">
        <f t="shared" si="342"/>
        <v>1.7271265452444138</v>
      </c>
      <c r="V849" s="9">
        <v>44624</v>
      </c>
      <c r="W849">
        <v>276920</v>
      </c>
      <c r="X849">
        <v>581575.85549999995</v>
      </c>
      <c r="Y849">
        <v>127383.3599</v>
      </c>
      <c r="AC849" s="24">
        <f t="shared" si="343"/>
        <v>2.8934481977576577E-2</v>
      </c>
      <c r="AE849" s="5">
        <f t="shared" si="344"/>
        <v>7665.7243434176498</v>
      </c>
      <c r="AF849" s="6">
        <f t="shared" si="345"/>
        <v>5538.3278990775189</v>
      </c>
      <c r="AH849" s="1">
        <f t="shared" si="346"/>
        <v>44624</v>
      </c>
      <c r="AI849">
        <f t="shared" si="347"/>
        <v>1.3841225155149222</v>
      </c>
      <c r="AJ849">
        <f t="shared" ca="1" si="348"/>
        <v>1.1715644983061435</v>
      </c>
      <c r="AK849">
        <f t="shared" ca="1" si="349"/>
        <v>1.2111219859360343</v>
      </c>
      <c r="AL849">
        <f t="shared" ca="1" si="350"/>
        <v>1.2750688687989498</v>
      </c>
      <c r="AM849">
        <f t="shared" ca="1" si="351"/>
        <v>1.4140025363781499</v>
      </c>
      <c r="AN849">
        <f t="shared" ca="1" si="352"/>
        <v>1.4723509237688217</v>
      </c>
    </row>
    <row r="850" spans="2:40" x14ac:dyDescent="0.25">
      <c r="B850" s="1">
        <v>44631</v>
      </c>
      <c r="C850">
        <v>88.162999999999997</v>
      </c>
      <c r="D850">
        <v>94.203999999999994</v>
      </c>
      <c r="E850">
        <v>192.173</v>
      </c>
      <c r="G850">
        <v>88999.06</v>
      </c>
      <c r="I850" s="14">
        <f t="shared" si="335"/>
        <v>-3.3364033067999954E-2</v>
      </c>
      <c r="J850" s="15">
        <f t="shared" si="336"/>
        <v>-2.3296803558283452E-2</v>
      </c>
      <c r="K850" s="15">
        <f t="shared" si="337"/>
        <v>1.6315154848536073E-2</v>
      </c>
      <c r="L850" s="15"/>
      <c r="M850" s="16">
        <f t="shared" si="338"/>
        <v>-5.7686137721045805E-3</v>
      </c>
      <c r="O850" s="13">
        <f t="shared" si="339"/>
        <v>-1.3448560592582445E-2</v>
      </c>
      <c r="Q850" s="5">
        <f t="shared" si="340"/>
        <v>9436.7523616535491</v>
      </c>
      <c r="R850" s="6">
        <f t="shared" si="341"/>
        <v>5506.3794244844694</v>
      </c>
      <c r="T850" s="11">
        <f t="shared" si="342"/>
        <v>1.7137853449931955</v>
      </c>
      <c r="V850" s="9">
        <v>44631</v>
      </c>
      <c r="W850">
        <v>267680</v>
      </c>
      <c r="X850">
        <v>568024.57339999999</v>
      </c>
      <c r="Y850">
        <v>129461.53509999999</v>
      </c>
      <c r="AC850" s="24">
        <f t="shared" si="343"/>
        <v>-2.1006373733842072E-2</v>
      </c>
      <c r="AE850" s="5">
        <f t="shared" si="344"/>
        <v>7504.695272919208</v>
      </c>
      <c r="AF850" s="6">
        <f t="shared" si="345"/>
        <v>5506.3794244844694</v>
      </c>
      <c r="AH850" s="1">
        <f t="shared" si="346"/>
        <v>44631</v>
      </c>
      <c r="AI850">
        <f t="shared" si="347"/>
        <v>1.3629092175430373</v>
      </c>
      <c r="AJ850">
        <f t="shared" ca="1" si="348"/>
        <v>1.1729193294334348</v>
      </c>
      <c r="AK850">
        <f t="shared" ca="1" si="349"/>
        <v>1.2180480854542499</v>
      </c>
      <c r="AL850">
        <f t="shared" ca="1" si="350"/>
        <v>1.2794924850202229</v>
      </c>
      <c r="AM850">
        <f t="shared" ca="1" si="351"/>
        <v>1.4140025363781499</v>
      </c>
      <c r="AN850">
        <f t="shared" ca="1" si="352"/>
        <v>1.4723509237688217</v>
      </c>
    </row>
    <row r="851" spans="2:40" x14ac:dyDescent="0.25">
      <c r="B851" s="1">
        <v>44638</v>
      </c>
      <c r="C851">
        <v>90.284000000000006</v>
      </c>
      <c r="D851">
        <v>99.447999999999993</v>
      </c>
      <c r="E851">
        <v>199.863</v>
      </c>
      <c r="G851">
        <v>89057.56</v>
      </c>
      <c r="I851" s="14">
        <f t="shared" si="335"/>
        <v>2.4057711284779515E-2</v>
      </c>
      <c r="J851" s="15">
        <f t="shared" si="336"/>
        <v>5.566642605409533E-2</v>
      </c>
      <c r="K851" s="15">
        <f t="shared" si="337"/>
        <v>4.0016027225468598E-2</v>
      </c>
      <c r="L851" s="15"/>
      <c r="M851" s="16">
        <f t="shared" si="338"/>
        <v>6.5731031316507149E-4</v>
      </c>
      <c r="O851" s="13">
        <f t="shared" si="339"/>
        <v>3.9913388188114483E-2</v>
      </c>
      <c r="Q851" s="5">
        <f t="shared" si="340"/>
        <v>9813.4051218993318</v>
      </c>
      <c r="R851" s="6">
        <f t="shared" si="341"/>
        <v>5509.9988244683827</v>
      </c>
      <c r="T851" s="11">
        <f t="shared" si="342"/>
        <v>1.7810176434740259</v>
      </c>
      <c r="V851" s="9">
        <v>44638</v>
      </c>
      <c r="W851">
        <v>274120</v>
      </c>
      <c r="X851">
        <v>599644.23160000006</v>
      </c>
      <c r="Y851">
        <v>134642.33809999999</v>
      </c>
      <c r="AC851" s="24">
        <f t="shared" si="343"/>
        <v>4.4800788176455622E-2</v>
      </c>
      <c r="AE851" s="5">
        <f t="shared" si="344"/>
        <v>7840.9115361701088</v>
      </c>
      <c r="AF851" s="6">
        <f t="shared" si="345"/>
        <v>5509.9988244683827</v>
      </c>
      <c r="AH851" s="1">
        <f t="shared" si="346"/>
        <v>44638</v>
      </c>
      <c r="AI851">
        <f t="shared" si="347"/>
        <v>1.4230332502705421</v>
      </c>
      <c r="AJ851">
        <f t="shared" ca="1" si="348"/>
        <v>1.1780217407924864</v>
      </c>
      <c r="AK851">
        <f t="shared" ca="1" si="349"/>
        <v>1.2209978495659246</v>
      </c>
      <c r="AL851">
        <f t="shared" ca="1" si="350"/>
        <v>1.2881478490924709</v>
      </c>
      <c r="AM851">
        <f t="shared" ca="1" si="351"/>
        <v>1.4140025363781499</v>
      </c>
      <c r="AN851">
        <f t="shared" ca="1" si="352"/>
        <v>1.4723509237688217</v>
      </c>
    </row>
    <row r="852" spans="2:40" x14ac:dyDescent="0.25">
      <c r="B852" s="1">
        <v>44645</v>
      </c>
      <c r="C852">
        <v>90.191000000000003</v>
      </c>
      <c r="D852">
        <v>92.893000000000001</v>
      </c>
      <c r="E852">
        <v>196.517</v>
      </c>
      <c r="G852">
        <v>93010.43</v>
      </c>
      <c r="I852" s="14">
        <f t="shared" si="335"/>
        <v>-1.0300828496744296E-3</v>
      </c>
      <c r="J852" s="15">
        <f t="shared" si="336"/>
        <v>-6.5913844421204959E-2</v>
      </c>
      <c r="K852" s="15">
        <f t="shared" si="337"/>
        <v>-1.6741467905515339E-2</v>
      </c>
      <c r="L852" s="15"/>
      <c r="M852" s="16">
        <f t="shared" si="338"/>
        <v>4.4385563673650985E-2</v>
      </c>
      <c r="O852" s="13">
        <f t="shared" si="339"/>
        <v>-2.789513172546491E-2</v>
      </c>
      <c r="Q852" s="5">
        <f t="shared" si="340"/>
        <v>9539.6588933485982</v>
      </c>
      <c r="R852" s="6">
        <f t="shared" si="341"/>
        <v>5754.5632281335666</v>
      </c>
      <c r="T852" s="11">
        <f t="shared" si="342"/>
        <v>1.6577555090037108</v>
      </c>
      <c r="V852" s="9">
        <v>44645</v>
      </c>
      <c r="W852">
        <v>273840</v>
      </c>
      <c r="X852">
        <v>560119.65890000004</v>
      </c>
      <c r="Y852">
        <v>132388.54240000001</v>
      </c>
      <c r="AC852" s="24">
        <f t="shared" si="343"/>
        <v>-4.1710689464316011E-2</v>
      </c>
      <c r="AE852" s="5">
        <f t="shared" si="344"/>
        <v>7513.8617099677449</v>
      </c>
      <c r="AF852" s="6">
        <f t="shared" si="345"/>
        <v>5754.5632281335666</v>
      </c>
      <c r="AH852" s="1">
        <f t="shared" si="346"/>
        <v>44645</v>
      </c>
      <c r="AI852">
        <f t="shared" si="347"/>
        <v>1.3057223306250454</v>
      </c>
      <c r="AJ852">
        <f t="shared" ca="1" si="348"/>
        <v>1.17866255933443</v>
      </c>
      <c r="AK852">
        <f t="shared" ca="1" si="349"/>
        <v>1.2249869126700361</v>
      </c>
      <c r="AL852">
        <f t="shared" ca="1" si="350"/>
        <v>1.2976952427386972</v>
      </c>
      <c r="AM852">
        <f t="shared" ca="1" si="351"/>
        <v>1.4233107994222844</v>
      </c>
      <c r="AN852">
        <f t="shared" ca="1" si="352"/>
        <v>1.4723509237688217</v>
      </c>
    </row>
    <row r="853" spans="2:40" x14ac:dyDescent="0.25">
      <c r="B853" s="1">
        <v>44652</v>
      </c>
      <c r="C853">
        <v>90.653000000000006</v>
      </c>
      <c r="D853">
        <v>95.515000000000001</v>
      </c>
      <c r="E853">
        <v>189.566</v>
      </c>
      <c r="G853">
        <v>92390.98</v>
      </c>
      <c r="I853" s="14">
        <f t="shared" si="335"/>
        <v>5.1224623299441774E-3</v>
      </c>
      <c r="J853" s="15">
        <f t="shared" si="336"/>
        <v>2.8226023489390961E-2</v>
      </c>
      <c r="K853" s="15">
        <f t="shared" si="337"/>
        <v>-3.5370985716248415E-2</v>
      </c>
      <c r="L853" s="15"/>
      <c r="M853" s="16">
        <f t="shared" si="338"/>
        <v>-6.6600057649448541E-3</v>
      </c>
      <c r="O853" s="13">
        <f t="shared" si="339"/>
        <v>-6.7416663230442564E-4</v>
      </c>
      <c r="Q853" s="5">
        <f t="shared" si="340"/>
        <v>9533.2275736391366</v>
      </c>
      <c r="R853" s="6">
        <f t="shared" si="341"/>
        <v>5716.237803859457</v>
      </c>
      <c r="T853" s="11">
        <f t="shared" si="342"/>
        <v>1.6677450975189567</v>
      </c>
      <c r="V853" s="9">
        <v>44652</v>
      </c>
      <c r="W853">
        <v>275240</v>
      </c>
      <c r="X853">
        <v>575929.48789999995</v>
      </c>
      <c r="Y853">
        <v>127705.33070000001</v>
      </c>
      <c r="AC853" s="24">
        <f t="shared" si="343"/>
        <v>1.2966312219892801E-2</v>
      </c>
      <c r="AE853" s="5">
        <f t="shared" si="344"/>
        <v>7611.2887868762846</v>
      </c>
      <c r="AF853" s="6">
        <f t="shared" si="345"/>
        <v>5716.237803859457</v>
      </c>
      <c r="AH853" s="1">
        <f t="shared" si="346"/>
        <v>44652</v>
      </c>
      <c r="AI853">
        <f t="shared" si="347"/>
        <v>1.331520669370567</v>
      </c>
      <c r="AJ853">
        <f t="shared" ca="1" si="348"/>
        <v>1.1829983941305275</v>
      </c>
      <c r="AK853">
        <f t="shared" ca="1" si="349"/>
        <v>1.2318629158839089</v>
      </c>
      <c r="AL853">
        <f t="shared" ca="1" si="350"/>
        <v>1.3040118627657615</v>
      </c>
      <c r="AM853">
        <f t="shared" ca="1" si="351"/>
        <v>1.4233107994222844</v>
      </c>
      <c r="AN853">
        <f t="shared" ca="1" si="352"/>
        <v>1.4723509237688217</v>
      </c>
    </row>
    <row r="854" spans="2:40" x14ac:dyDescent="0.25">
      <c r="B854" s="1">
        <v>44659</v>
      </c>
      <c r="C854">
        <v>88.162999999999997</v>
      </c>
      <c r="D854">
        <v>91.956999999999994</v>
      </c>
      <c r="E854">
        <v>201.12299999999999</v>
      </c>
      <c r="G854">
        <v>92091.48</v>
      </c>
      <c r="I854" s="14">
        <f t="shared" si="335"/>
        <v>-2.7467375597057031E-2</v>
      </c>
      <c r="J854" s="15">
        <f t="shared" si="336"/>
        <v>-3.7250693608333885E-2</v>
      </c>
      <c r="K854" s="15">
        <f t="shared" si="337"/>
        <v>6.0965573995336753E-2</v>
      </c>
      <c r="L854" s="15"/>
      <c r="M854" s="16">
        <f t="shared" si="338"/>
        <v>-3.2416584389515224E-3</v>
      </c>
      <c r="O854" s="13">
        <f t="shared" si="339"/>
        <v>-1.250831736684721E-3</v>
      </c>
      <c r="Q854" s="5">
        <f t="shared" si="340"/>
        <v>9521.3031100369917</v>
      </c>
      <c r="R854" s="6">
        <f t="shared" si="341"/>
        <v>5697.7077133435223</v>
      </c>
      <c r="T854" s="11">
        <f t="shared" si="342"/>
        <v>1.6710760869215791</v>
      </c>
      <c r="V854" s="9">
        <v>44659</v>
      </c>
      <c r="W854">
        <v>267680</v>
      </c>
      <c r="X854">
        <v>554473.29130000004</v>
      </c>
      <c r="Y854">
        <v>135491.17019999999</v>
      </c>
      <c r="AC854" s="24">
        <f t="shared" si="343"/>
        <v>-2.1686393562634153E-2</v>
      </c>
      <c r="AE854" s="5">
        <f t="shared" si="344"/>
        <v>7446.2273827252211</v>
      </c>
      <c r="AF854" s="6">
        <f t="shared" si="345"/>
        <v>5697.7077133435223</v>
      </c>
      <c r="AH854" s="1">
        <f t="shared" si="346"/>
        <v>44659</v>
      </c>
      <c r="AI854">
        <f t="shared" si="347"/>
        <v>1.3068812507329608</v>
      </c>
      <c r="AJ854">
        <f t="shared" ca="1" si="348"/>
        <v>1.1829983941305275</v>
      </c>
      <c r="AK854">
        <f t="shared" ca="1" si="349"/>
        <v>1.2391948518368023</v>
      </c>
      <c r="AL854">
        <f t="shared" ca="1" si="350"/>
        <v>1.3172132509800212</v>
      </c>
      <c r="AM854">
        <f t="shared" ca="1" si="351"/>
        <v>1.4233107994222844</v>
      </c>
      <c r="AN854">
        <f t="shared" ca="1" si="352"/>
        <v>1.4723509237688217</v>
      </c>
    </row>
    <row r="855" spans="2:40" x14ac:dyDescent="0.25">
      <c r="B855" s="1">
        <v>44666</v>
      </c>
      <c r="C855">
        <v>87.424999999999997</v>
      </c>
      <c r="D855">
        <v>91.206999999999994</v>
      </c>
      <c r="E855">
        <v>205.59800000000001</v>
      </c>
      <c r="G855">
        <v>91041.37</v>
      </c>
      <c r="I855" s="14">
        <f t="shared" si="335"/>
        <v>-8.370858523416902E-3</v>
      </c>
      <c r="J855" s="15">
        <f t="shared" si="336"/>
        <v>-8.1559859499549248E-3</v>
      </c>
      <c r="K855" s="15">
        <f t="shared" si="337"/>
        <v>2.2250065880083492E-2</v>
      </c>
      <c r="L855" s="15"/>
      <c r="M855" s="16">
        <f t="shared" si="338"/>
        <v>-1.1402900680931638E-2</v>
      </c>
      <c r="O855" s="13">
        <f t="shared" si="339"/>
        <v>1.9077404689038884E-3</v>
      </c>
      <c r="Q855" s="5">
        <f t="shared" si="340"/>
        <v>9539.4672852967087</v>
      </c>
      <c r="R855" s="6">
        <f t="shared" si="341"/>
        <v>5632.7373181792882</v>
      </c>
      <c r="T855" s="11">
        <f t="shared" si="342"/>
        <v>1.6935757423852711</v>
      </c>
      <c r="V855" s="9">
        <v>44666</v>
      </c>
      <c r="W855">
        <v>265440</v>
      </c>
      <c r="X855">
        <v>549956.1973</v>
      </c>
      <c r="Y855">
        <v>138505.9878</v>
      </c>
      <c r="AC855" s="24">
        <f t="shared" si="343"/>
        <v>-3.914083431366136E-3</v>
      </c>
      <c r="AE855" s="5">
        <f t="shared" si="344"/>
        <v>7417.082227500312</v>
      </c>
      <c r="AF855" s="6">
        <f t="shared" si="345"/>
        <v>5632.7373181792882</v>
      </c>
      <c r="AH855" s="1">
        <f t="shared" si="346"/>
        <v>44666</v>
      </c>
      <c r="AI855">
        <f t="shared" si="347"/>
        <v>1.3167811329603758</v>
      </c>
      <c r="AJ855">
        <f t="shared" ca="1" si="348"/>
        <v>1.1829983941305275</v>
      </c>
      <c r="AK855">
        <f t="shared" ca="1" si="349"/>
        <v>1.2436490943191154</v>
      </c>
      <c r="AL855">
        <f t="shared" ca="1" si="350"/>
        <v>1.3177927110339789</v>
      </c>
      <c r="AM855">
        <f t="shared" ca="1" si="351"/>
        <v>1.4233107994222844</v>
      </c>
      <c r="AN855">
        <f t="shared" ca="1" si="352"/>
        <v>1.4723509237688217</v>
      </c>
    </row>
    <row r="856" spans="2:40" x14ac:dyDescent="0.25">
      <c r="B856" s="1">
        <v>44673</v>
      </c>
      <c r="C856">
        <v>87.700999999999993</v>
      </c>
      <c r="D856">
        <v>91.02</v>
      </c>
      <c r="E856">
        <v>218.184</v>
      </c>
      <c r="G856">
        <v>91717.07</v>
      </c>
      <c r="I856" s="14">
        <f t="shared" si="335"/>
        <v>3.1569917071776477E-3</v>
      </c>
      <c r="J856" s="15">
        <f t="shared" si="336"/>
        <v>-2.0502812284144412E-3</v>
      </c>
      <c r="K856" s="15">
        <f t="shared" si="337"/>
        <v>6.1216548799112758E-2</v>
      </c>
      <c r="L856" s="15"/>
      <c r="M856" s="16">
        <f t="shared" si="338"/>
        <v>7.4219006150721967E-3</v>
      </c>
      <c r="O856" s="13">
        <f t="shared" si="339"/>
        <v>2.0774419759291989E-2</v>
      </c>
      <c r="Q856" s="5">
        <f t="shared" si="340"/>
        <v>9737.644182961496</v>
      </c>
      <c r="R856" s="6">
        <f t="shared" si="341"/>
        <v>5674.5429347456229</v>
      </c>
      <c r="T856" s="11">
        <f t="shared" si="342"/>
        <v>1.7160226462182919</v>
      </c>
      <c r="V856" s="9">
        <v>44673</v>
      </c>
      <c r="W856">
        <v>266280</v>
      </c>
      <c r="X856">
        <v>548826.92379999999</v>
      </c>
      <c r="Y856">
        <v>141930.5864</v>
      </c>
      <c r="AC856" s="24">
        <f t="shared" si="343"/>
        <v>8.5850370195434331E-3</v>
      </c>
      <c r="AE856" s="5">
        <f t="shared" si="344"/>
        <v>7480.7581530003999</v>
      </c>
      <c r="AF856" s="6">
        <f t="shared" si="345"/>
        <v>5674.5429347456229</v>
      </c>
      <c r="AH856" s="1">
        <f t="shared" si="346"/>
        <v>44673</v>
      </c>
      <c r="AI856">
        <f t="shared" si="347"/>
        <v>1.3183014454248279</v>
      </c>
      <c r="AJ856">
        <f t="shared" ca="1" si="348"/>
        <v>1.1829983941305275</v>
      </c>
      <c r="AK856">
        <f t="shared" ca="1" si="349"/>
        <v>1.2455759390234895</v>
      </c>
      <c r="AL856">
        <f t="shared" ca="1" si="350"/>
        <v>1.3227426521476864</v>
      </c>
      <c r="AM856">
        <f t="shared" ca="1" si="351"/>
        <v>1.4233107994222844</v>
      </c>
      <c r="AN856">
        <f t="shared" ca="1" si="352"/>
        <v>1.4723509237688217</v>
      </c>
    </row>
    <row r="857" spans="2:40" x14ac:dyDescent="0.25">
      <c r="B857" s="1">
        <v>44680</v>
      </c>
      <c r="C857">
        <v>83.183000000000007</v>
      </c>
      <c r="D857">
        <v>91.206999999999994</v>
      </c>
      <c r="E857">
        <v>212.065</v>
      </c>
      <c r="G857">
        <v>88250.97</v>
      </c>
      <c r="I857" s="14">
        <f t="shared" si="335"/>
        <v>-5.151594622638267E-2</v>
      </c>
      <c r="J857" s="15">
        <f t="shared" si="336"/>
        <v>2.0544935179080959E-3</v>
      </c>
      <c r="K857" s="15">
        <f t="shared" si="337"/>
        <v>-2.8045136215304467E-2</v>
      </c>
      <c r="L857" s="15"/>
      <c r="M857" s="16">
        <f t="shared" si="338"/>
        <v>-3.7791220325725683E-2</v>
      </c>
      <c r="O857" s="13">
        <f t="shared" si="339"/>
        <v>-2.583552964125968E-2</v>
      </c>
      <c r="Q857" s="5">
        <f t="shared" si="340"/>
        <v>9486.0669880365549</v>
      </c>
      <c r="R857" s="6">
        <f t="shared" si="341"/>
        <v>5460.0950324508613</v>
      </c>
      <c r="T857" s="11">
        <f t="shared" si="342"/>
        <v>1.7373446673836672</v>
      </c>
      <c r="V857" s="9">
        <v>44680</v>
      </c>
      <c r="W857">
        <v>252560</v>
      </c>
      <c r="X857">
        <v>549956.1973</v>
      </c>
      <c r="Y857">
        <v>137949.85639999999</v>
      </c>
      <c r="AC857" s="24">
        <f t="shared" si="343"/>
        <v>-1.7314438834277027E-2</v>
      </c>
      <c r="AE857" s="5">
        <f t="shared" si="344"/>
        <v>7351.2330235262552</v>
      </c>
      <c r="AF857" s="6">
        <f t="shared" si="345"/>
        <v>5460.0950324508613</v>
      </c>
      <c r="AH857" s="1">
        <f t="shared" si="346"/>
        <v>44680</v>
      </c>
      <c r="AI857">
        <f t="shared" si="347"/>
        <v>1.3463562410243477</v>
      </c>
      <c r="AJ857">
        <f t="shared" ca="1" si="348"/>
        <v>1.1829983941305275</v>
      </c>
      <c r="AK857">
        <f t="shared" ca="1" si="349"/>
        <v>1.2455759390234895</v>
      </c>
      <c r="AL857">
        <f t="shared" ca="1" si="350"/>
        <v>1.3235028083799123</v>
      </c>
      <c r="AM857">
        <f t="shared" ca="1" si="351"/>
        <v>1.4233107994222844</v>
      </c>
      <c r="AN857">
        <f t="shared" ca="1" si="352"/>
        <v>1.4723509237688217</v>
      </c>
    </row>
    <row r="858" spans="2:40" x14ac:dyDescent="0.25">
      <c r="B858" s="1">
        <v>44687</v>
      </c>
      <c r="C858">
        <v>81.430000000000007</v>
      </c>
      <c r="D858">
        <v>87.649000000000001</v>
      </c>
      <c r="E858">
        <v>209.905</v>
      </c>
      <c r="G858">
        <v>86507.22</v>
      </c>
      <c r="I858" s="14">
        <f t="shared" si="335"/>
        <v>-2.1074017527619837E-2</v>
      </c>
      <c r="J858" s="15">
        <f t="shared" si="336"/>
        <v>-3.9010163693576128E-2</v>
      </c>
      <c r="K858" s="15">
        <f t="shared" si="337"/>
        <v>-1.018555631528073E-2</v>
      </c>
      <c r="L858" s="15"/>
      <c r="M858" s="16">
        <f t="shared" si="338"/>
        <v>-1.9758989617904454E-2</v>
      </c>
      <c r="O858" s="13">
        <f t="shared" si="339"/>
        <v>-2.3423245845492231E-2</v>
      </c>
      <c r="Q858" s="5">
        <f t="shared" si="340"/>
        <v>9263.8725088689662</v>
      </c>
      <c r="R858" s="6">
        <f t="shared" si="341"/>
        <v>5352.2090713918933</v>
      </c>
      <c r="T858" s="11">
        <f t="shared" si="342"/>
        <v>1.7308502686087723</v>
      </c>
      <c r="V858" s="9">
        <v>44687</v>
      </c>
      <c r="W858">
        <v>247240</v>
      </c>
      <c r="X858">
        <v>528500.00069999998</v>
      </c>
      <c r="Y858">
        <v>136544.89290000001</v>
      </c>
      <c r="AC858" s="24">
        <f t="shared" si="343"/>
        <v>-2.9965389040806385E-2</v>
      </c>
      <c r="AE858" s="5">
        <f t="shared" si="344"/>
        <v>7130.9504660466673</v>
      </c>
      <c r="AF858" s="6">
        <f t="shared" si="345"/>
        <v>5352.2090713918933</v>
      </c>
      <c r="AH858" s="1">
        <f t="shared" si="346"/>
        <v>44687</v>
      </c>
      <c r="AI858">
        <f t="shared" si="347"/>
        <v>1.3323378012571163</v>
      </c>
      <c r="AJ858">
        <f t="shared" ca="1" si="348"/>
        <v>1.1829983941305275</v>
      </c>
      <c r="AK858">
        <f t="shared" ca="1" si="349"/>
        <v>1.2513707084442651</v>
      </c>
      <c r="AL858">
        <f t="shared" ca="1" si="350"/>
        <v>1.3301124203527821</v>
      </c>
      <c r="AM858">
        <f t="shared" ca="1" si="351"/>
        <v>1.4233107994222844</v>
      </c>
      <c r="AN858">
        <f t="shared" ca="1" si="352"/>
        <v>1.4723509237688217</v>
      </c>
    </row>
    <row r="859" spans="2:40" x14ac:dyDescent="0.25">
      <c r="B859" s="1">
        <v>44694</v>
      </c>
      <c r="C859">
        <v>77.373000000000005</v>
      </c>
      <c r="D859">
        <v>88.397999999999996</v>
      </c>
      <c r="E859">
        <v>210.58</v>
      </c>
      <c r="G859">
        <v>88795.77</v>
      </c>
      <c r="I859" s="14">
        <f t="shared" si="335"/>
        <v>-4.9821932948544756E-2</v>
      </c>
      <c r="J859" s="15">
        <f t="shared" si="336"/>
        <v>8.5454483222853206E-3</v>
      </c>
      <c r="K859" s="15">
        <f t="shared" si="337"/>
        <v>3.2157404540149592E-3</v>
      </c>
      <c r="L859" s="15"/>
      <c r="M859" s="16">
        <f t="shared" si="338"/>
        <v>2.6455017280638593E-2</v>
      </c>
      <c r="O859" s="13">
        <f t="shared" si="339"/>
        <v>-1.2686914724081491E-2</v>
      </c>
      <c r="Q859" s="5">
        <f t="shared" si="340"/>
        <v>9146.3425483341834</v>
      </c>
      <c r="R859" s="6">
        <f t="shared" si="341"/>
        <v>5493.8018548651562</v>
      </c>
      <c r="T859" s="11">
        <f t="shared" si="342"/>
        <v>1.6648475481936866</v>
      </c>
      <c r="V859" s="9">
        <v>44694</v>
      </c>
      <c r="W859">
        <v>234920</v>
      </c>
      <c r="X859">
        <v>533017.09470000002</v>
      </c>
      <c r="Y859">
        <v>136983.94399999999</v>
      </c>
      <c r="AC859" s="24">
        <f t="shared" si="343"/>
        <v>-8.070518731212421E-3</v>
      </c>
      <c r="AE859" s="5">
        <f t="shared" si="344"/>
        <v>7073.3999967390891</v>
      </c>
      <c r="AF859" s="6">
        <f t="shared" si="345"/>
        <v>5493.8018548651562</v>
      </c>
      <c r="AH859" s="1">
        <f t="shared" si="346"/>
        <v>44694</v>
      </c>
      <c r="AI859">
        <f t="shared" si="347"/>
        <v>1.2875236827981127</v>
      </c>
      <c r="AJ859">
        <f t="shared" ca="1" si="348"/>
        <v>1.1829983941305275</v>
      </c>
      <c r="AK859">
        <f t="shared" ca="1" si="349"/>
        <v>1.2551344969664382</v>
      </c>
      <c r="AL859">
        <f t="shared" ca="1" si="350"/>
        <v>1.3319292353138417</v>
      </c>
      <c r="AM859">
        <f t="shared" ca="1" si="351"/>
        <v>1.4233107994222844</v>
      </c>
      <c r="AN859">
        <f t="shared" ca="1" si="352"/>
        <v>1.4723509237688217</v>
      </c>
    </row>
    <row r="860" spans="2:40" x14ac:dyDescent="0.25">
      <c r="B860" s="1">
        <v>44701</v>
      </c>
      <c r="C860">
        <v>80.323999999999998</v>
      </c>
      <c r="D860">
        <v>84.652000000000001</v>
      </c>
      <c r="E860">
        <v>217.32900000000001</v>
      </c>
      <c r="G860">
        <v>88118.96</v>
      </c>
      <c r="I860" s="14">
        <f t="shared" si="335"/>
        <v>3.8139919610199913E-2</v>
      </c>
      <c r="J860" s="15">
        <f t="shared" si="336"/>
        <v>-4.2376524355754563E-2</v>
      </c>
      <c r="K860" s="15">
        <f t="shared" si="337"/>
        <v>3.2049577357773806E-2</v>
      </c>
      <c r="L860" s="15"/>
      <c r="M860" s="16">
        <f t="shared" si="338"/>
        <v>-7.6220973138697579E-3</v>
      </c>
      <c r="O860" s="13">
        <f t="shared" si="339"/>
        <v>9.270990870739718E-3</v>
      </c>
      <c r="Q860" s="5">
        <f t="shared" si="340"/>
        <v>9231.138206600448</v>
      </c>
      <c r="R860" s="6">
        <f t="shared" si="341"/>
        <v>5451.9275625042555</v>
      </c>
      <c r="T860" s="11">
        <f t="shared" si="342"/>
        <v>1.6931879781543306</v>
      </c>
      <c r="V860" s="9">
        <v>44701</v>
      </c>
      <c r="W860">
        <v>243880</v>
      </c>
      <c r="X860">
        <v>510431.62459999998</v>
      </c>
      <c r="Y860">
        <v>141374.45499999999</v>
      </c>
      <c r="AC860" s="24">
        <f t="shared" si="343"/>
        <v>-1.0207856902110688E-2</v>
      </c>
      <c r="AE860" s="5">
        <f t="shared" si="344"/>
        <v>7001.1957417609865</v>
      </c>
      <c r="AF860" s="6">
        <f t="shared" si="345"/>
        <v>5451.9275625042555</v>
      </c>
      <c r="AH860" s="1">
        <f t="shared" si="346"/>
        <v>44701</v>
      </c>
      <c r="AI860">
        <f t="shared" si="347"/>
        <v>1.2841688854987463</v>
      </c>
      <c r="AJ860">
        <f t="shared" ca="1" si="348"/>
        <v>1.1916000038853984</v>
      </c>
      <c r="AK860">
        <f t="shared" ca="1" si="349"/>
        <v>1.2574233762045202</v>
      </c>
      <c r="AL860">
        <f t="shared" ca="1" si="350"/>
        <v>1.3319292353138417</v>
      </c>
      <c r="AM860">
        <f t="shared" ca="1" si="351"/>
        <v>1.4233107994222844</v>
      </c>
      <c r="AN860">
        <f t="shared" ca="1" si="352"/>
        <v>1.4723509237688217</v>
      </c>
    </row>
    <row r="861" spans="2:40" x14ac:dyDescent="0.25">
      <c r="B861" s="1">
        <v>44708</v>
      </c>
      <c r="C861">
        <v>85.119</v>
      </c>
      <c r="D861">
        <v>87.274000000000001</v>
      </c>
      <c r="E861">
        <v>226.328</v>
      </c>
      <c r="G861">
        <v>93683.29</v>
      </c>
      <c r="I861" s="14">
        <f t="shared" si="335"/>
        <v>5.9695732284248848E-2</v>
      </c>
      <c r="J861" s="15">
        <f t="shared" si="336"/>
        <v>3.0973869489202777E-2</v>
      </c>
      <c r="K861" s="15">
        <f t="shared" si="337"/>
        <v>4.1407267322814745E-2</v>
      </c>
      <c r="L861" s="15"/>
      <c r="M861" s="16">
        <f t="shared" si="338"/>
        <v>6.3145661274259135E-2</v>
      </c>
      <c r="O861" s="13">
        <f t="shared" si="339"/>
        <v>4.402562303208879E-2</v>
      </c>
      <c r="Q861" s="5">
        <f t="shared" si="340"/>
        <v>9637.5448174413523</v>
      </c>
      <c r="R861" s="6">
        <f t="shared" si="341"/>
        <v>5796.1931336579464</v>
      </c>
      <c r="T861" s="11">
        <f t="shared" si="342"/>
        <v>1.6627370060319486</v>
      </c>
      <c r="V861" s="9">
        <v>44708</v>
      </c>
      <c r="W861">
        <v>258440</v>
      </c>
      <c r="X861">
        <v>526241.45369999995</v>
      </c>
      <c r="Y861">
        <v>147228.46969999999</v>
      </c>
      <c r="AC861" s="24">
        <f t="shared" si="343"/>
        <v>4.0441141588338017E-2</v>
      </c>
      <c r="AE861" s="5">
        <f t="shared" si="344"/>
        <v>7284.3320900412127</v>
      </c>
      <c r="AF861" s="6">
        <f t="shared" si="345"/>
        <v>5796.1931336579464</v>
      </c>
      <c r="AH861" s="1">
        <f t="shared" si="346"/>
        <v>44708</v>
      </c>
      <c r="AI861">
        <f t="shared" si="347"/>
        <v>1.2567441977979967</v>
      </c>
      <c r="AJ861">
        <f t="shared" ca="1" si="348"/>
        <v>1.2079163139680027</v>
      </c>
      <c r="AK861">
        <f t="shared" ca="1" si="349"/>
        <v>1.2702619872884278</v>
      </c>
      <c r="AL861">
        <f t="shared" ca="1" si="350"/>
        <v>1.3319292353138417</v>
      </c>
      <c r="AM861">
        <f t="shared" ca="1" si="351"/>
        <v>1.4233107994222844</v>
      </c>
      <c r="AN861">
        <f t="shared" ca="1" si="352"/>
        <v>1.4723509237688217</v>
      </c>
    </row>
    <row r="862" spans="2:40" x14ac:dyDescent="0.25">
      <c r="B862" s="1">
        <v>44715</v>
      </c>
      <c r="C862">
        <v>83.92</v>
      </c>
      <c r="D862">
        <v>87.274000000000001</v>
      </c>
      <c r="E862">
        <v>229.613</v>
      </c>
      <c r="G862">
        <v>91775.17</v>
      </c>
      <c r="I862" s="14">
        <f t="shared" si="335"/>
        <v>-1.4086161726523994E-2</v>
      </c>
      <c r="J862" s="15">
        <f t="shared" si="336"/>
        <v>0</v>
      </c>
      <c r="K862" s="15">
        <f t="shared" si="337"/>
        <v>1.4514333180163375E-2</v>
      </c>
      <c r="L862" s="15"/>
      <c r="M862" s="16">
        <f t="shared" si="338"/>
        <v>-2.0367773164242986E-2</v>
      </c>
      <c r="O862" s="13">
        <f t="shared" si="339"/>
        <v>1.4272381787979368E-4</v>
      </c>
      <c r="Q862" s="5">
        <f t="shared" si="340"/>
        <v>9638.9203246326852</v>
      </c>
      <c r="R862" s="6">
        <f t="shared" si="341"/>
        <v>5678.1375866954586</v>
      </c>
      <c r="T862" s="11">
        <f t="shared" si="342"/>
        <v>1.6975496238798096</v>
      </c>
      <c r="V862" s="9">
        <v>44715</v>
      </c>
      <c r="W862">
        <v>254800</v>
      </c>
      <c r="X862">
        <v>526241.45369999995</v>
      </c>
      <c r="Y862">
        <v>149365.1851</v>
      </c>
      <c r="AC862" s="24">
        <f t="shared" si="343"/>
        <v>-1.6133582613715011E-3</v>
      </c>
      <c r="AE862" s="5">
        <f t="shared" si="344"/>
        <v>7272.5798526851713</v>
      </c>
      <c r="AF862" s="6">
        <f t="shared" si="345"/>
        <v>5678.1375866954586</v>
      </c>
      <c r="AH862" s="1">
        <f t="shared" si="346"/>
        <v>44715</v>
      </c>
      <c r="AI862">
        <f t="shared" si="347"/>
        <v>1.2808037391918221</v>
      </c>
      <c r="AJ862">
        <f t="shared" ca="1" si="348"/>
        <v>1.2269711930422584</v>
      </c>
      <c r="AK862">
        <f t="shared" ca="1" si="349"/>
        <v>1.2702619872884278</v>
      </c>
      <c r="AL862">
        <f t="shared" ca="1" si="350"/>
        <v>1.3319292353138417</v>
      </c>
      <c r="AM862">
        <f t="shared" ca="1" si="351"/>
        <v>1.4233107994222844</v>
      </c>
      <c r="AN862">
        <f t="shared" ca="1" si="352"/>
        <v>1.4723509237688217</v>
      </c>
    </row>
    <row r="863" spans="2:40" x14ac:dyDescent="0.25">
      <c r="B863" s="1">
        <v>44722</v>
      </c>
      <c r="C863">
        <v>83.367000000000004</v>
      </c>
      <c r="D863">
        <v>85.962999999999994</v>
      </c>
      <c r="E863">
        <v>228.71299999999999</v>
      </c>
      <c r="G863">
        <v>89141.39</v>
      </c>
      <c r="I863" s="14">
        <f t="shared" si="335"/>
        <v>-6.5896091515729172E-3</v>
      </c>
      <c r="J863" s="15">
        <f t="shared" si="336"/>
        <v>-1.5021655934184364E-2</v>
      </c>
      <c r="K863" s="15">
        <f t="shared" si="337"/>
        <v>-3.9196386964153174E-3</v>
      </c>
      <c r="L863" s="15"/>
      <c r="M863" s="16">
        <f t="shared" si="338"/>
        <v>-2.8698176206047865E-2</v>
      </c>
      <c r="O863" s="13">
        <f t="shared" si="339"/>
        <v>-8.5103012607241988E-3</v>
      </c>
      <c r="Q863" s="5">
        <f t="shared" si="340"/>
        <v>9556.8902088419436</v>
      </c>
      <c r="R863" s="6">
        <f t="shared" si="341"/>
        <v>5515.1853937102887</v>
      </c>
      <c r="T863" s="11">
        <f t="shared" si="342"/>
        <v>1.7328320857066668</v>
      </c>
      <c r="V863" s="9">
        <v>44722</v>
      </c>
      <c r="W863">
        <v>253120</v>
      </c>
      <c r="X863">
        <v>518336.53909999999</v>
      </c>
      <c r="Y863">
        <v>148779.7836</v>
      </c>
      <c r="AC863" s="24">
        <f t="shared" si="343"/>
        <v>-1.0930175691930357E-2</v>
      </c>
      <c r="AE863" s="5">
        <f t="shared" si="344"/>
        <v>7193.08927716173</v>
      </c>
      <c r="AF863" s="6">
        <f t="shared" si="345"/>
        <v>5515.1853937102887</v>
      </c>
      <c r="AH863" s="1">
        <f t="shared" si="346"/>
        <v>44722</v>
      </c>
      <c r="AI863">
        <f t="shared" si="347"/>
        <v>1.3042334506769222</v>
      </c>
      <c r="AJ863">
        <f t="shared" ca="1" si="348"/>
        <v>1.2348227359962325</v>
      </c>
      <c r="AK863">
        <f t="shared" ca="1" si="349"/>
        <v>1.275423615612685</v>
      </c>
      <c r="AL863">
        <f t="shared" ca="1" si="350"/>
        <v>1.3319292353138417</v>
      </c>
      <c r="AM863">
        <f t="shared" ca="1" si="351"/>
        <v>1.4233107994222844</v>
      </c>
      <c r="AN863">
        <f t="shared" ca="1" si="352"/>
        <v>1.4723509237688217</v>
      </c>
    </row>
    <row r="864" spans="2:40" x14ac:dyDescent="0.25">
      <c r="B864" s="1">
        <v>44729</v>
      </c>
      <c r="C864">
        <v>78.387</v>
      </c>
      <c r="D864">
        <v>81.093999999999994</v>
      </c>
      <c r="E864">
        <v>219.57900000000001</v>
      </c>
      <c r="G864">
        <v>87060.9</v>
      </c>
      <c r="I864" s="14">
        <f t="shared" si="335"/>
        <v>-5.9735866709849317E-2</v>
      </c>
      <c r="J864" s="15">
        <f t="shared" si="336"/>
        <v>-5.6640647720530901E-2</v>
      </c>
      <c r="K864" s="15">
        <f t="shared" si="337"/>
        <v>-3.9936514321442074E-2</v>
      </c>
      <c r="L864" s="15"/>
      <c r="M864" s="16">
        <f t="shared" si="338"/>
        <v>-2.3339214252773077E-2</v>
      </c>
      <c r="O864" s="13">
        <f t="shared" si="339"/>
        <v>-5.2104342917274095E-2</v>
      </c>
      <c r="Q864" s="5">
        <f t="shared" si="340"/>
        <v>9058.9347241777032</v>
      </c>
      <c r="R864" s="6">
        <f t="shared" si="341"/>
        <v>5386.4653001627194</v>
      </c>
      <c r="T864" s="11">
        <f t="shared" si="342"/>
        <v>1.6817958010244756</v>
      </c>
      <c r="V864" s="9">
        <v>44729</v>
      </c>
      <c r="W864">
        <v>238000</v>
      </c>
      <c r="X864">
        <v>488975.42800000001</v>
      </c>
      <c r="Y864">
        <v>142837.95869999999</v>
      </c>
      <c r="AC864" s="24">
        <f t="shared" si="343"/>
        <v>-5.4791366748038278E-2</v>
      </c>
      <c r="AE864" s="5">
        <f t="shared" si="344"/>
        <v>6798.9700845253801</v>
      </c>
      <c r="AF864" s="6">
        <f t="shared" si="345"/>
        <v>5386.4653001627194</v>
      </c>
      <c r="AH864" s="1">
        <f t="shared" si="346"/>
        <v>44729</v>
      </c>
      <c r="AI864">
        <f t="shared" si="347"/>
        <v>1.2622322257083862</v>
      </c>
      <c r="AJ864">
        <f t="shared" ca="1" si="348"/>
        <v>1.2446679247510382</v>
      </c>
      <c r="AK864">
        <f t="shared" ca="1" si="349"/>
        <v>1.2795473950004717</v>
      </c>
      <c r="AL864">
        <f t="shared" ca="1" si="350"/>
        <v>1.3319292353138417</v>
      </c>
      <c r="AM864">
        <f t="shared" ca="1" si="351"/>
        <v>1.4233107994222844</v>
      </c>
      <c r="AN864">
        <f t="shared" ca="1" si="352"/>
        <v>1.4723509237688217</v>
      </c>
    </row>
    <row r="865" spans="2:40" x14ac:dyDescent="0.25">
      <c r="B865" s="1">
        <v>44736</v>
      </c>
      <c r="C865">
        <v>71.471000000000004</v>
      </c>
      <c r="D865">
        <v>76.599000000000004</v>
      </c>
      <c r="E865">
        <v>215.934</v>
      </c>
      <c r="G865">
        <v>82605.64</v>
      </c>
      <c r="I865" s="14">
        <f t="shared" si="335"/>
        <v>-8.8228915508949179E-2</v>
      </c>
      <c r="J865" s="15">
        <f t="shared" si="336"/>
        <v>-5.5429501566083728E-2</v>
      </c>
      <c r="K865" s="15">
        <f t="shared" si="337"/>
        <v>-1.6599948082466898E-2</v>
      </c>
      <c r="L865" s="15"/>
      <c r="M865" s="16">
        <f t="shared" si="338"/>
        <v>-5.1174063213221932E-2</v>
      </c>
      <c r="O865" s="13">
        <f t="shared" si="339"/>
        <v>-5.3419455052499933E-2</v>
      </c>
      <c r="Q865" s="5">
        <f t="shared" si="340"/>
        <v>8575.011367855961</v>
      </c>
      <c r="R865" s="6">
        <f t="shared" si="341"/>
        <v>5110.8179843963662</v>
      </c>
      <c r="T865" s="11">
        <f t="shared" si="342"/>
        <v>1.6778158396632368</v>
      </c>
      <c r="V865" s="9">
        <v>44736</v>
      </c>
      <c r="W865">
        <v>217000</v>
      </c>
      <c r="X865">
        <v>461872.8639</v>
      </c>
      <c r="Y865">
        <v>140467.0827</v>
      </c>
      <c r="AC865" s="24">
        <f t="shared" si="343"/>
        <v>-5.8027675376840601E-2</v>
      </c>
      <c r="AE865" s="5">
        <f t="shared" si="344"/>
        <v>6404.4416555636908</v>
      </c>
      <c r="AF865" s="6">
        <f t="shared" si="345"/>
        <v>5110.8179843963662</v>
      </c>
      <c r="AH865" s="1">
        <f t="shared" si="346"/>
        <v>44736</v>
      </c>
      <c r="AI865">
        <f t="shared" si="347"/>
        <v>1.2531147998455112</v>
      </c>
      <c r="AJ865">
        <f t="shared" ca="1" si="348"/>
        <v>1.24665124637041</v>
      </c>
      <c r="AK865">
        <f t="shared" ca="1" si="349"/>
        <v>1.2795473950004717</v>
      </c>
      <c r="AL865">
        <f t="shared" ca="1" si="350"/>
        <v>1.3319292353138417</v>
      </c>
      <c r="AM865">
        <f t="shared" ca="1" si="351"/>
        <v>1.4233107994222844</v>
      </c>
      <c r="AN865">
        <f t="shared" ca="1" si="352"/>
        <v>1.4723509237688217</v>
      </c>
    </row>
    <row r="866" spans="2:40" x14ac:dyDescent="0.25">
      <c r="B866" s="1">
        <v>44743</v>
      </c>
      <c r="C866">
        <v>78.387</v>
      </c>
      <c r="D866">
        <v>88.96</v>
      </c>
      <c r="E866">
        <v>235.50700000000001</v>
      </c>
      <c r="G866">
        <v>90050.77</v>
      </c>
      <c r="I866" s="14">
        <f t="shared" si="335"/>
        <v>9.6766520686712099E-2</v>
      </c>
      <c r="J866" s="15">
        <f t="shared" si="336"/>
        <v>0.16137286387550742</v>
      </c>
      <c r="K866" s="15">
        <f t="shared" si="337"/>
        <v>9.0643437346596745E-2</v>
      </c>
      <c r="L866" s="15"/>
      <c r="M866" s="16">
        <f t="shared" si="338"/>
        <v>9.0128591703907857E-2</v>
      </c>
      <c r="O866" s="13">
        <f t="shared" si="339"/>
        <v>0.11626094063627208</v>
      </c>
      <c r="Q866" s="5">
        <f t="shared" si="340"/>
        <v>9571.9502554496212</v>
      </c>
      <c r="R866" s="6">
        <f t="shared" si="341"/>
        <v>5571.448811785016</v>
      </c>
      <c r="T866" s="11">
        <f t="shared" si="342"/>
        <v>1.7180361121154946</v>
      </c>
      <c r="V866" s="9">
        <v>44743</v>
      </c>
      <c r="W866">
        <v>238000</v>
      </c>
      <c r="X866">
        <v>536404.91520000005</v>
      </c>
      <c r="Y866">
        <v>153199.56469999999</v>
      </c>
      <c r="AC866" s="24">
        <f t="shared" si="343"/>
        <v>0.13213624142479796</v>
      </c>
      <c r="AE866" s="5">
        <f t="shared" si="344"/>
        <v>7250.7005043542877</v>
      </c>
      <c r="AF866" s="6">
        <f t="shared" si="345"/>
        <v>5571.448811785016</v>
      </c>
      <c r="AH866" s="1">
        <f t="shared" si="346"/>
        <v>44743</v>
      </c>
      <c r="AI866">
        <f t="shared" si="347"/>
        <v>1.3014030549858471</v>
      </c>
      <c r="AJ866">
        <f t="shared" ca="1" si="348"/>
        <v>1.2466441377384632</v>
      </c>
      <c r="AK866">
        <f t="shared" ca="1" si="349"/>
        <v>1.2795473950004717</v>
      </c>
      <c r="AL866">
        <f t="shared" ca="1" si="350"/>
        <v>1.3319292353138417</v>
      </c>
      <c r="AM866">
        <f t="shared" ca="1" si="351"/>
        <v>1.4233107994222844</v>
      </c>
      <c r="AN866">
        <f t="shared" ca="1" si="352"/>
        <v>1.4723509237688217</v>
      </c>
    </row>
    <row r="867" spans="2:40" x14ac:dyDescent="0.25">
      <c r="B867" s="1">
        <v>44750</v>
      </c>
      <c r="C867">
        <v>96.600999999999999</v>
      </c>
      <c r="D867">
        <v>108.25</v>
      </c>
      <c r="E867">
        <v>272.65699999999998</v>
      </c>
      <c r="G867">
        <v>105850</v>
      </c>
      <c r="I867" s="14">
        <f t="shared" si="335"/>
        <v>0.23235995764603823</v>
      </c>
      <c r="J867" s="15">
        <f t="shared" si="336"/>
        <v>0.21683902877697858</v>
      </c>
      <c r="K867" s="15">
        <f t="shared" si="337"/>
        <v>0.15774478040992412</v>
      </c>
      <c r="L867" s="15"/>
      <c r="M867" s="16">
        <f t="shared" si="338"/>
        <v>0.17544802781808522</v>
      </c>
      <c r="O867" s="13">
        <f t="shared" si="339"/>
        <v>0.20231458894431364</v>
      </c>
      <c r="Q867" s="5">
        <f t="shared" si="340"/>
        <v>11508.495436776329</v>
      </c>
      <c r="R867" s="6">
        <f t="shared" si="341"/>
        <v>6548.9485179021112</v>
      </c>
      <c r="T867" s="11">
        <f t="shared" si="342"/>
        <v>1.757304306991706</v>
      </c>
      <c r="V867" s="9">
        <v>44750</v>
      </c>
      <c r="W867">
        <v>293300</v>
      </c>
      <c r="X867">
        <v>652720.08629999997</v>
      </c>
      <c r="Y867">
        <v>166985.76930000001</v>
      </c>
      <c r="AC867" s="24">
        <f t="shared" si="343"/>
        <v>0.21106153182499318</v>
      </c>
      <c r="AE867" s="5">
        <f t="shared" si="344"/>
        <v>8781.044459607554</v>
      </c>
      <c r="AF867" s="6">
        <f t="shared" si="345"/>
        <v>6548.9485179021112</v>
      </c>
      <c r="AH867" s="1">
        <f t="shared" si="346"/>
        <v>44750</v>
      </c>
      <c r="AI867">
        <f t="shared" si="347"/>
        <v>1.3408327207953792</v>
      </c>
      <c r="AJ867">
        <f t="shared" ca="1" si="348"/>
        <v>1.2531219084774579</v>
      </c>
      <c r="AK867">
        <f t="shared" ca="1" si="349"/>
        <v>1.2826058905084745</v>
      </c>
      <c r="AL867">
        <f t="shared" ca="1" si="350"/>
        <v>1.3319292353138417</v>
      </c>
      <c r="AM867">
        <f t="shared" ca="1" si="351"/>
        <v>1.4233107994222844</v>
      </c>
      <c r="AN867">
        <f t="shared" ca="1" si="352"/>
        <v>1.4723509237688217</v>
      </c>
    </row>
    <row r="868" spans="2:40" x14ac:dyDescent="0.25">
      <c r="B868" s="1">
        <v>44757</v>
      </c>
      <c r="C868">
        <v>103.748</v>
      </c>
      <c r="D868">
        <v>110.123</v>
      </c>
      <c r="E868">
        <v>280.97300000000001</v>
      </c>
      <c r="G868">
        <v>104222.9</v>
      </c>
      <c r="I868" s="14">
        <f t="shared" si="335"/>
        <v>7.3984741358785078E-2</v>
      </c>
      <c r="J868" s="15">
        <f t="shared" si="336"/>
        <v>1.7302540415704337E-2</v>
      </c>
      <c r="K868" s="15">
        <f t="shared" si="337"/>
        <v>3.0499858796950052E-2</v>
      </c>
      <c r="L868" s="15"/>
      <c r="M868" s="16">
        <f t="shared" si="338"/>
        <v>-1.5371752479924505E-2</v>
      </c>
      <c r="O868" s="13">
        <f t="shared" si="339"/>
        <v>4.0595713523813158E-2</v>
      </c>
      <c r="Q868" s="5">
        <f t="shared" si="340"/>
        <v>11975.691020617811</v>
      </c>
      <c r="R868" s="6">
        <f t="shared" si="341"/>
        <v>6448.2797022811519</v>
      </c>
      <c r="T868" s="11">
        <f t="shared" si="342"/>
        <v>1.8571916190889293</v>
      </c>
      <c r="V868" s="9">
        <v>44757</v>
      </c>
      <c r="W868">
        <v>315000</v>
      </c>
      <c r="X868">
        <v>664012.82140000002</v>
      </c>
      <c r="Y868">
        <v>172078.76209999999</v>
      </c>
      <c r="AC868" s="24">
        <f t="shared" si="343"/>
        <v>3.4219480973078822E-2</v>
      </c>
      <c r="AE868" s="5">
        <f t="shared" si="344"/>
        <v>9081.5272434168546</v>
      </c>
      <c r="AF868" s="6">
        <f t="shared" si="345"/>
        <v>6448.2797022811519</v>
      </c>
      <c r="AH868" s="1">
        <f t="shared" si="346"/>
        <v>44757</v>
      </c>
      <c r="AI868">
        <f t="shared" si="347"/>
        <v>1.4083643487431479</v>
      </c>
      <c r="AJ868">
        <f t="shared" ca="1" si="348"/>
        <v>1.2531219084774579</v>
      </c>
      <c r="AK868">
        <f t="shared" ca="1" si="349"/>
        <v>1.2833275989220152</v>
      </c>
      <c r="AL868">
        <f t="shared" ca="1" si="350"/>
        <v>1.3341260837906792</v>
      </c>
      <c r="AM868">
        <f t="shared" ca="1" si="351"/>
        <v>1.4233107994222844</v>
      </c>
      <c r="AN868">
        <f t="shared" ca="1" si="352"/>
        <v>1.4723509237688217</v>
      </c>
    </row>
    <row r="869" spans="2:40" x14ac:dyDescent="0.25">
      <c r="B869" s="1">
        <v>44764</v>
      </c>
      <c r="C869">
        <v>128.417</v>
      </c>
      <c r="D869">
        <v>124.169</v>
      </c>
      <c r="E869">
        <v>301.38</v>
      </c>
      <c r="G869">
        <v>113851.4</v>
      </c>
      <c r="I869" s="14">
        <f t="shared" si="335"/>
        <v>0.23777807764968961</v>
      </c>
      <c r="J869" s="15">
        <f t="shared" si="336"/>
        <v>0.12754828691553977</v>
      </c>
      <c r="K869" s="15">
        <f t="shared" si="337"/>
        <v>7.2629754460392881E-2</v>
      </c>
      <c r="L869" s="15"/>
      <c r="M869" s="16">
        <f t="shared" si="338"/>
        <v>9.2383727568509322E-2</v>
      </c>
      <c r="O869" s="13">
        <f t="shared" si="339"/>
        <v>0.14598537300854075</v>
      </c>
      <c r="Q869" s="5">
        <f t="shared" si="340"/>
        <v>13723.966741297734</v>
      </c>
      <c r="R869" s="6">
        <f t="shared" si="341"/>
        <v>7043.9958175822421</v>
      </c>
      <c r="T869" s="11">
        <f t="shared" si="342"/>
        <v>1.948321250708565</v>
      </c>
      <c r="V869" s="9">
        <v>44764</v>
      </c>
      <c r="W869">
        <v>389900</v>
      </c>
      <c r="X869">
        <v>748708.33429999999</v>
      </c>
      <c r="Y869">
        <v>184577.08350000001</v>
      </c>
      <c r="AC869" s="24">
        <f t="shared" si="343"/>
        <v>0.14950316119512122</v>
      </c>
      <c r="AE869" s="5">
        <f t="shared" si="344"/>
        <v>10439.24427478729</v>
      </c>
      <c r="AF869" s="6">
        <f t="shared" si="345"/>
        <v>7043.9958175822421</v>
      </c>
      <c r="AH869" s="1">
        <f t="shared" si="346"/>
        <v>44764</v>
      </c>
      <c r="AI869">
        <f t="shared" si="347"/>
        <v>1.4820060296927351</v>
      </c>
      <c r="AJ869">
        <f t="shared" ca="1" si="348"/>
        <v>1.2531219084774579</v>
      </c>
      <c r="AK869">
        <f t="shared" ca="1" si="349"/>
        <v>1.2833275989220152</v>
      </c>
      <c r="AL869">
        <f t="shared" ca="1" si="350"/>
        <v>1.3383735435598105</v>
      </c>
      <c r="AM869">
        <f t="shared" ca="1" si="351"/>
        <v>1.4233107994222844</v>
      </c>
      <c r="AN869">
        <f t="shared" ca="1" si="352"/>
        <v>1.4723509237688217</v>
      </c>
    </row>
    <row r="870" spans="2:40" x14ac:dyDescent="0.25">
      <c r="B870" s="1">
        <v>44771</v>
      </c>
      <c r="C870">
        <v>130.03100000000001</v>
      </c>
      <c r="D870">
        <v>125.48</v>
      </c>
      <c r="E870">
        <v>328.23899999999998</v>
      </c>
      <c r="G870">
        <v>122528.3</v>
      </c>
      <c r="I870" s="14">
        <f t="shared" si="335"/>
        <v>1.2568429413551296E-2</v>
      </c>
      <c r="J870" s="15">
        <f t="shared" si="336"/>
        <v>1.0558190852789417E-2</v>
      </c>
      <c r="K870" s="15">
        <f t="shared" si="337"/>
        <v>8.9120047780210987E-2</v>
      </c>
      <c r="L870" s="15"/>
      <c r="M870" s="16">
        <f t="shared" si="338"/>
        <v>7.6212501559049795E-2</v>
      </c>
      <c r="O870" s="13">
        <f t="shared" si="339"/>
        <v>3.7415556015517236E-2</v>
      </c>
      <c r="Q870" s="5">
        <f t="shared" si="340"/>
        <v>14237.456587661854</v>
      </c>
      <c r="R870" s="6">
        <f t="shared" si="341"/>
        <v>7580.8363598116694</v>
      </c>
      <c r="T870" s="11">
        <f t="shared" si="342"/>
        <v>1.8780852021999794</v>
      </c>
      <c r="V870" s="9">
        <v>44771</v>
      </c>
      <c r="W870">
        <v>394800</v>
      </c>
      <c r="X870">
        <v>756613.24890000001</v>
      </c>
      <c r="Y870">
        <v>201026.86480000001</v>
      </c>
      <c r="AC870" s="24">
        <f t="shared" si="343"/>
        <v>2.2109489888612877E-2</v>
      </c>
      <c r="AE870" s="5">
        <f t="shared" si="344"/>
        <v>10670.05064052546</v>
      </c>
      <c r="AF870" s="6">
        <f t="shared" si="345"/>
        <v>7580.8363598116694</v>
      </c>
      <c r="AH870" s="1">
        <f t="shared" si="346"/>
        <v>44771</v>
      </c>
      <c r="AI870">
        <f t="shared" si="347"/>
        <v>1.4075030951849401</v>
      </c>
      <c r="AJ870">
        <f t="shared" ca="1" si="348"/>
        <v>1.2531219084774579</v>
      </c>
      <c r="AK870">
        <f t="shared" ca="1" si="349"/>
        <v>1.2833275989220152</v>
      </c>
      <c r="AL870">
        <f t="shared" ca="1" si="350"/>
        <v>1.3435944809098634</v>
      </c>
      <c r="AM870">
        <f t="shared" ca="1" si="351"/>
        <v>1.4263273087709603</v>
      </c>
      <c r="AN870">
        <f t="shared" ca="1" si="352"/>
        <v>1.4792637016885954</v>
      </c>
    </row>
    <row r="871" spans="2:40" x14ac:dyDescent="0.25">
      <c r="B871" s="1">
        <v>44778</v>
      </c>
      <c r="C871">
        <v>128.34100000000001</v>
      </c>
      <c r="D871">
        <v>120.43</v>
      </c>
      <c r="E871">
        <v>327.80900000000003</v>
      </c>
      <c r="G871">
        <v>121003.9</v>
      </c>
      <c r="I871" s="14">
        <f t="shared" si="335"/>
        <v>-1.2996900739054462E-2</v>
      </c>
      <c r="J871" s="15">
        <f t="shared" si="336"/>
        <v>-4.0245457443417232E-2</v>
      </c>
      <c r="K871" s="15">
        <f t="shared" si="337"/>
        <v>-1.3100210517335009E-3</v>
      </c>
      <c r="L871" s="15"/>
      <c r="M871" s="16">
        <f t="shared" si="338"/>
        <v>-1.2441207459827686E-2</v>
      </c>
      <c r="O871" s="13">
        <f t="shared" si="339"/>
        <v>-1.818412641140173E-2</v>
      </c>
      <c r="Q871" s="5">
        <f t="shared" si="340"/>
        <v>13978.560877294967</v>
      </c>
      <c r="R871" s="6">
        <f t="shared" si="341"/>
        <v>7486.5216019402478</v>
      </c>
      <c r="T871" s="11">
        <f t="shared" si="342"/>
        <v>1.8671636335988409</v>
      </c>
      <c r="V871" s="9">
        <v>44778</v>
      </c>
      <c r="W871">
        <v>380800</v>
      </c>
      <c r="X871">
        <v>688856.83849999995</v>
      </c>
      <c r="Y871">
        <v>200763.43410000001</v>
      </c>
      <c r="AC871" s="24">
        <f t="shared" si="343"/>
        <v>-2.650377771500529E-2</v>
      </c>
      <c r="AE871" s="5">
        <f t="shared" si="344"/>
        <v>10387.253990141124</v>
      </c>
      <c r="AF871" s="6">
        <f t="shared" si="345"/>
        <v>7486.5216019402478</v>
      </c>
      <c r="AH871" s="1">
        <f t="shared" si="346"/>
        <v>44778</v>
      </c>
      <c r="AI871">
        <f t="shared" si="347"/>
        <v>1.3874606315767668</v>
      </c>
      <c r="AJ871">
        <f t="shared" ca="1" si="348"/>
        <v>1.2531219084774579</v>
      </c>
      <c r="AK871">
        <f t="shared" ca="1" si="349"/>
        <v>1.2833275989220152</v>
      </c>
      <c r="AL871">
        <f t="shared" ca="1" si="350"/>
        <v>1.3435944809098634</v>
      </c>
      <c r="AM871">
        <f t="shared" ca="1" si="351"/>
        <v>1.4263273087709603</v>
      </c>
      <c r="AN871">
        <f t="shared" ca="1" si="352"/>
        <v>1.4792637016885954</v>
      </c>
    </row>
    <row r="872" spans="2:40" x14ac:dyDescent="0.25">
      <c r="B872" s="1">
        <v>44785</v>
      </c>
      <c r="C872">
        <v>132.82400000000001</v>
      </c>
      <c r="D872">
        <v>119.64</v>
      </c>
      <c r="E872">
        <v>346.78300000000002</v>
      </c>
      <c r="G872">
        <v>125979.6</v>
      </c>
      <c r="I872" s="14">
        <f t="shared" si="335"/>
        <v>3.4930380782446813E-2</v>
      </c>
      <c r="J872" s="15">
        <f t="shared" si="336"/>
        <v>-6.5598272855601492E-3</v>
      </c>
      <c r="K872" s="15">
        <f t="shared" si="337"/>
        <v>5.788126622514933E-2</v>
      </c>
      <c r="L872" s="15"/>
      <c r="M872" s="16">
        <f t="shared" si="338"/>
        <v>4.112016224270465E-2</v>
      </c>
      <c r="O872" s="13">
        <f t="shared" si="339"/>
        <v>2.8750606574011999E-2</v>
      </c>
      <c r="Q872" s="5">
        <f t="shared" si="340"/>
        <v>14380.45298154895</v>
      </c>
      <c r="R872" s="6">
        <f t="shared" si="341"/>
        <v>7794.3685848455443</v>
      </c>
      <c r="T872" s="11">
        <f t="shared" si="342"/>
        <v>1.8449798498763088</v>
      </c>
      <c r="V872" s="9">
        <v>44785</v>
      </c>
      <c r="W872">
        <v>394100</v>
      </c>
      <c r="X872">
        <v>684339.74450000003</v>
      </c>
      <c r="Y872">
        <v>212383.65330000001</v>
      </c>
      <c r="AC872" s="24">
        <f t="shared" si="343"/>
        <v>1.6060156890112955E-2</v>
      </c>
      <c r="AE872" s="5">
        <f t="shared" si="344"/>
        <v>10554.07491888024</v>
      </c>
      <c r="AF872" s="6">
        <f t="shared" si="345"/>
        <v>7794.3685848455443</v>
      </c>
      <c r="AH872" s="1">
        <f t="shared" si="346"/>
        <v>44785</v>
      </c>
      <c r="AI872">
        <f t="shared" si="347"/>
        <v>1.3540641302748173</v>
      </c>
      <c r="AJ872">
        <f t="shared" ca="1" si="348"/>
        <v>1.2531219084774579</v>
      </c>
      <c r="AK872">
        <f t="shared" ca="1" si="349"/>
        <v>1.2833275989220152</v>
      </c>
      <c r="AL872">
        <f t="shared" ca="1" si="350"/>
        <v>1.3499793518551544</v>
      </c>
      <c r="AM872">
        <f t="shared" ca="1" si="351"/>
        <v>1.4263273087709603</v>
      </c>
      <c r="AN872">
        <f t="shared" ca="1" si="352"/>
        <v>1.4792637016885954</v>
      </c>
    </row>
    <row r="873" spans="2:40" x14ac:dyDescent="0.25">
      <c r="B873" s="1">
        <v>44792</v>
      </c>
      <c r="C873">
        <v>134.00299999999999</v>
      </c>
      <c r="D873">
        <v>126.94499999999999</v>
      </c>
      <c r="E873">
        <v>377.13099999999997</v>
      </c>
      <c r="G873">
        <v>131009.1</v>
      </c>
      <c r="I873" s="14">
        <f t="shared" si="335"/>
        <v>8.8764078780940725E-3</v>
      </c>
      <c r="J873" s="15">
        <f t="shared" si="336"/>
        <v>6.1058174523570541E-2</v>
      </c>
      <c r="K873" s="15">
        <f t="shared" si="337"/>
        <v>8.7512940369049108E-2</v>
      </c>
      <c r="L873" s="15"/>
      <c r="M873" s="16">
        <f t="shared" si="338"/>
        <v>3.9923130411590346E-2</v>
      </c>
      <c r="O873" s="13">
        <f t="shared" si="339"/>
        <v>5.2482507590237905E-2</v>
      </c>
      <c r="Q873" s="5">
        <f t="shared" si="340"/>
        <v>15135.175214304152</v>
      </c>
      <c r="R873" s="6">
        <f t="shared" si="341"/>
        <v>8105.5441783343358</v>
      </c>
      <c r="T873" s="11">
        <f t="shared" si="342"/>
        <v>1.8672620716520953</v>
      </c>
      <c r="V873" s="9">
        <v>44792</v>
      </c>
      <c r="W873">
        <v>397600</v>
      </c>
      <c r="X873">
        <v>726122.86419999995</v>
      </c>
      <c r="Y873">
        <v>230970.15</v>
      </c>
      <c r="AC873" s="24">
        <f t="shared" si="343"/>
        <v>4.9479305994384465E-2</v>
      </c>
      <c r="AE873" s="5">
        <f t="shared" si="344"/>
        <v>11076.283221279175</v>
      </c>
      <c r="AF873" s="6">
        <f t="shared" si="345"/>
        <v>8105.5441783343358</v>
      </c>
      <c r="AH873" s="1">
        <f t="shared" si="346"/>
        <v>44792</v>
      </c>
      <c r="AI873">
        <f t="shared" si="347"/>
        <v>1.3665070447565333</v>
      </c>
      <c r="AJ873">
        <f t="shared" ca="1" si="348"/>
        <v>1.2531219084774579</v>
      </c>
      <c r="AK873">
        <f t="shared" ca="1" si="349"/>
        <v>1.2833275989220152</v>
      </c>
      <c r="AL873">
        <f t="shared" ca="1" si="350"/>
        <v>1.3502101856495825</v>
      </c>
      <c r="AM873">
        <f t="shared" ca="1" si="351"/>
        <v>1.4263273087709603</v>
      </c>
      <c r="AN873">
        <f t="shared" ca="1" si="352"/>
        <v>1.4792637016885954</v>
      </c>
    </row>
    <row r="874" spans="2:40" x14ac:dyDescent="0.25">
      <c r="B874" s="1">
        <v>44799</v>
      </c>
      <c r="C874">
        <v>138.72200000000001</v>
      </c>
      <c r="D874">
        <v>140.37</v>
      </c>
      <c r="E874">
        <v>378.32600000000002</v>
      </c>
      <c r="G874">
        <v>141460</v>
      </c>
      <c r="I874" s="14">
        <f t="shared" si="335"/>
        <v>3.5215629500832346E-2</v>
      </c>
      <c r="J874" s="15">
        <f t="shared" si="336"/>
        <v>0.1057544605931704</v>
      </c>
      <c r="K874" s="15">
        <f t="shared" si="337"/>
        <v>3.1686602268179431E-3</v>
      </c>
      <c r="L874" s="15"/>
      <c r="M874" s="16">
        <f t="shared" si="338"/>
        <v>7.9772321159369719E-2</v>
      </c>
      <c r="O874" s="13">
        <f t="shared" si="339"/>
        <v>4.8046250106940226E-2</v>
      </c>
      <c r="Q874" s="5">
        <f t="shared" si="340"/>
        <v>15862.363628062973</v>
      </c>
      <c r="R874" s="6">
        <f t="shared" si="341"/>
        <v>8752.1422516998828</v>
      </c>
      <c r="T874" s="11">
        <f t="shared" si="342"/>
        <v>1.8123978303691428</v>
      </c>
      <c r="V874" s="9">
        <v>44799</v>
      </c>
      <c r="W874">
        <v>411600</v>
      </c>
      <c r="X874">
        <v>802913.46259999997</v>
      </c>
      <c r="Y874">
        <v>231701.90179999999</v>
      </c>
      <c r="AC874" s="24">
        <f t="shared" si="343"/>
        <v>6.7560938962474684E-2</v>
      </c>
      <c r="AE874" s="5">
        <f t="shared" si="344"/>
        <v>11824.6073159231</v>
      </c>
      <c r="AF874" s="6">
        <f t="shared" si="345"/>
        <v>8752.1422516998828</v>
      </c>
      <c r="AH874" s="1">
        <f t="shared" si="346"/>
        <v>44799</v>
      </c>
      <c r="AI874">
        <f t="shared" si="347"/>
        <v>1.3510529166303791</v>
      </c>
      <c r="AJ874">
        <f t="shared" ca="1" si="348"/>
        <v>1.2531219084774579</v>
      </c>
      <c r="AK874">
        <f t="shared" ca="1" si="349"/>
        <v>1.2833275989220152</v>
      </c>
      <c r="AL874">
        <f t="shared" ca="1" si="350"/>
        <v>1.3502101856495825</v>
      </c>
      <c r="AM874">
        <f t="shared" ca="1" si="351"/>
        <v>1.4263273087709603</v>
      </c>
      <c r="AN874">
        <f t="shared" ca="1" si="352"/>
        <v>1.4792637016885954</v>
      </c>
    </row>
    <row r="875" spans="2:40" x14ac:dyDescent="0.25">
      <c r="B875" s="1">
        <v>44806</v>
      </c>
      <c r="C875">
        <v>138.958</v>
      </c>
      <c r="D875">
        <v>139.18600000000001</v>
      </c>
      <c r="E875">
        <v>350.89299999999997</v>
      </c>
      <c r="G875">
        <v>136340.29999999999</v>
      </c>
      <c r="I875" s="14">
        <f t="shared" si="335"/>
        <v>1.7012442150488027E-3</v>
      </c>
      <c r="J875" s="15">
        <f t="shared" si="336"/>
        <v>-8.4348507515851212E-3</v>
      </c>
      <c r="K875" s="15">
        <f t="shared" si="337"/>
        <v>-7.2511537668571657E-2</v>
      </c>
      <c r="L875" s="15"/>
      <c r="M875" s="16">
        <f t="shared" si="338"/>
        <v>-3.6191856355153429E-2</v>
      </c>
      <c r="O875" s="13">
        <f t="shared" si="339"/>
        <v>-2.6415048068369324E-2</v>
      </c>
      <c r="Q875" s="5">
        <f t="shared" si="340"/>
        <v>15443.358530349735</v>
      </c>
      <c r="R875" s="6">
        <f t="shared" si="341"/>
        <v>8435.3859765264915</v>
      </c>
      <c r="T875" s="11">
        <f t="shared" si="342"/>
        <v>1.8307826782703989</v>
      </c>
      <c r="V875" s="9">
        <v>44806</v>
      </c>
      <c r="W875">
        <v>412300</v>
      </c>
      <c r="X875">
        <v>796137.82160000002</v>
      </c>
      <c r="Y875">
        <v>214900.87959999999</v>
      </c>
      <c r="AC875" s="24">
        <f t="shared" si="343"/>
        <v>-1.5815959951646141E-2</v>
      </c>
      <c r="AE875" s="5">
        <f t="shared" si="344"/>
        <v>11637.589800170519</v>
      </c>
      <c r="AF875" s="6">
        <f t="shared" si="345"/>
        <v>8435.3859765264915</v>
      </c>
      <c r="AH875" s="1">
        <f t="shared" si="346"/>
        <v>44806</v>
      </c>
      <c r="AI875">
        <f t="shared" si="347"/>
        <v>1.3796155662058545</v>
      </c>
      <c r="AJ875">
        <f t="shared" ca="1" si="348"/>
        <v>1.2531219084774579</v>
      </c>
      <c r="AK875">
        <f t="shared" ca="1" si="349"/>
        <v>1.286684983473271</v>
      </c>
      <c r="AL875">
        <f t="shared" ca="1" si="350"/>
        <v>1.3525585234525983</v>
      </c>
      <c r="AM875">
        <f t="shared" ca="1" si="351"/>
        <v>1.4263273087709603</v>
      </c>
      <c r="AN875">
        <f t="shared" ca="1" si="352"/>
        <v>1.4792637016885954</v>
      </c>
    </row>
    <row r="876" spans="2:40" x14ac:dyDescent="0.25">
      <c r="B876" s="1">
        <v>44813</v>
      </c>
      <c r="C876">
        <v>132.11600000000001</v>
      </c>
      <c r="D876">
        <v>132.86799999999999</v>
      </c>
      <c r="E876">
        <v>368.09800000000001</v>
      </c>
      <c r="G876">
        <v>144642.20000000001</v>
      </c>
      <c r="I876" s="14">
        <f t="shared" si="335"/>
        <v>-4.9237899221347359E-2</v>
      </c>
      <c r="J876" s="15">
        <f t="shared" si="336"/>
        <v>-4.539249637176157E-2</v>
      </c>
      <c r="K876" s="15">
        <f t="shared" si="337"/>
        <v>4.9032041106548352E-2</v>
      </c>
      <c r="L876" s="15"/>
      <c r="M876" s="16">
        <f t="shared" si="338"/>
        <v>6.0891020483305525E-2</v>
      </c>
      <c r="O876" s="13">
        <f t="shared" si="339"/>
        <v>-1.5199451495520192E-2</v>
      </c>
      <c r="Q876" s="5">
        <f t="shared" si="340"/>
        <v>15208.627951439757</v>
      </c>
      <c r="R876" s="6">
        <f t="shared" si="341"/>
        <v>8949.0252368077545</v>
      </c>
      <c r="T876" s="11">
        <f t="shared" si="342"/>
        <v>1.6994731324352474</v>
      </c>
      <c r="V876" s="9">
        <v>44813</v>
      </c>
      <c r="W876">
        <v>392000</v>
      </c>
      <c r="X876">
        <v>760001.06940000004</v>
      </c>
      <c r="Y876">
        <v>225438.1061</v>
      </c>
      <c r="AC876" s="24">
        <f t="shared" si="343"/>
        <v>-3.2249836406669244E-2</v>
      </c>
      <c r="AE876" s="5">
        <f t="shared" si="344"/>
        <v>11262.279432947098</v>
      </c>
      <c r="AF876" s="6">
        <f t="shared" si="345"/>
        <v>8949.0252368077545</v>
      </c>
      <c r="AH876" s="1">
        <f t="shared" si="346"/>
        <v>44813</v>
      </c>
      <c r="AI876">
        <f t="shared" si="347"/>
        <v>1.2584923089304543</v>
      </c>
      <c r="AJ876">
        <f t="shared" ca="1" si="348"/>
        <v>1.2531219084774579</v>
      </c>
      <c r="AK876">
        <f t="shared" ca="1" si="349"/>
        <v>1.286684983473271</v>
      </c>
      <c r="AL876">
        <f t="shared" ca="1" si="350"/>
        <v>1.3584866739089274</v>
      </c>
      <c r="AM876">
        <f t="shared" ca="1" si="351"/>
        <v>1.4263273087709603</v>
      </c>
      <c r="AN876">
        <f t="shared" ca="1" si="352"/>
        <v>1.4792637016885954</v>
      </c>
    </row>
    <row r="877" spans="2:40" x14ac:dyDescent="0.25">
      <c r="B877" s="1">
        <v>44820</v>
      </c>
      <c r="C877">
        <v>126.218</v>
      </c>
      <c r="D877">
        <v>127.735</v>
      </c>
      <c r="E877">
        <v>367.76400000000001</v>
      </c>
      <c r="G877">
        <v>145741.79999999999</v>
      </c>
      <c r="I877" s="14">
        <f t="shared" si="335"/>
        <v>-4.4642586817645213E-2</v>
      </c>
      <c r="J877" s="15">
        <f t="shared" si="336"/>
        <v>-3.8632326820603913E-2</v>
      </c>
      <c r="K877" s="15">
        <f t="shared" si="337"/>
        <v>-9.0736705985905441E-4</v>
      </c>
      <c r="L877" s="15"/>
      <c r="M877" s="16">
        <f t="shared" si="338"/>
        <v>7.602207377929604E-3</v>
      </c>
      <c r="O877" s="13">
        <f t="shared" si="339"/>
        <v>-2.8060760232702726E-2</v>
      </c>
      <c r="Q877" s="5">
        <f t="shared" si="340"/>
        <v>14781.862289026025</v>
      </c>
      <c r="R877" s="6">
        <f t="shared" si="341"/>
        <v>9017.0575824882926</v>
      </c>
      <c r="T877" s="11">
        <f t="shared" si="342"/>
        <v>1.6393221573446926</v>
      </c>
      <c r="V877" s="9">
        <v>44820</v>
      </c>
      <c r="W877">
        <v>374500</v>
      </c>
      <c r="X877">
        <v>730639.95819999999</v>
      </c>
      <c r="Y877">
        <v>225233.2156</v>
      </c>
      <c r="AC877" s="24">
        <f t="shared" si="343"/>
        <v>-3.4168520598388014E-2</v>
      </c>
      <c r="AE877" s="5">
        <f t="shared" si="344"/>
        <v>10877.464006157643</v>
      </c>
      <c r="AF877" s="6">
        <f t="shared" si="345"/>
        <v>9017.0575824882926</v>
      </c>
      <c r="AH877" s="1">
        <f t="shared" si="346"/>
        <v>44820</v>
      </c>
      <c r="AI877">
        <f t="shared" si="347"/>
        <v>1.206320787757015</v>
      </c>
      <c r="AJ877">
        <f t="shared" ca="1" si="348"/>
        <v>1.2531219084774579</v>
      </c>
      <c r="AK877">
        <f t="shared" ca="1" si="349"/>
        <v>1.286684983473271</v>
      </c>
      <c r="AL877">
        <f t="shared" ca="1" si="350"/>
        <v>1.3584866739089274</v>
      </c>
      <c r="AM877">
        <f t="shared" ca="1" si="351"/>
        <v>1.4263273087709603</v>
      </c>
      <c r="AN877">
        <f t="shared" ca="1" si="352"/>
        <v>1.4792637016885954</v>
      </c>
    </row>
    <row r="878" spans="2:40" x14ac:dyDescent="0.25">
      <c r="B878" s="1">
        <v>44827</v>
      </c>
      <c r="C878">
        <v>128.34100000000001</v>
      </c>
      <c r="D878">
        <v>128.91900000000001</v>
      </c>
      <c r="E878">
        <v>363.12799999999999</v>
      </c>
      <c r="G878">
        <v>142931.70000000001</v>
      </c>
      <c r="I878" s="14">
        <f t="shared" si="335"/>
        <v>1.682010489787511E-2</v>
      </c>
      <c r="J878" s="15">
        <f t="shared" si="336"/>
        <v>9.2691901201706894E-3</v>
      </c>
      <c r="K878" s="15">
        <f t="shared" si="337"/>
        <v>-1.2605910312048052E-2</v>
      </c>
      <c r="L878" s="15"/>
      <c r="M878" s="16">
        <f t="shared" si="338"/>
        <v>-1.9281359225698957E-2</v>
      </c>
      <c r="O878" s="13">
        <f t="shared" si="339"/>
        <v>4.4944615686659155E-3</v>
      </c>
      <c r="Q878" s="5">
        <f t="shared" si="340"/>
        <v>14848.298800997365</v>
      </c>
      <c r="R878" s="6">
        <f t="shared" si="341"/>
        <v>8843.1964560815231</v>
      </c>
      <c r="T878" s="11">
        <f t="shared" si="342"/>
        <v>1.6790646769795659</v>
      </c>
      <c r="V878" s="9">
        <v>44827</v>
      </c>
      <c r="W878">
        <v>380800</v>
      </c>
      <c r="X878">
        <v>737415.5993</v>
      </c>
      <c r="Y878">
        <v>222394.01850000001</v>
      </c>
      <c r="AC878" s="24">
        <f t="shared" si="343"/>
        <v>7.6913007963238383E-3</v>
      </c>
      <c r="AE878" s="5">
        <f t="shared" si="344"/>
        <v>10961.125853730186</v>
      </c>
      <c r="AF878" s="6">
        <f t="shared" si="345"/>
        <v>8843.1964560815231</v>
      </c>
      <c r="AH878" s="1">
        <f t="shared" si="346"/>
        <v>44827</v>
      </c>
      <c r="AI878">
        <f t="shared" si="347"/>
        <v>1.2394981733321269</v>
      </c>
      <c r="AJ878">
        <f t="shared" ca="1" si="348"/>
        <v>1.2531219084774579</v>
      </c>
      <c r="AK878">
        <f t="shared" ca="1" si="349"/>
        <v>1.286684983473271</v>
      </c>
      <c r="AL878">
        <f t="shared" ca="1" si="350"/>
        <v>1.3584866739089274</v>
      </c>
      <c r="AM878">
        <f t="shared" ca="1" si="351"/>
        <v>1.4263273087709603</v>
      </c>
      <c r="AN878">
        <f t="shared" ca="1" si="352"/>
        <v>1.4792637016885954</v>
      </c>
    </row>
    <row r="879" spans="2:40" x14ac:dyDescent="0.25">
      <c r="B879" s="1">
        <v>44834</v>
      </c>
      <c r="C879">
        <v>128.577</v>
      </c>
      <c r="D879">
        <v>130.30099999999999</v>
      </c>
      <c r="E879">
        <v>372.73399999999998</v>
      </c>
      <c r="G879">
        <v>139115.1</v>
      </c>
      <c r="I879" s="14">
        <f t="shared" si="335"/>
        <v>1.8388511855134126E-3</v>
      </c>
      <c r="J879" s="15">
        <f t="shared" si="336"/>
        <v>1.071990940047618E-2</v>
      </c>
      <c r="K879" s="15">
        <f t="shared" si="337"/>
        <v>2.6453481967790848E-2</v>
      </c>
      <c r="L879" s="15"/>
      <c r="M879" s="16">
        <f t="shared" si="338"/>
        <v>-2.6702264088372285E-2</v>
      </c>
      <c r="O879" s="13">
        <f t="shared" si="339"/>
        <v>1.3004080851260147E-2</v>
      </c>
      <c r="Q879" s="5">
        <f t="shared" si="340"/>
        <v>15041.387279109204</v>
      </c>
      <c r="R879" s="6">
        <f t="shared" si="341"/>
        <v>8607.0630889258773</v>
      </c>
      <c r="T879" s="11">
        <f t="shared" si="342"/>
        <v>1.7475632656233151</v>
      </c>
      <c r="V879" s="9">
        <v>44834</v>
      </c>
      <c r="W879">
        <v>381500</v>
      </c>
      <c r="X879">
        <v>745320.51379999996</v>
      </c>
      <c r="Y879">
        <v>228277.30319999999</v>
      </c>
      <c r="AC879" s="24">
        <f t="shared" si="343"/>
        <v>1.0807291632255847E-2</v>
      </c>
      <c r="AE879" s="5">
        <f t="shared" si="344"/>
        <v>11079.585937449308</v>
      </c>
      <c r="AF879" s="6">
        <f t="shared" si="345"/>
        <v>8607.0630889258773</v>
      </c>
      <c r="AH879" s="1">
        <f t="shared" si="346"/>
        <v>44834</v>
      </c>
      <c r="AI879">
        <f t="shared" si="347"/>
        <v>1.2872667276837622</v>
      </c>
      <c r="AJ879">
        <f t="shared" ca="1" si="348"/>
        <v>1.2408598359834653</v>
      </c>
      <c r="AK879">
        <f t="shared" ca="1" si="349"/>
        <v>1.286684983473271</v>
      </c>
      <c r="AL879">
        <f t="shared" ca="1" si="350"/>
        <v>1.3584866739089274</v>
      </c>
      <c r="AM879">
        <f t="shared" ca="1" si="351"/>
        <v>1.4263273087709603</v>
      </c>
      <c r="AN879">
        <f t="shared" ca="1" si="352"/>
        <v>1.4792637016885954</v>
      </c>
    </row>
    <row r="880" spans="2:40" x14ac:dyDescent="0.25">
      <c r="B880" s="1">
        <v>44841</v>
      </c>
      <c r="C880">
        <v>126.45399999999999</v>
      </c>
      <c r="D880">
        <v>121.22</v>
      </c>
      <c r="E880">
        <v>401.02699999999999</v>
      </c>
      <c r="G880">
        <v>144645.29999999999</v>
      </c>
      <c r="I880" s="14">
        <f t="shared" si="335"/>
        <v>-1.651150672359758E-2</v>
      </c>
      <c r="J880" s="15">
        <f t="shared" si="336"/>
        <v>-6.969248125494043E-2</v>
      </c>
      <c r="K880" s="15">
        <f t="shared" si="337"/>
        <v>7.5906678757505341E-2</v>
      </c>
      <c r="L880" s="15"/>
      <c r="M880" s="16">
        <f t="shared" si="338"/>
        <v>3.9752693992240795E-2</v>
      </c>
      <c r="O880" s="13">
        <f t="shared" si="339"/>
        <v>-3.4324364070108895E-3</v>
      </c>
      <c r="Q880" s="5">
        <f t="shared" si="340"/>
        <v>14989.758673800439</v>
      </c>
      <c r="R880" s="6">
        <f t="shared" si="341"/>
        <v>8949.2170340718585</v>
      </c>
      <c r="T880" s="11">
        <f t="shared" si="342"/>
        <v>1.6749799023457317</v>
      </c>
      <c r="V880" s="9">
        <v>44841</v>
      </c>
      <c r="W880">
        <v>375200</v>
      </c>
      <c r="X880">
        <v>693373.9325</v>
      </c>
      <c r="Y880">
        <v>245605.18669999999</v>
      </c>
      <c r="AC880" s="24">
        <f t="shared" si="343"/>
        <v>-3.0193099949735583E-2</v>
      </c>
      <c r="AE880" s="5">
        <f t="shared" si="344"/>
        <v>10745.058891838216</v>
      </c>
      <c r="AF880" s="6">
        <f t="shared" si="345"/>
        <v>8949.2170340718585</v>
      </c>
      <c r="AH880" s="1">
        <f t="shared" si="346"/>
        <v>44841</v>
      </c>
      <c r="AI880">
        <f t="shared" si="347"/>
        <v>1.2006702766207533</v>
      </c>
      <c r="AJ880">
        <f t="shared" ca="1" si="348"/>
        <v>1.2534777396407597</v>
      </c>
      <c r="AK880">
        <f t="shared" ca="1" si="349"/>
        <v>1.2874594440195251</v>
      </c>
      <c r="AL880">
        <f t="shared" ca="1" si="350"/>
        <v>1.3584866739089274</v>
      </c>
      <c r="AM880">
        <f t="shared" ca="1" si="351"/>
        <v>1.4263273087709603</v>
      </c>
      <c r="AN880">
        <f t="shared" ca="1" si="352"/>
        <v>1.4792637016885954</v>
      </c>
    </row>
    <row r="881" spans="2:40" x14ac:dyDescent="0.25">
      <c r="B881" s="1">
        <v>44848</v>
      </c>
      <c r="C881">
        <v>119.376</v>
      </c>
      <c r="D881">
        <v>117.666</v>
      </c>
      <c r="E881">
        <v>378.27800000000002</v>
      </c>
      <c r="G881">
        <v>137290.70000000001</v>
      </c>
      <c r="I881" s="14">
        <f t="shared" si="335"/>
        <v>-5.597292296012768E-2</v>
      </c>
      <c r="J881" s="15">
        <f t="shared" si="336"/>
        <v>-2.931859429137107E-2</v>
      </c>
      <c r="K881" s="15">
        <f t="shared" si="337"/>
        <v>-5.6726853802861021E-2</v>
      </c>
      <c r="L881" s="15"/>
      <c r="M881" s="16">
        <f t="shared" si="338"/>
        <v>-5.0845758555583709E-2</v>
      </c>
      <c r="O881" s="13">
        <f t="shared" si="339"/>
        <v>-4.7339457018119924E-2</v>
      </c>
      <c r="Q881" s="5">
        <f t="shared" si="340"/>
        <v>14280.151637350073</v>
      </c>
      <c r="R881" s="6">
        <f t="shared" si="341"/>
        <v>8494.1873054959233</v>
      </c>
      <c r="T881" s="11">
        <f t="shared" si="342"/>
        <v>1.6811675000515358</v>
      </c>
      <c r="V881" s="9">
        <v>44848</v>
      </c>
      <c r="W881">
        <v>354200</v>
      </c>
      <c r="X881">
        <v>673047.00939999998</v>
      </c>
      <c r="Y881">
        <v>231644.33559999999</v>
      </c>
      <c r="AC881" s="24">
        <f t="shared" si="343"/>
        <v>-4.2050736026467826E-2</v>
      </c>
      <c r="AE881" s="5">
        <f t="shared" si="344"/>
        <v>10293.221256788676</v>
      </c>
      <c r="AF881" s="6">
        <f t="shared" si="345"/>
        <v>8494.1873054959233</v>
      </c>
      <c r="AH881" s="1">
        <f t="shared" si="346"/>
        <v>44848</v>
      </c>
      <c r="AI881">
        <f t="shared" si="347"/>
        <v>1.211795888952053</v>
      </c>
      <c r="AJ881">
        <f t="shared" ca="1" si="348"/>
        <v>1.2534777396407597</v>
      </c>
      <c r="AK881">
        <f t="shared" ca="1" si="349"/>
        <v>1.2874594440195251</v>
      </c>
      <c r="AL881">
        <f t="shared" ca="1" si="350"/>
        <v>1.3584866739089274</v>
      </c>
      <c r="AM881">
        <f t="shared" ca="1" si="351"/>
        <v>1.4263273087709603</v>
      </c>
      <c r="AN881">
        <f t="shared" ca="1" si="352"/>
        <v>1.4792637016885954</v>
      </c>
    </row>
    <row r="882" spans="2:40" x14ac:dyDescent="0.25">
      <c r="B882" s="1">
        <v>44855</v>
      </c>
      <c r="C882">
        <v>113.714</v>
      </c>
      <c r="D882">
        <v>120.627</v>
      </c>
      <c r="E882">
        <v>375.21899999999999</v>
      </c>
      <c r="G882">
        <v>138944.79999999999</v>
      </c>
      <c r="I882" s="14">
        <f t="shared" si="335"/>
        <v>-4.7429969173033104E-2</v>
      </c>
      <c r="J882" s="15">
        <f t="shared" si="336"/>
        <v>2.516444852378763E-2</v>
      </c>
      <c r="K882" s="15">
        <f t="shared" si="337"/>
        <v>-8.0866452714670745E-3</v>
      </c>
      <c r="L882" s="15"/>
      <c r="M882" s="16">
        <f t="shared" si="338"/>
        <v>1.2048157668363313E-2</v>
      </c>
      <c r="O882" s="13">
        <f t="shared" si="339"/>
        <v>-1.0117388640237516E-2</v>
      </c>
      <c r="Q882" s="5">
        <f t="shared" si="340"/>
        <v>14135.673793393478</v>
      </c>
      <c r="R882" s="6">
        <f t="shared" si="341"/>
        <v>8596.5266134171488</v>
      </c>
      <c r="T882" s="11">
        <f t="shared" si="342"/>
        <v>1.644347121700412</v>
      </c>
      <c r="V882" s="9">
        <v>44855</v>
      </c>
      <c r="W882">
        <v>337400</v>
      </c>
      <c r="X882">
        <v>689986.11199999996</v>
      </c>
      <c r="Y882">
        <v>229714.0459</v>
      </c>
      <c r="AC882" s="24">
        <f t="shared" si="343"/>
        <v>-1.3790418346983611E-3</v>
      </c>
      <c r="AE882" s="5">
        <f t="shared" si="344"/>
        <v>10279.026474061759</v>
      </c>
      <c r="AF882" s="6">
        <f t="shared" si="345"/>
        <v>8596.5266134171488</v>
      </c>
      <c r="AH882" s="1">
        <f t="shared" si="346"/>
        <v>44855</v>
      </c>
      <c r="AI882">
        <f t="shared" si="347"/>
        <v>1.1957185659169163</v>
      </c>
      <c r="AJ882">
        <f t="shared" ca="1" si="348"/>
        <v>1.2534777396407597</v>
      </c>
      <c r="AK882">
        <f t="shared" ca="1" si="349"/>
        <v>1.2874594440195251</v>
      </c>
      <c r="AL882">
        <f t="shared" ca="1" si="350"/>
        <v>1.3584866739089274</v>
      </c>
      <c r="AM882">
        <f t="shared" ca="1" si="351"/>
        <v>1.4263273087709603</v>
      </c>
      <c r="AN882">
        <f t="shared" ca="1" si="352"/>
        <v>1.4792637016885954</v>
      </c>
    </row>
    <row r="883" spans="2:40" x14ac:dyDescent="0.25">
      <c r="B883" s="1">
        <v>44862</v>
      </c>
      <c r="C883">
        <v>130.93700000000001</v>
      </c>
      <c r="D883">
        <v>138.988</v>
      </c>
      <c r="E883">
        <v>389.84399999999999</v>
      </c>
      <c r="G883">
        <v>147845.4</v>
      </c>
      <c r="I883" s="14">
        <f t="shared" si="335"/>
        <v>0.15145892326362631</v>
      </c>
      <c r="J883" s="15">
        <f t="shared" si="336"/>
        <v>0.15221302030225403</v>
      </c>
      <c r="K883" s="15">
        <f t="shared" si="337"/>
        <v>3.897723729342073E-2</v>
      </c>
      <c r="L883" s="15"/>
      <c r="M883" s="16">
        <f t="shared" si="338"/>
        <v>6.405853259711769E-2</v>
      </c>
      <c r="O883" s="13">
        <f t="shared" si="339"/>
        <v>0.11421639361976703</v>
      </c>
      <c r="Q883" s="5">
        <f t="shared" si="340"/>
        <v>15750.199475460335</v>
      </c>
      <c r="R883" s="6">
        <f t="shared" si="341"/>
        <v>9147.2074937047219</v>
      </c>
      <c r="T883" s="11">
        <f t="shared" si="342"/>
        <v>1.7218587734343966</v>
      </c>
      <c r="V883" s="9">
        <v>44862</v>
      </c>
      <c r="W883">
        <v>388500</v>
      </c>
      <c r="X883">
        <v>795008.54799999995</v>
      </c>
      <c r="Y883">
        <v>238667.36369999999</v>
      </c>
      <c r="AC883" s="24">
        <f t="shared" si="343"/>
        <v>0.13131867705411962</v>
      </c>
      <c r="AE883" s="5">
        <f t="shared" si="344"/>
        <v>11628.854632039822</v>
      </c>
      <c r="AF883" s="6">
        <f t="shared" si="345"/>
        <v>9147.2074937047219</v>
      </c>
      <c r="AH883" s="1">
        <f t="shared" si="346"/>
        <v>44862</v>
      </c>
      <c r="AI883">
        <f t="shared" si="347"/>
        <v>1.2713010653844918</v>
      </c>
      <c r="AJ883">
        <f t="shared" ca="1" si="348"/>
        <v>1.2534777396407597</v>
      </c>
      <c r="AK883">
        <f t="shared" ca="1" si="349"/>
        <v>1.2874594440195251</v>
      </c>
      <c r="AL883">
        <f t="shared" ca="1" si="350"/>
        <v>1.3584866739089274</v>
      </c>
      <c r="AM883">
        <f t="shared" ca="1" si="351"/>
        <v>1.4263273087709603</v>
      </c>
      <c r="AN883">
        <f t="shared" ca="1" si="352"/>
        <v>1.4792637016885954</v>
      </c>
    </row>
    <row r="884" spans="2:40" x14ac:dyDescent="0.25">
      <c r="B884" s="1">
        <v>44869</v>
      </c>
      <c r="C884">
        <v>131.172</v>
      </c>
      <c r="D884">
        <v>134.84200000000001</v>
      </c>
      <c r="E884">
        <v>403.89499999999998</v>
      </c>
      <c r="G884">
        <v>151263.29999999999</v>
      </c>
      <c r="I884" s="14">
        <f t="shared" si="335"/>
        <v>1.7947562568256803E-3</v>
      </c>
      <c r="J884" s="15">
        <f t="shared" si="336"/>
        <v>-2.9829913373816352E-2</v>
      </c>
      <c r="K884" s="15">
        <f t="shared" si="337"/>
        <v>3.6042622177075989E-2</v>
      </c>
      <c r="L884" s="15"/>
      <c r="M884" s="16">
        <f t="shared" si="338"/>
        <v>2.3118067927713648E-2</v>
      </c>
      <c r="O884" s="13">
        <f t="shared" si="339"/>
        <v>2.6691550200284389E-3</v>
      </c>
      <c r="Q884" s="5">
        <f t="shared" si="340"/>
        <v>15792.239199456708</v>
      </c>
      <c r="R884" s="6">
        <f t="shared" si="341"/>
        <v>9358.6732578930787</v>
      </c>
      <c r="T884" s="11">
        <f t="shared" si="342"/>
        <v>1.6874442310652931</v>
      </c>
      <c r="V884" s="9">
        <v>44869</v>
      </c>
      <c r="W884">
        <v>389200</v>
      </c>
      <c r="X884">
        <v>771293.80440000002</v>
      </c>
      <c r="Y884">
        <v>247117.1813</v>
      </c>
      <c r="AC884" s="24">
        <f t="shared" si="343"/>
        <v>-1.0136281720196753E-2</v>
      </c>
      <c r="AE884" s="5">
        <f t="shared" si="344"/>
        <v>11510.981285406251</v>
      </c>
      <c r="AF884" s="6">
        <f t="shared" si="345"/>
        <v>9358.6732578930787</v>
      </c>
      <c r="AH884" s="1">
        <f t="shared" si="346"/>
        <v>44869</v>
      </c>
      <c r="AI884">
        <f t="shared" si="347"/>
        <v>1.2299800375761512</v>
      </c>
      <c r="AJ884">
        <f t="shared" ca="1" si="348"/>
        <v>1.2534777396407597</v>
      </c>
      <c r="AK884">
        <f t="shared" ca="1" si="349"/>
        <v>1.2874594440195251</v>
      </c>
      <c r="AL884">
        <f t="shared" ca="1" si="350"/>
        <v>1.3584866739089274</v>
      </c>
      <c r="AM884">
        <f t="shared" ca="1" si="351"/>
        <v>1.4263273087709603</v>
      </c>
      <c r="AN884">
        <f t="shared" ca="1" si="352"/>
        <v>1.4792637016885954</v>
      </c>
    </row>
    <row r="885" spans="2:40" x14ac:dyDescent="0.25">
      <c r="B885" s="1">
        <v>44876</v>
      </c>
      <c r="C885">
        <v>142.642</v>
      </c>
      <c r="D885">
        <v>146.49</v>
      </c>
      <c r="E885">
        <v>379.80799999999999</v>
      </c>
      <c r="G885">
        <v>150413.4</v>
      </c>
      <c r="I885" s="14">
        <f t="shared" si="335"/>
        <v>8.7442441984569852E-2</v>
      </c>
      <c r="J885" s="15">
        <f t="shared" si="336"/>
        <v>8.6382581094911037E-2</v>
      </c>
      <c r="K885" s="15">
        <f t="shared" si="337"/>
        <v>-5.963678678864559E-2</v>
      </c>
      <c r="L885" s="15"/>
      <c r="M885" s="16">
        <f t="shared" si="338"/>
        <v>-5.6186794814075958E-3</v>
      </c>
      <c r="O885" s="13">
        <f t="shared" si="339"/>
        <v>3.8062745430278433E-2</v>
      </c>
      <c r="Q885" s="5">
        <f t="shared" si="340"/>
        <v>16393.335179879694</v>
      </c>
      <c r="R885" s="6">
        <f t="shared" si="341"/>
        <v>9306.0898724857561</v>
      </c>
      <c r="T885" s="11">
        <f t="shared" si="342"/>
        <v>1.7615706923643601</v>
      </c>
      <c r="V885" s="9">
        <v>44876</v>
      </c>
      <c r="W885">
        <v>410200</v>
      </c>
      <c r="X885">
        <v>837920.94129999995</v>
      </c>
      <c r="Y885">
        <v>232379.62849999999</v>
      </c>
      <c r="AC885" s="24">
        <f t="shared" si="343"/>
        <v>6.1040780618270264E-2</v>
      </c>
      <c r="AE885" s="5">
        <f t="shared" si="344"/>
        <v>12213.620568749748</v>
      </c>
      <c r="AF885" s="6">
        <f t="shared" si="345"/>
        <v>9306.0898724857561</v>
      </c>
      <c r="AH885" s="1">
        <f t="shared" si="346"/>
        <v>44876</v>
      </c>
      <c r="AI885">
        <f t="shared" si="347"/>
        <v>1.3124331202582034</v>
      </c>
      <c r="AJ885">
        <f t="shared" ca="1" si="348"/>
        <v>1.2408598359834653</v>
      </c>
      <c r="AK885">
        <f t="shared" ca="1" si="349"/>
        <v>1.2864922671375081</v>
      </c>
      <c r="AL885">
        <f t="shared" ca="1" si="350"/>
        <v>1.3525585234525983</v>
      </c>
      <c r="AM885">
        <f t="shared" ca="1" si="351"/>
        <v>1.4233107994222844</v>
      </c>
      <c r="AN885">
        <f t="shared" ca="1" si="352"/>
        <v>1.4792637016885954</v>
      </c>
    </row>
    <row r="886" spans="2:40" x14ac:dyDescent="0.25">
      <c r="B886" s="1">
        <v>44883</v>
      </c>
      <c r="C886">
        <v>150.91800000000001</v>
      </c>
      <c r="D886">
        <v>145.30600000000001</v>
      </c>
      <c r="E886">
        <v>404.94600000000003</v>
      </c>
      <c r="G886">
        <v>157253.6</v>
      </c>
      <c r="I886" s="14">
        <f t="shared" si="335"/>
        <v>5.8019377182036314E-2</v>
      </c>
      <c r="J886" s="15">
        <f t="shared" si="336"/>
        <v>-8.0824629667554104E-3</v>
      </c>
      <c r="K886" s="15">
        <f t="shared" si="337"/>
        <v>6.6186072963181575E-2</v>
      </c>
      <c r="L886" s="15"/>
      <c r="M886" s="16">
        <f t="shared" si="338"/>
        <v>4.5476001473273131E-2</v>
      </c>
      <c r="O886" s="13">
        <f t="shared" si="339"/>
        <v>3.8707662392820828E-2</v>
      </c>
      <c r="Q886" s="5">
        <f t="shared" si="340"/>
        <v>17027.882863514831</v>
      </c>
      <c r="R886" s="6">
        <f t="shared" si="341"/>
        <v>9729.2936292373306</v>
      </c>
      <c r="T886" s="11">
        <f t="shared" si="342"/>
        <v>1.7501664059500308</v>
      </c>
      <c r="V886" s="9">
        <v>44883</v>
      </c>
      <c r="W886">
        <v>434000</v>
      </c>
      <c r="X886">
        <v>831145.30020000006</v>
      </c>
      <c r="Y886">
        <v>247626.22579999999</v>
      </c>
      <c r="AC886" s="24">
        <f t="shared" si="343"/>
        <v>2.1889473905694699E-2</v>
      </c>
      <c r="AE886" s="5">
        <f t="shared" si="344"/>
        <v>12480.970297483453</v>
      </c>
      <c r="AF886" s="6">
        <f t="shared" si="345"/>
        <v>9729.2936292373306</v>
      </c>
      <c r="AH886" s="1">
        <f t="shared" si="346"/>
        <v>44883</v>
      </c>
      <c r="AI886">
        <f t="shared" si="347"/>
        <v>1.2828238896991562</v>
      </c>
      <c r="AJ886">
        <f t="shared" ca="1" si="348"/>
        <v>1.2408598359834653</v>
      </c>
      <c r="AK886">
        <f t="shared" ca="1" si="349"/>
        <v>1.2864922671375081</v>
      </c>
      <c r="AL886">
        <f t="shared" ca="1" si="350"/>
        <v>1.3487045788273635</v>
      </c>
      <c r="AM886">
        <f t="shared" ca="1" si="351"/>
        <v>1.4137249872264073</v>
      </c>
      <c r="AN886">
        <f t="shared" ca="1" si="352"/>
        <v>1.4792637016885954</v>
      </c>
    </row>
    <row r="887" spans="2:40" x14ac:dyDescent="0.25">
      <c r="B887" s="1">
        <v>44890</v>
      </c>
      <c r="C887">
        <v>148.48400000000001</v>
      </c>
      <c r="D887">
        <v>147.87200000000001</v>
      </c>
      <c r="E887">
        <v>401.45800000000003</v>
      </c>
      <c r="G887">
        <v>163716.9</v>
      </c>
      <c r="I887" s="14">
        <f t="shared" si="335"/>
        <v>-1.6127963529863898E-2</v>
      </c>
      <c r="J887" s="15">
        <f t="shared" si="336"/>
        <v>1.7659284544340847E-2</v>
      </c>
      <c r="K887" s="15">
        <f t="shared" si="337"/>
        <v>-8.6134941448983149E-3</v>
      </c>
      <c r="L887" s="15"/>
      <c r="M887" s="16">
        <f t="shared" si="338"/>
        <v>4.1101125824782425E-2</v>
      </c>
      <c r="O887" s="13">
        <f t="shared" si="339"/>
        <v>-2.3607243768071218E-3</v>
      </c>
      <c r="Q887" s="5">
        <f t="shared" si="340"/>
        <v>16987.684725353516</v>
      </c>
      <c r="R887" s="6">
        <f t="shared" si="341"/>
        <v>10129.178550878869</v>
      </c>
      <c r="T887" s="11">
        <f t="shared" si="342"/>
        <v>1.6771038875486661</v>
      </c>
      <c r="V887" s="9">
        <v>44890</v>
      </c>
      <c r="W887">
        <v>427000</v>
      </c>
      <c r="X887">
        <v>845825.85580000002</v>
      </c>
      <c r="Y887">
        <v>245492.77660000001</v>
      </c>
      <c r="AC887" s="24">
        <f t="shared" si="343"/>
        <v>3.6654366112856729E-3</v>
      </c>
      <c r="AE887" s="5">
        <f t="shared" si="344"/>
        <v>12526.718502956217</v>
      </c>
      <c r="AF887" s="6">
        <f t="shared" si="345"/>
        <v>10129.178550878869</v>
      </c>
      <c r="AH887" s="1">
        <f t="shared" si="346"/>
        <v>44890</v>
      </c>
      <c r="AI887">
        <f t="shared" si="347"/>
        <v>1.2366963855987436</v>
      </c>
      <c r="AJ887">
        <f t="shared" ca="1" si="348"/>
        <v>1.2408598359834653</v>
      </c>
      <c r="AK887">
        <f t="shared" ca="1" si="349"/>
        <v>1.2838326365488488</v>
      </c>
      <c r="AL887">
        <f t="shared" ca="1" si="350"/>
        <v>1.3435944809098634</v>
      </c>
      <c r="AM887">
        <f t="shared" ca="1" si="351"/>
        <v>1.4089288197769516</v>
      </c>
      <c r="AN887">
        <f t="shared" ca="1" si="352"/>
        <v>1.4792637016885954</v>
      </c>
    </row>
    <row r="888" spans="2:40" x14ac:dyDescent="0.25">
      <c r="B888" s="1">
        <v>44897</v>
      </c>
      <c r="C888">
        <v>162.602</v>
      </c>
      <c r="D888">
        <v>145.108</v>
      </c>
      <c r="E888">
        <v>406.95400000000001</v>
      </c>
      <c r="G888">
        <v>169691.74</v>
      </c>
      <c r="I888" s="14">
        <f t="shared" si="335"/>
        <v>9.5080951482988008E-2</v>
      </c>
      <c r="J888" s="15">
        <f t="shared" si="336"/>
        <v>-1.8691841592728964E-2</v>
      </c>
      <c r="K888" s="15">
        <f t="shared" si="337"/>
        <v>1.3690099587005289E-2</v>
      </c>
      <c r="L888" s="15"/>
      <c r="M888" s="16">
        <f t="shared" si="338"/>
        <v>3.6494949513458774E-2</v>
      </c>
      <c r="O888" s="13">
        <f t="shared" si="339"/>
        <v>3.0026403159088111E-2</v>
      </c>
      <c r="Q888" s="5">
        <f t="shared" si="340"/>
        <v>17497.763795656465</v>
      </c>
      <c r="R888" s="6">
        <f t="shared" si="341"/>
        <v>10498.842410706004</v>
      </c>
      <c r="T888" s="11">
        <f t="shared" si="342"/>
        <v>1.6666374359342166</v>
      </c>
      <c r="V888" s="9">
        <v>44897</v>
      </c>
      <c r="W888">
        <v>467600</v>
      </c>
      <c r="X888">
        <v>830016.02670000005</v>
      </c>
      <c r="Y888">
        <v>248724.71799999999</v>
      </c>
      <c r="AC888" s="24">
        <f t="shared" si="343"/>
        <v>1.8540471894647817E-2</v>
      </c>
      <c r="AE888" s="5">
        <f t="shared" si="344"/>
        <v>12758.969775292442</v>
      </c>
      <c r="AF888" s="6">
        <f t="shared" si="345"/>
        <v>10498.842410706004</v>
      </c>
      <c r="AH888" s="1">
        <f t="shared" si="346"/>
        <v>44897</v>
      </c>
      <c r="AI888">
        <f t="shared" si="347"/>
        <v>1.2152739584205696</v>
      </c>
      <c r="AJ888">
        <f t="shared" ca="1" si="348"/>
        <v>1.236976564372082</v>
      </c>
      <c r="AK888">
        <f t="shared" ca="1" si="349"/>
        <v>1.2823188520723225</v>
      </c>
      <c r="AL888">
        <f t="shared" ca="1" si="350"/>
        <v>1.3365852610262476</v>
      </c>
      <c r="AM888">
        <f t="shared" ca="1" si="351"/>
        <v>1.407718408574492</v>
      </c>
      <c r="AN888">
        <f t="shared" ca="1" si="352"/>
        <v>1.4710639677205364</v>
      </c>
    </row>
    <row r="889" spans="2:40" x14ac:dyDescent="0.25">
      <c r="B889" s="1">
        <v>44904</v>
      </c>
      <c r="C889">
        <v>169.661</v>
      </c>
      <c r="D889">
        <v>148.66200000000001</v>
      </c>
      <c r="E889">
        <v>411.06400000000002</v>
      </c>
      <c r="G889">
        <v>171177.9</v>
      </c>
      <c r="I889" s="14">
        <f t="shared" si="335"/>
        <v>4.3412750150674695E-2</v>
      </c>
      <c r="J889" s="15">
        <f t="shared" si="336"/>
        <v>2.4492102434049201E-2</v>
      </c>
      <c r="K889" s="15">
        <f t="shared" si="337"/>
        <v>1.0099421556244659E-2</v>
      </c>
      <c r="L889" s="15"/>
      <c r="M889" s="16">
        <f t="shared" si="338"/>
        <v>8.7579984741743555E-3</v>
      </c>
      <c r="O889" s="13">
        <f t="shared" si="339"/>
        <v>2.6001424713656185E-2</v>
      </c>
      <c r="Q889" s="5">
        <f t="shared" si="340"/>
        <v>17952.730583646564</v>
      </c>
      <c r="R889" s="6">
        <f t="shared" si="341"/>
        <v>10590.791256519564</v>
      </c>
      <c r="T889" s="11">
        <f t="shared" si="342"/>
        <v>1.6951264687230125</v>
      </c>
      <c r="V889" s="9">
        <v>44904</v>
      </c>
      <c r="W889">
        <v>487900</v>
      </c>
      <c r="X889">
        <v>850342.94979999994</v>
      </c>
      <c r="Y889">
        <v>251236.79389999999</v>
      </c>
      <c r="AC889" s="24">
        <f t="shared" si="343"/>
        <v>2.7898518127195845E-2</v>
      </c>
      <c r="AE889" s="5">
        <f t="shared" si="344"/>
        <v>13114.926124852782</v>
      </c>
      <c r="AF889" s="6">
        <f t="shared" si="345"/>
        <v>10590.791256519564</v>
      </c>
      <c r="AH889" s="1">
        <f t="shared" si="346"/>
        <v>44904</v>
      </c>
      <c r="AI889">
        <f t="shared" si="347"/>
        <v>1.2383329826068841</v>
      </c>
      <c r="AJ889">
        <f t="shared" ca="1" si="348"/>
        <v>1.2306516723784104</v>
      </c>
      <c r="AK889">
        <f t="shared" ca="1" si="349"/>
        <v>1.2784280707399895</v>
      </c>
      <c r="AL889">
        <f t="shared" ca="1" si="350"/>
        <v>1.3319292353138417</v>
      </c>
      <c r="AM889">
        <f t="shared" ca="1" si="351"/>
        <v>1.3929493326469111</v>
      </c>
      <c r="AN889">
        <f t="shared" ca="1" si="352"/>
        <v>1.4710639677205364</v>
      </c>
    </row>
    <row r="890" spans="2:40" x14ac:dyDescent="0.25">
      <c r="B890" s="1">
        <v>44911</v>
      </c>
      <c r="C890">
        <v>169.41800000000001</v>
      </c>
      <c r="D890">
        <v>144.51599999999999</v>
      </c>
      <c r="E890">
        <v>416.22500000000002</v>
      </c>
      <c r="G890">
        <v>165109.6</v>
      </c>
      <c r="I890" s="14">
        <f t="shared" si="335"/>
        <v>-1.4322678753514451E-3</v>
      </c>
      <c r="J890" s="15">
        <f t="shared" si="336"/>
        <v>-2.7888767808855075E-2</v>
      </c>
      <c r="K890" s="15">
        <f t="shared" si="337"/>
        <v>1.2555222544421207E-2</v>
      </c>
      <c r="L890" s="15"/>
      <c r="M890" s="16">
        <f t="shared" si="338"/>
        <v>-3.5450253800286102E-2</v>
      </c>
      <c r="O890" s="13">
        <f t="shared" si="339"/>
        <v>-5.5886043799284373E-3</v>
      </c>
      <c r="Q890" s="5">
        <f t="shared" si="340"/>
        <v>17852.399874875122</v>
      </c>
      <c r="R890" s="6">
        <f t="shared" si="341"/>
        <v>10215.345018530094</v>
      </c>
      <c r="T890" s="11">
        <f t="shared" si="342"/>
        <v>1.7476061594093804</v>
      </c>
      <c r="V890" s="9">
        <v>44911</v>
      </c>
      <c r="W890">
        <v>487200</v>
      </c>
      <c r="X890">
        <v>826628.20620000002</v>
      </c>
      <c r="Y890">
        <v>254280.70569999999</v>
      </c>
      <c r="AC890" s="24">
        <f t="shared" si="343"/>
        <v>-1.3375122776339218E-2</v>
      </c>
      <c r="AE890" s="5">
        <f t="shared" si="344"/>
        <v>12939.512377730258</v>
      </c>
      <c r="AF890" s="6">
        <f t="shared" si="345"/>
        <v>10215.345018530094</v>
      </c>
      <c r="AH890" s="1">
        <f t="shared" si="346"/>
        <v>44911</v>
      </c>
      <c r="AI890">
        <f t="shared" si="347"/>
        <v>1.266674043241679</v>
      </c>
      <c r="AJ890">
        <f t="shared" ca="1" si="348"/>
        <v>1.2306516723784104</v>
      </c>
      <c r="AK890">
        <f t="shared" ca="1" si="349"/>
        <v>1.2690338554654654</v>
      </c>
      <c r="AL890">
        <f t="shared" ca="1" si="350"/>
        <v>1.3249110573976974</v>
      </c>
      <c r="AM890">
        <f t="shared" ca="1" si="351"/>
        <v>1.3876199932994671</v>
      </c>
      <c r="AN890">
        <f t="shared" ca="1" si="352"/>
        <v>1.4489209525584066</v>
      </c>
    </row>
    <row r="891" spans="2:40" x14ac:dyDescent="0.25">
      <c r="B891" s="1">
        <v>44918</v>
      </c>
      <c r="C891">
        <v>177.20699999999999</v>
      </c>
      <c r="D891">
        <v>162.08699999999999</v>
      </c>
      <c r="E891">
        <v>417.37299999999999</v>
      </c>
      <c r="G891">
        <v>187784</v>
      </c>
      <c r="I891" s="14">
        <f t="shared" si="335"/>
        <v>4.5975043974075813E-2</v>
      </c>
      <c r="J891" s="15">
        <f t="shared" si="336"/>
        <v>0.12158515320102969</v>
      </c>
      <c r="K891" s="15">
        <f t="shared" si="337"/>
        <v>2.7581236110276741E-3</v>
      </c>
      <c r="L891" s="15"/>
      <c r="M891" s="16">
        <f t="shared" si="338"/>
        <v>0.1373293860562923</v>
      </c>
      <c r="O891" s="13">
        <f t="shared" si="339"/>
        <v>5.6772773595377725E-2</v>
      </c>
      <c r="Q891" s="5">
        <f t="shared" si="340"/>
        <v>18865.930131105557</v>
      </c>
      <c r="R891" s="6">
        <f t="shared" si="341"/>
        <v>11618.212078278035</v>
      </c>
      <c r="T891" s="11">
        <f t="shared" si="342"/>
        <v>1.6238238727263554</v>
      </c>
      <c r="V891" s="9">
        <v>44918</v>
      </c>
      <c r="W891">
        <v>509600</v>
      </c>
      <c r="X891">
        <v>927133.54819999996</v>
      </c>
      <c r="Y891">
        <v>254981.4448</v>
      </c>
      <c r="AC891" s="24">
        <f t="shared" si="343"/>
        <v>7.8824943341302522E-2</v>
      </c>
      <c r="AE891" s="5">
        <f t="shared" si="344"/>
        <v>13959.468707768927</v>
      </c>
      <c r="AF891" s="6">
        <f t="shared" si="345"/>
        <v>11618.212078278035</v>
      </c>
      <c r="AH891" s="1">
        <f t="shared" si="346"/>
        <v>44918</v>
      </c>
      <c r="AI891">
        <f t="shared" si="347"/>
        <v>1.2015160864439904</v>
      </c>
      <c r="AJ891">
        <f t="shared" ca="1" si="348"/>
        <v>1.2306516723784104</v>
      </c>
      <c r="AK891">
        <f t="shared" ca="1" si="349"/>
        <v>1.2655635888583558</v>
      </c>
      <c r="AL891">
        <f t="shared" ca="1" si="350"/>
        <v>1.3175412891926017</v>
      </c>
      <c r="AM891">
        <f t="shared" ca="1" si="351"/>
        <v>1.3866562415715331</v>
      </c>
      <c r="AN891">
        <f t="shared" ca="1" si="352"/>
        <v>1.4402014364372302</v>
      </c>
    </row>
    <row r="892" spans="2:40" x14ac:dyDescent="0.25">
      <c r="B892" s="1">
        <v>44925</v>
      </c>
      <c r="C892">
        <v>175.56800000000001</v>
      </c>
      <c r="D892">
        <v>179.26300000000001</v>
      </c>
      <c r="E892">
        <v>453.69499999999999</v>
      </c>
      <c r="G892">
        <v>202085.1</v>
      </c>
      <c r="I892" s="14">
        <f t="shared" si="335"/>
        <v>-9.24907029632005E-3</v>
      </c>
      <c r="J892" s="15">
        <f t="shared" si="336"/>
        <v>0.10596778273396401</v>
      </c>
      <c r="K892" s="15">
        <f t="shared" si="337"/>
        <v>8.7025274754236603E-2</v>
      </c>
      <c r="L892" s="15"/>
      <c r="M892" s="16">
        <f t="shared" si="338"/>
        <v>7.6157180590465723E-2</v>
      </c>
      <c r="O892" s="13">
        <f t="shared" si="339"/>
        <v>6.1247995730626857E-2</v>
      </c>
      <c r="Q892" s="5">
        <f t="shared" si="340"/>
        <v>20021.430539229816</v>
      </c>
      <c r="R892" s="6">
        <f t="shared" si="341"/>
        <v>12503.022353661785</v>
      </c>
      <c r="T892" s="11">
        <f t="shared" si="342"/>
        <v>1.6013272609535165</v>
      </c>
      <c r="V892" s="9">
        <v>44925</v>
      </c>
      <c r="W892">
        <v>504700</v>
      </c>
      <c r="X892">
        <v>1025380.3432</v>
      </c>
      <c r="Y892">
        <v>277041.1778</v>
      </c>
      <c r="AC892" s="24">
        <f t="shared" si="343"/>
        <v>6.8405606705510991E-2</v>
      </c>
      <c r="AE892" s="5">
        <f t="shared" si="344"/>
        <v>14914.374634010455</v>
      </c>
      <c r="AF892" s="6">
        <f t="shared" si="345"/>
        <v>12503.022353661785</v>
      </c>
      <c r="AH892" s="1">
        <f t="shared" si="346"/>
        <v>44925</v>
      </c>
      <c r="AI892">
        <f t="shared" si="347"/>
        <v>1.1928615507627602</v>
      </c>
      <c r="AJ892">
        <f t="shared" ca="1" si="348"/>
        <v>1.2167445663361278</v>
      </c>
      <c r="AK892">
        <f t="shared" ca="1" si="349"/>
        <v>1.2612972465139032</v>
      </c>
      <c r="AL892">
        <f t="shared" ca="1" si="350"/>
        <v>1.3146071266092896</v>
      </c>
      <c r="AM892">
        <f t="shared" ca="1" si="351"/>
        <v>1.3846889145286387</v>
      </c>
      <c r="AN892">
        <f t="shared" ca="1" si="352"/>
        <v>1.4240324272168148</v>
      </c>
    </row>
    <row r="893" spans="2:40" x14ac:dyDescent="0.25">
      <c r="B893" s="1">
        <v>44932</v>
      </c>
      <c r="C893">
        <v>189.691</v>
      </c>
      <c r="D893">
        <v>199.006</v>
      </c>
      <c r="E893">
        <v>459.6</v>
      </c>
      <c r="G893">
        <v>213794.3</v>
      </c>
      <c r="I893" s="14">
        <f t="shared" si="335"/>
        <v>8.0441766153285243E-2</v>
      </c>
      <c r="J893" s="15">
        <f t="shared" si="336"/>
        <v>0.11013427199143155</v>
      </c>
      <c r="K893" s="15">
        <f t="shared" si="337"/>
        <v>1.3015351723073998E-2</v>
      </c>
      <c r="L893" s="15"/>
      <c r="M893" s="16">
        <f t="shared" si="338"/>
        <v>5.7941926445838732E-2</v>
      </c>
      <c r="O893" s="13">
        <f t="shared" si="339"/>
        <v>6.7863796622596936E-2</v>
      </c>
      <c r="Q893" s="5">
        <f t="shared" si="340"/>
        <v>21380.160829437562</v>
      </c>
      <c r="R893" s="6">
        <f t="shared" si="341"/>
        <v>13227.471555228334</v>
      </c>
      <c r="T893" s="11">
        <f t="shared" si="342"/>
        <v>1.6163452508795431</v>
      </c>
      <c r="V893" s="9">
        <v>44932</v>
      </c>
      <c r="W893">
        <v>545300</v>
      </c>
      <c r="X893">
        <v>1138307.6938</v>
      </c>
      <c r="Y893">
        <v>277011.99410000001</v>
      </c>
      <c r="AC893" s="24">
        <f t="shared" si="343"/>
        <v>8.695279400696207E-2</v>
      </c>
      <c r="AE893" s="5">
        <f t="shared" si="344"/>
        <v>16211.221179304228</v>
      </c>
      <c r="AF893" s="6">
        <f t="shared" si="345"/>
        <v>13227.471555228334</v>
      </c>
      <c r="AH893" s="1">
        <f t="shared" si="346"/>
        <v>44932</v>
      </c>
      <c r="AI893">
        <f t="shared" si="347"/>
        <v>1.2255721822283208</v>
      </c>
      <c r="AJ893">
        <f t="shared" ca="1" si="348"/>
        <v>1.2121436958989047</v>
      </c>
      <c r="AK893">
        <f t="shared" ca="1" si="349"/>
        <v>1.2580552811473398</v>
      </c>
      <c r="AL893">
        <f t="shared" ca="1" si="350"/>
        <v>1.3096571854955821</v>
      </c>
      <c r="AM893">
        <f t="shared" ca="1" si="351"/>
        <v>1.3807423035331214</v>
      </c>
      <c r="AN893">
        <f t="shared" ca="1" si="352"/>
        <v>1.4217921485313241</v>
      </c>
    </row>
    <row r="894" spans="2:40" x14ac:dyDescent="0.25">
      <c r="B894" s="1">
        <v>44939</v>
      </c>
      <c r="C894">
        <v>215.50299999999999</v>
      </c>
      <c r="D894">
        <v>228.22499999999999</v>
      </c>
      <c r="E894">
        <v>522.40099999999995</v>
      </c>
      <c r="G894">
        <v>242154.5</v>
      </c>
      <c r="I894" s="14">
        <f t="shared" si="335"/>
        <v>0.13607393076107988</v>
      </c>
      <c r="J894" s="15">
        <f t="shared" si="336"/>
        <v>0.14682471885269788</v>
      </c>
      <c r="K894" s="15">
        <f t="shared" si="337"/>
        <v>0.13664273281113992</v>
      </c>
      <c r="L894" s="15"/>
      <c r="M894" s="16">
        <f t="shared" si="338"/>
        <v>0.13265180596489246</v>
      </c>
      <c r="O894" s="13">
        <f t="shared" si="339"/>
        <v>0.13984712747497255</v>
      </c>
      <c r="Q894" s="5">
        <f t="shared" si="340"/>
        <v>24370.114906387334</v>
      </c>
      <c r="R894" s="6">
        <f t="shared" si="341"/>
        <v>14982.119545378617</v>
      </c>
      <c r="T894" s="11">
        <f t="shared" si="342"/>
        <v>1.6266132994449733</v>
      </c>
      <c r="V894" s="9">
        <v>44939</v>
      </c>
      <c r="W894">
        <v>619500</v>
      </c>
      <c r="X894">
        <v>1305440.1725999999</v>
      </c>
      <c r="Y894">
        <v>314816.16680000001</v>
      </c>
      <c r="AC894" s="24">
        <f t="shared" si="343"/>
        <v>0.14239604915341017</v>
      </c>
      <c r="AE894" s="5">
        <f t="shared" si="344"/>
        <v>18519.635027189237</v>
      </c>
      <c r="AF894" s="6">
        <f t="shared" si="345"/>
        <v>14982.119545378617</v>
      </c>
      <c r="AH894" s="1">
        <f t="shared" si="346"/>
        <v>44939</v>
      </c>
      <c r="AI894">
        <f t="shared" si="347"/>
        <v>1.236115822670885</v>
      </c>
      <c r="AJ894">
        <f t="shared" ca="1" si="348"/>
        <v>1.2121436958989047</v>
      </c>
      <c r="AK894">
        <f t="shared" ca="1" si="349"/>
        <v>1.2558368483098754</v>
      </c>
      <c r="AL894">
        <f t="shared" ca="1" si="350"/>
        <v>1.3063017906790031</v>
      </c>
      <c r="AM894">
        <f t="shared" ca="1" si="351"/>
        <v>1.3715294583745949</v>
      </c>
      <c r="AN894">
        <f t="shared" ca="1" si="352"/>
        <v>1.4103964444648409</v>
      </c>
    </row>
    <row r="895" spans="2:40" x14ac:dyDescent="0.25">
      <c r="B895" s="1">
        <v>44946</v>
      </c>
      <c r="C895">
        <v>200.649</v>
      </c>
      <c r="D895">
        <v>204.53399999999999</v>
      </c>
      <c r="E895">
        <v>513.68499999999995</v>
      </c>
      <c r="G895">
        <v>247680</v>
      </c>
      <c r="I895" s="14">
        <f t="shared" si="335"/>
        <v>-6.8927114703739578E-2</v>
      </c>
      <c r="J895" s="15">
        <f t="shared" si="336"/>
        <v>-0.10380545514295103</v>
      </c>
      <c r="K895" s="15">
        <f t="shared" si="337"/>
        <v>-1.6684500986789863E-2</v>
      </c>
      <c r="L895" s="15"/>
      <c r="M895" s="16">
        <f t="shared" si="338"/>
        <v>2.281807688892834E-2</v>
      </c>
      <c r="O895" s="13">
        <f t="shared" si="339"/>
        <v>-6.3139023611160153E-2</v>
      </c>
      <c r="Q895" s="5">
        <f t="shared" si="340"/>
        <v>22831.409645906257</v>
      </c>
      <c r="R895" s="6">
        <f t="shared" si="341"/>
        <v>15323.982701124181</v>
      </c>
      <c r="T895" s="11">
        <f t="shared" si="342"/>
        <v>1.4899135617159973</v>
      </c>
      <c r="V895" s="9">
        <v>44946</v>
      </c>
      <c r="W895">
        <v>576800</v>
      </c>
      <c r="X895">
        <v>1169927.352</v>
      </c>
      <c r="Y895">
        <v>309563.8812</v>
      </c>
      <c r="AC895" s="24">
        <f t="shared" si="343"/>
        <v>-8.1912798395017333E-2</v>
      </c>
      <c r="AE895" s="5">
        <f t="shared" si="344"/>
        <v>17002.639896857785</v>
      </c>
      <c r="AF895" s="6">
        <f t="shared" si="345"/>
        <v>15323.982701124181</v>
      </c>
      <c r="AH895" s="1">
        <f t="shared" si="346"/>
        <v>44946</v>
      </c>
      <c r="AI895">
        <f t="shared" si="347"/>
        <v>1.109544446014707</v>
      </c>
      <c r="AJ895">
        <f t="shared" ca="1" si="348"/>
        <v>1.2121436958989047</v>
      </c>
      <c r="AK895">
        <f t="shared" ca="1" si="349"/>
        <v>1.2497106432171652</v>
      </c>
      <c r="AL895">
        <f t="shared" ca="1" si="350"/>
        <v>1.3049778906509837</v>
      </c>
      <c r="AM895">
        <f t="shared" ca="1" si="351"/>
        <v>1.3670888058417772</v>
      </c>
      <c r="AN895">
        <f t="shared" ca="1" si="352"/>
        <v>1.408278223387327</v>
      </c>
    </row>
    <row r="896" spans="2:40" x14ac:dyDescent="0.25">
      <c r="B896" s="1">
        <v>44953</v>
      </c>
      <c r="C896">
        <v>207.46700000000001</v>
      </c>
      <c r="D896">
        <v>224.67099999999999</v>
      </c>
      <c r="E896">
        <v>516.34799999999996</v>
      </c>
      <c r="G896">
        <v>254295.4</v>
      </c>
      <c r="I896" s="14">
        <f t="shared" ref="I896:I959" si="353">+C896/C895-1</f>
        <v>3.3979735757467155E-2</v>
      </c>
      <c r="J896" s="15">
        <f t="shared" ref="J896:J959" si="354">+D896/D895-1</f>
        <v>9.8453068927415455E-2</v>
      </c>
      <c r="K896" s="15">
        <f t="shared" ref="K896:K959" si="355">+E896/E895-1</f>
        <v>5.1841108850754214E-3</v>
      </c>
      <c r="L896" s="15"/>
      <c r="M896" s="16">
        <f t="shared" ref="M896:M959" si="356">+G896/G895-1</f>
        <v>2.6709463824289292E-2</v>
      </c>
      <c r="O896" s="13">
        <f t="shared" ref="O896:O959" si="357">+AVERAGE(I896:L896)</f>
        <v>4.5872305189986008E-2</v>
      </c>
      <c r="Q896" s="5">
        <f t="shared" ref="Q896:Q959" si="358">+Q895*(1+O896)</f>
        <v>23878.739037100862</v>
      </c>
      <c r="R896" s="6">
        <f t="shared" ref="R896:R959" si="359">+R895*(1+M896)</f>
        <v>15733.278062723894</v>
      </c>
      <c r="T896" s="11">
        <f t="shared" ref="T896:T959" si="360">+Q896/R896</f>
        <v>1.5177217959222129</v>
      </c>
      <c r="V896" s="9">
        <v>44953</v>
      </c>
      <c r="W896">
        <v>596400</v>
      </c>
      <c r="X896">
        <v>1285113.2494999999</v>
      </c>
      <c r="Y896">
        <v>311168.74619999999</v>
      </c>
      <c r="AC896" s="24">
        <f t="shared" ref="AC896:AC959" si="361">+SUMPRODUCT(I896:L896,W895:Z895)/SUM(W895:AA895)</f>
        <v>6.6326822336999894E-2</v>
      </c>
      <c r="AE896" s="5">
        <f t="shared" ref="AE896:AE959" si="362">+AE895*(1+AC896)</f>
        <v>18130.370972556659</v>
      </c>
      <c r="AF896" s="6">
        <f t="shared" ref="AF896:AF959" si="363">+AF895*(1+M896)</f>
        <v>15733.278062723894</v>
      </c>
      <c r="AH896" s="1">
        <f t="shared" ref="AH896:AH959" si="364">+B896</f>
        <v>44953</v>
      </c>
      <c r="AI896">
        <f t="shared" ref="AI896:AI959" si="365">+(AE896/$AE$6)/(AF896/$AF$6)</f>
        <v>1.1523581354296459</v>
      </c>
      <c r="AJ896">
        <f t="shared" ref="AJ896:AJ959" ca="1" si="366">+_xlfn.PERCENTILE.INC(OFFSET(AI896,-52,0,52,1),0.1)</f>
        <v>1.2068682978765188</v>
      </c>
      <c r="AK896">
        <f t="shared" ref="AK896:AK959" ca="1" si="367">+_xlfn.PERCENTILE.INC(OFFSET(AI896,-52,0,52,1),0.25)</f>
        <v>1.2392068756508161</v>
      </c>
      <c r="AL896">
        <f t="shared" ref="AL896:AL959" ca="1" si="368">+_xlfn.PERCENTILE.INC(OFFSET(AI896,-52,0,52,1),0.5)</f>
        <v>1.3028182528313845</v>
      </c>
      <c r="AM896">
        <f t="shared" ref="AM896:AM959" ca="1" si="369">+_xlfn.PERCENTILE.INC(OFFSET(AI896,-52,0,52,1),0.75)</f>
        <v>1.3638086743464113</v>
      </c>
      <c r="AN896">
        <f t="shared" ref="AN896:AN959" ca="1" si="370">+_xlfn.PERCENTILE.INC(OFFSET(AI896,-52,0,52,1),0.9)</f>
        <v>1.4055625935132028</v>
      </c>
    </row>
    <row r="897" spans="2:40" x14ac:dyDescent="0.25">
      <c r="B897" s="1">
        <v>44960</v>
      </c>
      <c r="C897">
        <v>205.51900000000001</v>
      </c>
      <c r="D897">
        <v>209.27199999999999</v>
      </c>
      <c r="E897">
        <v>482.30900000000003</v>
      </c>
      <c r="G897">
        <v>239370</v>
      </c>
      <c r="I897" s="14">
        <f t="shared" si="353"/>
        <v>-9.3894450683723596E-3</v>
      </c>
      <c r="J897" s="15">
        <f t="shared" si="354"/>
        <v>-6.8540221034312454E-2</v>
      </c>
      <c r="K897" s="15">
        <f t="shared" si="355"/>
        <v>-6.5922594839139315E-2</v>
      </c>
      <c r="L897" s="15"/>
      <c r="M897" s="16">
        <f t="shared" si="356"/>
        <v>-5.8693157642647042E-2</v>
      </c>
      <c r="O897" s="13">
        <f t="shared" si="357"/>
        <v>-4.7950753647274712E-2</v>
      </c>
      <c r="Q897" s="5">
        <f t="shared" si="358"/>
        <v>22733.735504125278</v>
      </c>
      <c r="R897" s="6">
        <f t="shared" si="359"/>
        <v>14809.84229315284</v>
      </c>
      <c r="T897" s="11">
        <f t="shared" si="360"/>
        <v>1.5350423761525103</v>
      </c>
      <c r="V897" s="9">
        <v>44960</v>
      </c>
      <c r="W897">
        <v>590800</v>
      </c>
      <c r="X897">
        <v>1197029.9161</v>
      </c>
      <c r="Y897">
        <v>290655.65279999998</v>
      </c>
      <c r="AC897" s="24">
        <f t="shared" si="361"/>
        <v>-5.2079992730327679E-2</v>
      </c>
      <c r="AE897" s="5">
        <f t="shared" si="362"/>
        <v>17186.141384107763</v>
      </c>
      <c r="AF897" s="6">
        <f t="shared" si="363"/>
        <v>14809.84229315284</v>
      </c>
      <c r="AH897" s="1">
        <f t="shared" si="364"/>
        <v>44960</v>
      </c>
      <c r="AI897">
        <f t="shared" si="365"/>
        <v>1.1604540442711924</v>
      </c>
      <c r="AJ897">
        <f t="shared" ca="1" si="366"/>
        <v>1.2019965565752928</v>
      </c>
      <c r="AK897">
        <f t="shared" ca="1" si="367"/>
        <v>1.237923833354849</v>
      </c>
      <c r="AL897">
        <f t="shared" ca="1" si="368"/>
        <v>1.29446336889198</v>
      </c>
      <c r="AM897">
        <f t="shared" ca="1" si="369"/>
        <v>1.3562754020918724</v>
      </c>
      <c r="AN897">
        <f t="shared" ca="1" si="370"/>
        <v>1.4055625935132028</v>
      </c>
    </row>
    <row r="898" spans="2:40" x14ac:dyDescent="0.25">
      <c r="B898" s="1">
        <v>44967</v>
      </c>
      <c r="C898">
        <v>203.571</v>
      </c>
      <c r="D898">
        <v>223.48699999999999</v>
      </c>
      <c r="E898">
        <v>490.10500000000002</v>
      </c>
      <c r="G898">
        <v>249897.5</v>
      </c>
      <c r="I898" s="14">
        <f t="shared" si="353"/>
        <v>-9.4784423824562092E-3</v>
      </c>
      <c r="J898" s="15">
        <f t="shared" si="354"/>
        <v>6.7925952826942915E-2</v>
      </c>
      <c r="K898" s="15">
        <f t="shared" si="355"/>
        <v>1.616391151730534E-2</v>
      </c>
      <c r="L898" s="15"/>
      <c r="M898" s="16">
        <f t="shared" si="356"/>
        <v>4.398003091448377E-2</v>
      </c>
      <c r="O898" s="13">
        <f t="shared" si="357"/>
        <v>2.4870473987264014E-2</v>
      </c>
      <c r="Q898" s="5">
        <f t="shared" si="358"/>
        <v>23299.134281613966</v>
      </c>
      <c r="R898" s="6">
        <f t="shared" si="359"/>
        <v>15461.179615044332</v>
      </c>
      <c r="T898" s="11">
        <f t="shared" si="360"/>
        <v>1.5069441570255737</v>
      </c>
      <c r="V898" s="9">
        <v>44967</v>
      </c>
      <c r="W898">
        <v>585200</v>
      </c>
      <c r="X898">
        <v>1278337.6085000001</v>
      </c>
      <c r="Y898">
        <v>295353.53049999999</v>
      </c>
      <c r="AC898" s="24">
        <f t="shared" si="361"/>
        <v>3.8685698525350358E-2</v>
      </c>
      <c r="AE898" s="5">
        <f t="shared" si="362"/>
        <v>17850.999268507403</v>
      </c>
      <c r="AF898" s="6">
        <f t="shared" si="363"/>
        <v>15461.179615044332</v>
      </c>
      <c r="AH898" s="1">
        <f t="shared" si="364"/>
        <v>44967</v>
      </c>
      <c r="AI898">
        <f t="shared" si="365"/>
        <v>1.1545690376132545</v>
      </c>
      <c r="AJ898">
        <f t="shared" ca="1" si="366"/>
        <v>1.2007548576030771</v>
      </c>
      <c r="AK898">
        <f t="shared" ca="1" si="367"/>
        <v>1.236551244866779</v>
      </c>
      <c r="AL898">
        <f t="shared" ca="1" si="368"/>
        <v>1.2873952052409374</v>
      </c>
      <c r="AM898">
        <f t="shared" ca="1" si="369"/>
        <v>1.3518057200414886</v>
      </c>
      <c r="AN898">
        <f t="shared" ca="1" si="370"/>
        <v>1.3880343337784882</v>
      </c>
    </row>
    <row r="899" spans="2:40" x14ac:dyDescent="0.25">
      <c r="B899" s="1">
        <v>44974</v>
      </c>
      <c r="C899">
        <v>197.727</v>
      </c>
      <c r="D899">
        <v>207.298</v>
      </c>
      <c r="E899">
        <v>482.30900000000003</v>
      </c>
      <c r="G899">
        <v>248979.4</v>
      </c>
      <c r="I899" s="14">
        <f t="shared" si="353"/>
        <v>-2.870742885774491E-2</v>
      </c>
      <c r="J899" s="15">
        <f t="shared" si="354"/>
        <v>-7.2438217882919376E-2</v>
      </c>
      <c r="K899" s="15">
        <f t="shared" si="355"/>
        <v>-1.5906795482600655E-2</v>
      </c>
      <c r="L899" s="15"/>
      <c r="M899" s="16">
        <f t="shared" si="356"/>
        <v>-3.673906301583707E-3</v>
      </c>
      <c r="O899" s="13">
        <f t="shared" si="357"/>
        <v>-3.9017480741088316E-2</v>
      </c>
      <c r="Q899" s="5">
        <f t="shared" si="358"/>
        <v>22390.06075849706</v>
      </c>
      <c r="R899" s="6">
        <f t="shared" si="359"/>
        <v>15404.376689826702</v>
      </c>
      <c r="T899" s="11">
        <f t="shared" si="360"/>
        <v>1.4534869673294744</v>
      </c>
      <c r="V899" s="9">
        <v>44974</v>
      </c>
      <c r="W899">
        <v>568400</v>
      </c>
      <c r="X899">
        <v>1185737.1810000001</v>
      </c>
      <c r="Y899">
        <v>290655.65279999998</v>
      </c>
      <c r="AC899" s="24">
        <f t="shared" si="361"/>
        <v>-5.2850378476046435E-2</v>
      </c>
      <c r="AE899" s="5">
        <f t="shared" si="362"/>
        <v>16907.567200991158</v>
      </c>
      <c r="AF899" s="6">
        <f t="shared" si="363"/>
        <v>15404.376689826702</v>
      </c>
      <c r="AH899" s="1">
        <f t="shared" si="364"/>
        <v>44974</v>
      </c>
      <c r="AI899">
        <f t="shared" si="365"/>
        <v>1.0975820405740395</v>
      </c>
      <c r="AJ899">
        <f t="shared" ca="1" si="366"/>
        <v>1.1962137369873</v>
      </c>
      <c r="AK899">
        <f t="shared" ca="1" si="367"/>
        <v>1.2345818763972016</v>
      </c>
      <c r="AL899">
        <f t="shared" ca="1" si="368"/>
        <v>1.2857178065912542</v>
      </c>
      <c r="AM899">
        <f t="shared" ca="1" si="369"/>
        <v>1.3475304099258556</v>
      </c>
      <c r="AN899">
        <f t="shared" ca="1" si="370"/>
        <v>1.3871268199705824</v>
      </c>
    </row>
    <row r="900" spans="2:40" x14ac:dyDescent="0.25">
      <c r="B900" s="1">
        <v>44981</v>
      </c>
      <c r="C900">
        <v>193.83099999999999</v>
      </c>
      <c r="D900">
        <v>194.07</v>
      </c>
      <c r="E900">
        <v>497.803</v>
      </c>
      <c r="G900">
        <v>248324.7</v>
      </c>
      <c r="I900" s="14">
        <f t="shared" si="353"/>
        <v>-1.9703935223818747E-2</v>
      </c>
      <c r="J900" s="15">
        <f t="shared" si="354"/>
        <v>-6.3811517718453614E-2</v>
      </c>
      <c r="K900" s="15">
        <f t="shared" si="355"/>
        <v>3.2124633792858903E-2</v>
      </c>
      <c r="L900" s="15"/>
      <c r="M900" s="16">
        <f t="shared" si="356"/>
        <v>-2.6295348129201646E-3</v>
      </c>
      <c r="O900" s="13">
        <f t="shared" si="357"/>
        <v>-1.7130273049804485E-2</v>
      </c>
      <c r="Q900" s="5">
        <f t="shared" si="358"/>
        <v>22006.512904102292</v>
      </c>
      <c r="R900" s="6">
        <f t="shared" si="359"/>
        <v>15363.870345049467</v>
      </c>
      <c r="T900" s="11">
        <f t="shared" si="360"/>
        <v>1.4323547654249251</v>
      </c>
      <c r="V900" s="9">
        <v>44981</v>
      </c>
      <c r="W900">
        <v>557200</v>
      </c>
      <c r="X900">
        <v>1110075.8562</v>
      </c>
      <c r="Y900">
        <v>299993.04950000002</v>
      </c>
      <c r="AC900" s="24">
        <f t="shared" si="361"/>
        <v>-3.7913962836974499E-2</v>
      </c>
      <c r="AE900" s="5">
        <f t="shared" si="362"/>
        <v>16266.534326469131</v>
      </c>
      <c r="AF900" s="6">
        <f t="shared" si="363"/>
        <v>15363.870345049467</v>
      </c>
      <c r="AH900" s="1">
        <f t="shared" si="364"/>
        <v>44981</v>
      </c>
      <c r="AI900">
        <f t="shared" si="365"/>
        <v>1.0587523821242426</v>
      </c>
      <c r="AJ900">
        <f t="shared" ca="1" si="366"/>
        <v>1.1931472522781759</v>
      </c>
      <c r="AK900">
        <f t="shared" ca="1" si="367"/>
        <v>1.2288780737391936</v>
      </c>
      <c r="AL900">
        <f t="shared" ca="1" si="368"/>
        <v>1.2834963875989511</v>
      </c>
      <c r="AM900">
        <f t="shared" ca="1" si="369"/>
        <v>1.3422136008526213</v>
      </c>
      <c r="AN900">
        <f t="shared" ca="1" si="370"/>
        <v>1.3836718205840153</v>
      </c>
    </row>
    <row r="901" spans="2:40" x14ac:dyDescent="0.25">
      <c r="B901" s="1">
        <v>44988</v>
      </c>
      <c r="C901">
        <v>191.88300000000001</v>
      </c>
      <c r="D901">
        <v>196.04400000000001</v>
      </c>
      <c r="E901">
        <v>482.16399999999999</v>
      </c>
      <c r="G901">
        <v>245865.2</v>
      </c>
      <c r="I901" s="14">
        <f t="shared" si="353"/>
        <v>-1.0049992003343E-2</v>
      </c>
      <c r="J901" s="15">
        <f t="shared" si="354"/>
        <v>1.0171587571494944E-2</v>
      </c>
      <c r="K901" s="15">
        <f t="shared" si="355"/>
        <v>-3.1416042088938778E-2</v>
      </c>
      <c r="L901" s="15"/>
      <c r="M901" s="16">
        <f t="shared" si="356"/>
        <v>-9.904371172098414E-3</v>
      </c>
      <c r="O901" s="13">
        <f t="shared" si="357"/>
        <v>-1.0431482173595611E-2</v>
      </c>
      <c r="Q901" s="5">
        <f t="shared" si="358"/>
        <v>21776.952357040147</v>
      </c>
      <c r="R901" s="6">
        <f t="shared" si="359"/>
        <v>15211.700870512101</v>
      </c>
      <c r="T901" s="11">
        <f t="shared" si="360"/>
        <v>1.4315922027664107</v>
      </c>
      <c r="V901" s="9">
        <v>44988</v>
      </c>
      <c r="W901">
        <v>551600</v>
      </c>
      <c r="X901">
        <v>1121368.5911999999</v>
      </c>
      <c r="Y901">
        <v>290568.11469999998</v>
      </c>
      <c r="AC901" s="24">
        <f t="shared" si="361"/>
        <v>-1.8976643307819275E-3</v>
      </c>
      <c r="AE901" s="5">
        <f t="shared" si="362"/>
        <v>16235.665904492349</v>
      </c>
      <c r="AF901" s="6">
        <f t="shared" si="363"/>
        <v>15211.700870512101</v>
      </c>
      <c r="AH901" s="1">
        <f t="shared" si="364"/>
        <v>44988</v>
      </c>
      <c r="AI901">
        <f t="shared" si="365"/>
        <v>1.0673143025028324</v>
      </c>
      <c r="AJ901">
        <f t="shared" ca="1" si="366"/>
        <v>1.1636947949203491</v>
      </c>
      <c r="AK901">
        <f t="shared" ca="1" si="367"/>
        <v>1.2229976262763831</v>
      </c>
      <c r="AL901">
        <f t="shared" ca="1" si="368"/>
        <v>1.2818138144454891</v>
      </c>
      <c r="AM901">
        <f t="shared" ca="1" si="369"/>
        <v>1.3344615311416821</v>
      </c>
      <c r="AN901">
        <f t="shared" ca="1" si="370"/>
        <v>1.3836718205840153</v>
      </c>
    </row>
    <row r="902" spans="2:40" x14ac:dyDescent="0.25">
      <c r="B902" s="1">
        <v>44995</v>
      </c>
      <c r="C902">
        <v>190.66499999999999</v>
      </c>
      <c r="D902">
        <v>176.499</v>
      </c>
      <c r="E902">
        <v>491.70299999999997</v>
      </c>
      <c r="G902">
        <v>236419.4</v>
      </c>
      <c r="I902" s="14">
        <f t="shared" si="353"/>
        <v>-6.3476180797674697E-3</v>
      </c>
      <c r="J902" s="15">
        <f t="shared" si="354"/>
        <v>-9.9697006794393195E-2</v>
      </c>
      <c r="K902" s="15">
        <f t="shared" si="355"/>
        <v>1.978372503961312E-2</v>
      </c>
      <c r="L902" s="15"/>
      <c r="M902" s="16">
        <f t="shared" si="356"/>
        <v>-3.8418613126217194E-2</v>
      </c>
      <c r="O902" s="13">
        <f t="shared" si="357"/>
        <v>-2.8753633278182516E-2</v>
      </c>
      <c r="Q902" s="5">
        <f t="shared" si="358"/>
        <v>21150.785855049362</v>
      </c>
      <c r="R902" s="6">
        <f t="shared" si="359"/>
        <v>14627.288419776154</v>
      </c>
      <c r="T902" s="11">
        <f t="shared" si="360"/>
        <v>1.4459813225842606</v>
      </c>
      <c r="V902" s="9">
        <v>44995</v>
      </c>
      <c r="W902">
        <v>548100</v>
      </c>
      <c r="X902">
        <v>1009570.5141</v>
      </c>
      <c r="Y902">
        <v>296316.44949999999</v>
      </c>
      <c r="AC902" s="24">
        <f t="shared" si="361"/>
        <v>-5.579214189019642E-2</v>
      </c>
      <c r="AE902" s="5">
        <f t="shared" si="362"/>
        <v>15329.843328667088</v>
      </c>
      <c r="AF902" s="6">
        <f t="shared" si="363"/>
        <v>14627.288419776154</v>
      </c>
      <c r="AH902" s="1">
        <f t="shared" si="364"/>
        <v>44995</v>
      </c>
      <c r="AI902">
        <f t="shared" si="365"/>
        <v>1.0480304270161978</v>
      </c>
      <c r="AJ902">
        <f t="shared" ca="1" si="366"/>
        <v>1.1551575382790482</v>
      </c>
      <c r="AK902">
        <f t="shared" ca="1" si="367"/>
        <v>1.2144044410534405</v>
      </c>
      <c r="AL902">
        <f t="shared" ca="1" si="368"/>
        <v>1.276052402288157</v>
      </c>
      <c r="AM902">
        <f t="shared" ca="1" si="369"/>
        <v>1.3317249523422043</v>
      </c>
      <c r="AN902">
        <f t="shared" ca="1" si="370"/>
        <v>1.3783047140609224</v>
      </c>
    </row>
    <row r="903" spans="2:40" x14ac:dyDescent="0.25">
      <c r="B903" s="1">
        <v>45002</v>
      </c>
      <c r="C903">
        <v>186.76900000000001</v>
      </c>
      <c r="D903">
        <v>180.053</v>
      </c>
      <c r="E903">
        <v>507.97199999999998</v>
      </c>
      <c r="G903">
        <v>221740.3</v>
      </c>
      <c r="I903" s="14">
        <f t="shared" si="353"/>
        <v>-2.0433745050218888E-2</v>
      </c>
      <c r="J903" s="15">
        <f t="shared" si="354"/>
        <v>2.01360914226143E-2</v>
      </c>
      <c r="K903" s="15">
        <f t="shared" si="355"/>
        <v>3.3087046448770918E-2</v>
      </c>
      <c r="L903" s="15"/>
      <c r="M903" s="16">
        <f t="shared" si="356"/>
        <v>-6.2089236331705489E-2</v>
      </c>
      <c r="O903" s="13">
        <f t="shared" si="357"/>
        <v>1.0929797607055444E-2</v>
      </c>
      <c r="Q903" s="5">
        <f t="shared" si="358"/>
        <v>21381.959663675225</v>
      </c>
      <c r="R903" s="6">
        <f t="shared" si="359"/>
        <v>13719.091252188653</v>
      </c>
      <c r="T903" s="11">
        <f t="shared" si="360"/>
        <v>1.5585551018376738</v>
      </c>
      <c r="V903" s="9">
        <v>45002</v>
      </c>
      <c r="W903">
        <v>536900</v>
      </c>
      <c r="X903">
        <v>1029897.4372</v>
      </c>
      <c r="Y903">
        <v>306120.71610000002</v>
      </c>
      <c r="AC903" s="24">
        <f t="shared" si="361"/>
        <v>1.0212210229809693E-2</v>
      </c>
      <c r="AE903" s="5">
        <f t="shared" si="362"/>
        <v>15486.394911529482</v>
      </c>
      <c r="AF903" s="6">
        <f t="shared" si="363"/>
        <v>13719.091252188653</v>
      </c>
      <c r="AH903" s="1">
        <f t="shared" si="364"/>
        <v>45002</v>
      </c>
      <c r="AI903">
        <f t="shared" si="365"/>
        <v>1.1288207525450262</v>
      </c>
      <c r="AJ903">
        <f t="shared" ca="1" si="366"/>
        <v>1.1525792256480067</v>
      </c>
      <c r="AK903">
        <f t="shared" ca="1" si="367"/>
        <v>1.2104271136532936</v>
      </c>
      <c r="AL903">
        <f t="shared" ca="1" si="368"/>
        <v>1.2689875543130853</v>
      </c>
      <c r="AM903">
        <f t="shared" ca="1" si="369"/>
        <v>1.3216062514112625</v>
      </c>
      <c r="AN903">
        <f t="shared" ca="1" si="370"/>
        <v>1.3783047140609224</v>
      </c>
    </row>
    <row r="904" spans="2:40" x14ac:dyDescent="0.25">
      <c r="B904" s="1">
        <v>45009</v>
      </c>
      <c r="C904">
        <v>201.86600000000001</v>
      </c>
      <c r="D904">
        <v>182.619</v>
      </c>
      <c r="E904">
        <v>508.214</v>
      </c>
      <c r="G904">
        <v>219276.7</v>
      </c>
      <c r="I904" s="14">
        <f t="shared" si="353"/>
        <v>8.0832472198277161E-2</v>
      </c>
      <c r="J904" s="15">
        <f t="shared" si="354"/>
        <v>1.4251359321977519E-2</v>
      </c>
      <c r="K904" s="15">
        <f t="shared" si="355"/>
        <v>4.7640421125572097E-4</v>
      </c>
      <c r="L904" s="15"/>
      <c r="M904" s="16">
        <f t="shared" si="356"/>
        <v>-1.1110294339819915E-2</v>
      </c>
      <c r="O904" s="13">
        <f t="shared" si="357"/>
        <v>3.1853411910503469E-2</v>
      </c>
      <c r="Q904" s="5">
        <f t="shared" si="358"/>
        <v>22063.048032296039</v>
      </c>
      <c r="R904" s="6">
        <f t="shared" si="359"/>
        <v>13566.668110301989</v>
      </c>
      <c r="T904" s="11">
        <f t="shared" si="360"/>
        <v>1.6262687236774249</v>
      </c>
      <c r="V904" s="9">
        <v>45009</v>
      </c>
      <c r="W904">
        <v>580300</v>
      </c>
      <c r="X904">
        <v>1044577.9928</v>
      </c>
      <c r="Y904">
        <v>306266.61290000001</v>
      </c>
      <c r="AC904" s="24">
        <f t="shared" si="361"/>
        <v>3.1086371746300613E-2</v>
      </c>
      <c r="AE904" s="5">
        <f t="shared" si="362"/>
        <v>15967.810740759305</v>
      </c>
      <c r="AF904" s="6">
        <f t="shared" si="363"/>
        <v>13566.668110301989</v>
      </c>
      <c r="AH904" s="1">
        <f t="shared" si="364"/>
        <v>45009</v>
      </c>
      <c r="AI904">
        <f t="shared" si="365"/>
        <v>1.1769883814459927</v>
      </c>
      <c r="AJ904">
        <f t="shared" ca="1" si="366"/>
        <v>1.1311744908334882</v>
      </c>
      <c r="AK904">
        <f t="shared" ca="1" si="367"/>
        <v>1.2051196124287589</v>
      </c>
      <c r="AL904">
        <f t="shared" ca="1" si="368"/>
        <v>1.2644531344750325</v>
      </c>
      <c r="AM904">
        <f t="shared" ca="1" si="369"/>
        <v>1.3171612110764888</v>
      </c>
      <c r="AN904">
        <f t="shared" ca="1" si="370"/>
        <v>1.3652627533083617</v>
      </c>
    </row>
    <row r="905" spans="2:40" x14ac:dyDescent="0.25">
      <c r="B905" s="1">
        <v>45016</v>
      </c>
      <c r="C905">
        <v>212.58099999999999</v>
      </c>
      <c r="D905">
        <v>204.929</v>
      </c>
      <c r="E905">
        <v>543.60900000000004</v>
      </c>
      <c r="G905">
        <v>245716.2</v>
      </c>
      <c r="I905" s="14">
        <f t="shared" si="353"/>
        <v>5.3079765785223776E-2</v>
      </c>
      <c r="J905" s="15">
        <f t="shared" si="354"/>
        <v>0.12216691581927397</v>
      </c>
      <c r="K905" s="15">
        <f t="shared" si="355"/>
        <v>6.9645857847284942E-2</v>
      </c>
      <c r="L905" s="15"/>
      <c r="M905" s="16">
        <f t="shared" si="356"/>
        <v>0.12057596634754164</v>
      </c>
      <c r="O905" s="13">
        <f t="shared" si="357"/>
        <v>8.1630846483927558E-2</v>
      </c>
      <c r="Q905" s="5">
        <f t="shared" si="358"/>
        <v>23864.073319187915</v>
      </c>
      <c r="R905" s="6">
        <f t="shared" si="359"/>
        <v>15202.482227818027</v>
      </c>
      <c r="T905" s="11">
        <f t="shared" si="360"/>
        <v>1.5697484767007726</v>
      </c>
      <c r="V905" s="9">
        <v>45016</v>
      </c>
      <c r="W905">
        <v>611100</v>
      </c>
      <c r="X905">
        <v>1172185.899</v>
      </c>
      <c r="Y905">
        <v>327596.72859999997</v>
      </c>
      <c r="AC905" s="24">
        <f t="shared" si="361"/>
        <v>9.3077059197479439E-2</v>
      </c>
      <c r="AE905" s="5">
        <f t="shared" si="362"/>
        <v>17454.047606331107</v>
      </c>
      <c r="AF905" s="6">
        <f t="shared" si="363"/>
        <v>15202.482227818027</v>
      </c>
      <c r="AH905" s="1">
        <f t="shared" si="364"/>
        <v>45016</v>
      </c>
      <c r="AI905">
        <f t="shared" si="365"/>
        <v>1.1481051149918853</v>
      </c>
      <c r="AJ905">
        <f t="shared" ca="1" si="366"/>
        <v>1.1311744908334882</v>
      </c>
      <c r="AK905">
        <f t="shared" ca="1" si="367"/>
        <v>1.2013046339881812</v>
      </c>
      <c r="AL905">
        <f t="shared" ca="1" si="368"/>
        <v>1.2603622673194201</v>
      </c>
      <c r="AM905">
        <f t="shared" ca="1" si="369"/>
        <v>1.3171612110764888</v>
      </c>
      <c r="AN905">
        <f t="shared" ca="1" si="370"/>
        <v>1.3652627533083617</v>
      </c>
    </row>
    <row r="906" spans="2:40" x14ac:dyDescent="0.25">
      <c r="B906" s="1">
        <v>45023</v>
      </c>
      <c r="C906">
        <v>236.68799999999999</v>
      </c>
      <c r="D906">
        <v>210.06200000000001</v>
      </c>
      <c r="E906">
        <v>527.04899999999998</v>
      </c>
      <c r="G906">
        <v>252848.7</v>
      </c>
      <c r="I906" s="14">
        <f t="shared" si="353"/>
        <v>0.11340147990648264</v>
      </c>
      <c r="J906" s="15">
        <f t="shared" si="354"/>
        <v>2.5047699447125593E-2</v>
      </c>
      <c r="K906" s="15">
        <f t="shared" si="355"/>
        <v>-3.0463071803447095E-2</v>
      </c>
      <c r="L906" s="15"/>
      <c r="M906" s="16">
        <f t="shared" si="356"/>
        <v>2.9027390135448972E-2</v>
      </c>
      <c r="O906" s="13">
        <f t="shared" si="357"/>
        <v>3.5995369183387048E-2</v>
      </c>
      <c r="Q906" s="5">
        <f t="shared" si="358"/>
        <v>24723.0694485315</v>
      </c>
      <c r="R906" s="6">
        <f t="shared" si="359"/>
        <v>15643.770610472131</v>
      </c>
      <c r="T906" s="11">
        <f t="shared" si="360"/>
        <v>1.5803779065886823</v>
      </c>
      <c r="V906" s="9">
        <v>45023</v>
      </c>
      <c r="W906">
        <v>680400</v>
      </c>
      <c r="X906">
        <v>1201547.0101000001</v>
      </c>
      <c r="Y906">
        <v>317617.38579999999</v>
      </c>
      <c r="AC906" s="24">
        <f t="shared" si="361"/>
        <v>4.2011147678103183E-2</v>
      </c>
      <c r="AE906" s="5">
        <f t="shared" si="362"/>
        <v>18187.312177901324</v>
      </c>
      <c r="AF906" s="6">
        <f t="shared" si="363"/>
        <v>15643.770610472131</v>
      </c>
      <c r="AH906" s="1">
        <f t="shared" si="364"/>
        <v>45023</v>
      </c>
      <c r="AI906">
        <f t="shared" si="365"/>
        <v>1.1625913362425881</v>
      </c>
      <c r="AJ906">
        <f t="shared" ca="1" si="366"/>
        <v>1.1307491887897121</v>
      </c>
      <c r="AK906">
        <f t="shared" ca="1" si="367"/>
        <v>1.199432348944794</v>
      </c>
      <c r="AL906">
        <f t="shared" ca="1" si="368"/>
        <v>1.2576182533642255</v>
      </c>
      <c r="AM906">
        <f t="shared" ca="1" si="369"/>
        <v>1.3135201234337464</v>
      </c>
      <c r="AN906">
        <f t="shared" ca="1" si="370"/>
        <v>1.3652627533083617</v>
      </c>
    </row>
    <row r="907" spans="2:40" x14ac:dyDescent="0.25">
      <c r="B907" s="1">
        <v>45030</v>
      </c>
      <c r="C907">
        <v>237.17500000000001</v>
      </c>
      <c r="D907">
        <v>221.512</v>
      </c>
      <c r="E907">
        <v>551.30700000000002</v>
      </c>
      <c r="G907">
        <v>275717.40000000002</v>
      </c>
      <c r="I907" s="14">
        <f t="shared" si="353"/>
        <v>2.0575610085853402E-3</v>
      </c>
      <c r="J907" s="15">
        <f t="shared" si="354"/>
        <v>5.4507716769334635E-2</v>
      </c>
      <c r="K907" s="15">
        <f t="shared" si="355"/>
        <v>4.6026081066466329E-2</v>
      </c>
      <c r="L907" s="15"/>
      <c r="M907" s="16">
        <f t="shared" si="356"/>
        <v>9.0444206357398693E-2</v>
      </c>
      <c r="O907" s="13">
        <f t="shared" si="357"/>
        <v>3.4197119614795435E-2</v>
      </c>
      <c r="Q907" s="5">
        <f t="shared" si="358"/>
        <v>25568.527211707828</v>
      </c>
      <c r="R907" s="6">
        <f t="shared" si="359"/>
        <v>17058.659027773483</v>
      </c>
      <c r="T907" s="11">
        <f t="shared" si="360"/>
        <v>1.4988591524151629</v>
      </c>
      <c r="V907" s="9">
        <v>45030</v>
      </c>
      <c r="W907">
        <v>681800</v>
      </c>
      <c r="X907">
        <v>1267044.8735</v>
      </c>
      <c r="Y907">
        <v>332236.2476</v>
      </c>
      <c r="AC907" s="24">
        <f t="shared" si="361"/>
        <v>3.7058352244972823E-2</v>
      </c>
      <c r="AE907" s="5">
        <f t="shared" si="362"/>
        <v>18861.303998979274</v>
      </c>
      <c r="AF907" s="6">
        <f t="shared" si="363"/>
        <v>17058.659027773483</v>
      </c>
      <c r="AH907" s="1">
        <f t="shared" si="364"/>
        <v>45030</v>
      </c>
      <c r="AI907">
        <f t="shared" si="365"/>
        <v>1.1056733104443248</v>
      </c>
      <c r="AJ907">
        <f t="shared" ca="1" si="366"/>
        <v>1.1307491887897121</v>
      </c>
      <c r="AK907">
        <f t="shared" ca="1" si="367"/>
        <v>1.1950043121283773</v>
      </c>
      <c r="AL907">
        <f t="shared" ca="1" si="368"/>
        <v>1.2549294988217539</v>
      </c>
      <c r="AM907">
        <f t="shared" ca="1" si="369"/>
        <v>1.3135201234337464</v>
      </c>
      <c r="AN907">
        <f t="shared" ca="1" si="370"/>
        <v>1.3652627533083617</v>
      </c>
    </row>
    <row r="908" spans="2:40" x14ac:dyDescent="0.25">
      <c r="B908" s="1">
        <v>45037</v>
      </c>
      <c r="C908">
        <v>275.95800000000003</v>
      </c>
      <c r="D908">
        <v>251.52099999999999</v>
      </c>
      <c r="E908">
        <v>576.19500000000005</v>
      </c>
      <c r="G908">
        <v>290890.5</v>
      </c>
      <c r="I908" s="14">
        <f t="shared" si="353"/>
        <v>0.16352060714662175</v>
      </c>
      <c r="J908" s="15">
        <f t="shared" si="354"/>
        <v>0.13547347322041237</v>
      </c>
      <c r="K908" s="15">
        <f t="shared" si="355"/>
        <v>4.5143631406820539E-2</v>
      </c>
      <c r="L908" s="15"/>
      <c r="M908" s="16">
        <f t="shared" si="356"/>
        <v>5.5031347314315138E-2</v>
      </c>
      <c r="O908" s="13">
        <f t="shared" si="357"/>
        <v>0.11471257059128488</v>
      </c>
      <c r="Q908" s="5">
        <f t="shared" si="358"/>
        <v>28501.558694396048</v>
      </c>
      <c r="R908" s="6">
        <f t="shared" si="359"/>
        <v>17997.420017447363</v>
      </c>
      <c r="T908" s="11">
        <f t="shared" si="360"/>
        <v>1.5836469153226176</v>
      </c>
      <c r="V908" s="9">
        <v>45037</v>
      </c>
      <c r="W908">
        <v>777000</v>
      </c>
      <c r="X908">
        <v>1438694.4463</v>
      </c>
      <c r="Y908">
        <v>347234.4411</v>
      </c>
      <c r="AC908" s="24">
        <f t="shared" si="361"/>
        <v>0.13070016126809164</v>
      </c>
      <c r="AE908" s="5">
        <f t="shared" si="362"/>
        <v>21326.479473372365</v>
      </c>
      <c r="AF908" s="6">
        <f t="shared" si="363"/>
        <v>17997.420017447363</v>
      </c>
      <c r="AH908" s="1">
        <f t="shared" si="364"/>
        <v>45037</v>
      </c>
      <c r="AI908">
        <f t="shared" si="365"/>
        <v>1.1849742603494107</v>
      </c>
      <c r="AJ908">
        <f t="shared" ca="1" si="366"/>
        <v>1.1114720766677391</v>
      </c>
      <c r="AK908">
        <f t="shared" ca="1" si="367"/>
        <v>1.1888932584335683</v>
      </c>
      <c r="AL908">
        <f t="shared" ca="1" si="368"/>
        <v>1.2463064865888192</v>
      </c>
      <c r="AM908">
        <f t="shared" ca="1" si="369"/>
        <v>1.3062833680722425</v>
      </c>
      <c r="AN908">
        <f t="shared" ca="1" si="370"/>
        <v>1.3652627533083617</v>
      </c>
    </row>
    <row r="909" spans="2:40" x14ac:dyDescent="0.25">
      <c r="B909" s="1">
        <v>45044</v>
      </c>
      <c r="C909">
        <v>313.74700000000001</v>
      </c>
      <c r="D909">
        <v>285.87299999999999</v>
      </c>
      <c r="E909">
        <v>540.70299999999997</v>
      </c>
      <c r="G909">
        <v>297960</v>
      </c>
      <c r="I909" s="14">
        <f t="shared" si="353"/>
        <v>0.13693750498264223</v>
      </c>
      <c r="J909" s="15">
        <f t="shared" si="354"/>
        <v>0.13657706513571433</v>
      </c>
      <c r="K909" s="15">
        <f t="shared" si="355"/>
        <v>-6.1597202336014845E-2</v>
      </c>
      <c r="L909" s="15"/>
      <c r="M909" s="16">
        <f t="shared" si="356"/>
        <v>2.430295936099669E-2</v>
      </c>
      <c r="O909" s="13">
        <f t="shared" si="357"/>
        <v>7.0639122594113909E-2</v>
      </c>
      <c r="Q909" s="5">
        <f t="shared" si="358"/>
        <v>30514.883793132823</v>
      </c>
      <c r="R909" s="6">
        <f t="shared" si="359"/>
        <v>18434.810584734176</v>
      </c>
      <c r="T909" s="11">
        <f t="shared" si="360"/>
        <v>1.6552859956370871</v>
      </c>
      <c r="V909" s="9">
        <v>45044</v>
      </c>
      <c r="W909">
        <v>883400</v>
      </c>
      <c r="X909">
        <v>1635188.0363</v>
      </c>
      <c r="Y909">
        <v>325845.96669999999</v>
      </c>
      <c r="AC909" s="24">
        <f t="shared" si="361"/>
        <v>0.10983700629841707</v>
      </c>
      <c r="AE909" s="5">
        <f t="shared" si="362"/>
        <v>23668.916133612227</v>
      </c>
      <c r="AF909" s="6">
        <f t="shared" si="363"/>
        <v>18434.810584734176</v>
      </c>
      <c r="AH909" s="1">
        <f t="shared" si="364"/>
        <v>45044</v>
      </c>
      <c r="AI909">
        <f t="shared" si="365"/>
        <v>1.2839251059738255</v>
      </c>
      <c r="AJ909">
        <f t="shared" ca="1" si="366"/>
        <v>1.1114720766677391</v>
      </c>
      <c r="AK909">
        <f t="shared" ca="1" si="367"/>
        <v>1.1829777906235561</v>
      </c>
      <c r="AL909">
        <f t="shared" ca="1" si="368"/>
        <v>1.2389155779695056</v>
      </c>
      <c r="AM909">
        <f t="shared" ca="1" si="369"/>
        <v>1.3021106539086158</v>
      </c>
      <c r="AN909">
        <f t="shared" ca="1" si="370"/>
        <v>1.3652627533083617</v>
      </c>
    </row>
    <row r="910" spans="2:40" x14ac:dyDescent="0.25">
      <c r="B910" s="1">
        <v>45051</v>
      </c>
      <c r="C910">
        <v>271.98</v>
      </c>
      <c r="D910">
        <v>311.55599999999998</v>
      </c>
      <c r="E910">
        <v>555.56799999999998</v>
      </c>
      <c r="G910">
        <v>297140.09999999998</v>
      </c>
      <c r="I910" s="14">
        <f t="shared" si="353"/>
        <v>-0.13312318524161182</v>
      </c>
      <c r="J910" s="15">
        <f t="shared" si="354"/>
        <v>8.9840593550282843E-2</v>
      </c>
      <c r="K910" s="15">
        <f t="shared" si="355"/>
        <v>2.7491987283221997E-2</v>
      </c>
      <c r="L910" s="15"/>
      <c r="M910" s="16">
        <f t="shared" si="356"/>
        <v>-2.751711639146226E-3</v>
      </c>
      <c r="O910" s="13">
        <f t="shared" si="357"/>
        <v>-5.2635348027023259E-3</v>
      </c>
      <c r="Q910" s="5">
        <f t="shared" si="358"/>
        <v>30354.267640287249</v>
      </c>
      <c r="R910" s="6">
        <f t="shared" si="359"/>
        <v>18384.083301882707</v>
      </c>
      <c r="T910" s="11">
        <f t="shared" si="360"/>
        <v>1.6511167373343374</v>
      </c>
      <c r="V910" s="9">
        <v>45051</v>
      </c>
      <c r="W910">
        <v>765800</v>
      </c>
      <c r="X910">
        <v>1463538.4635000001</v>
      </c>
      <c r="Y910">
        <v>334804.03169999999</v>
      </c>
      <c r="AC910" s="24">
        <f t="shared" si="361"/>
        <v>1.345202421203061E-2</v>
      </c>
      <c r="AE910" s="5">
        <f t="shared" si="362"/>
        <v>23987.310966514102</v>
      </c>
      <c r="AF910" s="6">
        <f t="shared" si="363"/>
        <v>18384.083301882707</v>
      </c>
      <c r="AH910" s="1">
        <f t="shared" si="364"/>
        <v>45051</v>
      </c>
      <c r="AI910">
        <f t="shared" si="365"/>
        <v>1.3047868948710415</v>
      </c>
      <c r="AJ910">
        <f t="shared" ca="1" si="366"/>
        <v>1.1114720766677391</v>
      </c>
      <c r="AK910">
        <f t="shared" ca="1" si="367"/>
        <v>1.1829777906235561</v>
      </c>
      <c r="AL910">
        <f t="shared" ca="1" si="368"/>
        <v>1.2389155779695056</v>
      </c>
      <c r="AM910">
        <f t="shared" ca="1" si="369"/>
        <v>1.2909935258450462</v>
      </c>
      <c r="AN910">
        <f t="shared" ca="1" si="370"/>
        <v>1.3652627533083617</v>
      </c>
    </row>
    <row r="911" spans="2:40" x14ac:dyDescent="0.25">
      <c r="B911" s="1">
        <v>45058</v>
      </c>
      <c r="C911">
        <v>304.3</v>
      </c>
      <c r="D911">
        <v>348.09699999999998</v>
      </c>
      <c r="E911">
        <v>574.88800000000003</v>
      </c>
      <c r="G911">
        <v>321529.59999999998</v>
      </c>
      <c r="I911" s="14">
        <f t="shared" si="353"/>
        <v>0.11883226707846162</v>
      </c>
      <c r="J911" s="15">
        <f t="shared" si="354"/>
        <v>0.11728549602639649</v>
      </c>
      <c r="K911" s="15">
        <f t="shared" si="355"/>
        <v>3.4775221035048931E-2</v>
      </c>
      <c r="L911" s="15"/>
      <c r="M911" s="16">
        <f t="shared" si="356"/>
        <v>8.2080809692128387E-2</v>
      </c>
      <c r="O911" s="13">
        <f t="shared" si="357"/>
        <v>9.0297661379969016E-2</v>
      </c>
      <c r="Q911" s="5">
        <f t="shared" si="358"/>
        <v>33095.18702110686</v>
      </c>
      <c r="R911" s="6">
        <f t="shared" si="359"/>
        <v>19893.063744748775</v>
      </c>
      <c r="T911" s="11">
        <f t="shared" si="360"/>
        <v>1.6636546007068964</v>
      </c>
      <c r="V911" s="9">
        <v>45058</v>
      </c>
      <c r="W911">
        <v>856800</v>
      </c>
      <c r="X911">
        <v>1635188.0363</v>
      </c>
      <c r="Y911">
        <v>346446.59830000001</v>
      </c>
      <c r="AC911" s="24">
        <f t="shared" si="361"/>
        <v>0.106973956982992</v>
      </c>
      <c r="AE911" s="5">
        <f t="shared" si="362"/>
        <v>26553.328537983631</v>
      </c>
      <c r="AF911" s="6">
        <f t="shared" si="363"/>
        <v>19893.063744748775</v>
      </c>
      <c r="AH911" s="1">
        <f t="shared" si="364"/>
        <v>45058</v>
      </c>
      <c r="AI911">
        <f t="shared" si="365"/>
        <v>1.3348033705965971</v>
      </c>
      <c r="AJ911">
        <f t="shared" ca="1" si="366"/>
        <v>1.1114720766677391</v>
      </c>
      <c r="AK911">
        <f t="shared" ca="1" si="367"/>
        <v>1.1829777906235561</v>
      </c>
      <c r="AL911">
        <f t="shared" ca="1" si="368"/>
        <v>1.2389155779695056</v>
      </c>
      <c r="AM911">
        <f t="shared" ca="1" si="369"/>
        <v>1.2909935258450462</v>
      </c>
      <c r="AN911">
        <f t="shared" ca="1" si="370"/>
        <v>1.3652627533083617</v>
      </c>
    </row>
    <row r="912" spans="2:40" x14ac:dyDescent="0.25">
      <c r="B912" s="1">
        <v>45065</v>
      </c>
      <c r="C912">
        <v>353.02699999999999</v>
      </c>
      <c r="D912">
        <v>400.02300000000002</v>
      </c>
      <c r="E912">
        <v>594.54600000000005</v>
      </c>
      <c r="G912">
        <v>338677.6</v>
      </c>
      <c r="I912" s="14">
        <f t="shared" si="353"/>
        <v>0.16012816299704236</v>
      </c>
      <c r="J912" s="15">
        <f t="shared" si="354"/>
        <v>0.14917106438722549</v>
      </c>
      <c r="K912" s="15">
        <f t="shared" si="355"/>
        <v>3.4194486578255301E-2</v>
      </c>
      <c r="L912" s="15"/>
      <c r="M912" s="16">
        <f t="shared" si="356"/>
        <v>5.3332570313899597E-2</v>
      </c>
      <c r="O912" s="13">
        <f t="shared" si="357"/>
        <v>0.11449790465417438</v>
      </c>
      <c r="Q912" s="5">
        <f t="shared" si="358"/>
        <v>36884.51658916162</v>
      </c>
      <c r="R912" s="6">
        <f t="shared" si="359"/>
        <v>20954.011965674476</v>
      </c>
      <c r="T912" s="11">
        <f t="shared" si="360"/>
        <v>1.7602603572806717</v>
      </c>
      <c r="V912" s="9">
        <v>45065</v>
      </c>
      <c r="W912">
        <v>994000</v>
      </c>
      <c r="X912">
        <v>1879111.1136</v>
      </c>
      <c r="Y912">
        <v>358293.4204</v>
      </c>
      <c r="AC912" s="24">
        <f t="shared" si="361"/>
        <v>0.13844501073565274</v>
      </c>
      <c r="AE912" s="5">
        <f t="shared" si="362"/>
        <v>30229.50439249209</v>
      </c>
      <c r="AF912" s="6">
        <f t="shared" si="363"/>
        <v>20954.011965674476</v>
      </c>
      <c r="AH912" s="1">
        <f t="shared" si="364"/>
        <v>45065</v>
      </c>
      <c r="AI912">
        <f t="shared" si="365"/>
        <v>1.4426594984298058</v>
      </c>
      <c r="AJ912">
        <f t="shared" ca="1" si="366"/>
        <v>1.1114720766677391</v>
      </c>
      <c r="AK912">
        <f t="shared" ca="1" si="367"/>
        <v>1.1829777906235561</v>
      </c>
      <c r="AL912">
        <f t="shared" ca="1" si="368"/>
        <v>1.2389155779695056</v>
      </c>
      <c r="AM912">
        <f t="shared" ca="1" si="369"/>
        <v>1.3021106539086158</v>
      </c>
      <c r="AN912">
        <f t="shared" ca="1" si="370"/>
        <v>1.3652627533083617</v>
      </c>
    </row>
    <row r="913" spans="2:40" x14ac:dyDescent="0.25">
      <c r="B913" s="1">
        <v>45072</v>
      </c>
      <c r="C913">
        <v>361.48</v>
      </c>
      <c r="D913">
        <v>380.31</v>
      </c>
      <c r="E913">
        <v>605.48900000000003</v>
      </c>
      <c r="G913">
        <v>341669.3</v>
      </c>
      <c r="I913" s="14">
        <f t="shared" si="353"/>
        <v>2.3944344200302004E-2</v>
      </c>
      <c r="J913" s="15">
        <f t="shared" si="354"/>
        <v>-4.9279666419180912E-2</v>
      </c>
      <c r="K913" s="15">
        <f t="shared" si="355"/>
        <v>1.8405640606445894E-2</v>
      </c>
      <c r="L913" s="15"/>
      <c r="M913" s="16">
        <f t="shared" si="356"/>
        <v>8.8334746673532916E-3</v>
      </c>
      <c r="O913" s="13">
        <f t="shared" si="357"/>
        <v>-2.3098938708110048E-3</v>
      </c>
      <c r="Q913" s="5">
        <f t="shared" si="358"/>
        <v>36799.317270364489</v>
      </c>
      <c r="R913" s="6">
        <f t="shared" si="359"/>
        <v>21139.108699552678</v>
      </c>
      <c r="T913" s="11">
        <f t="shared" si="360"/>
        <v>1.7408168808528428</v>
      </c>
      <c r="V913" s="9">
        <v>45072</v>
      </c>
      <c r="W913">
        <v>1017800</v>
      </c>
      <c r="X913">
        <v>1786510.6861</v>
      </c>
      <c r="Y913">
        <v>364887.95679999999</v>
      </c>
      <c r="AC913" s="24">
        <f t="shared" si="361"/>
        <v>-1.9250660239417346E-2</v>
      </c>
      <c r="AE913" s="5">
        <f t="shared" si="362"/>
        <v>29647.566474226249</v>
      </c>
      <c r="AF913" s="6">
        <f t="shared" si="363"/>
        <v>21139.108699552678</v>
      </c>
      <c r="AH913" s="1">
        <f t="shared" si="364"/>
        <v>45072</v>
      </c>
      <c r="AI913">
        <f t="shared" si="365"/>
        <v>1.4024984163525123</v>
      </c>
      <c r="AJ913">
        <f t="shared" ca="1" si="366"/>
        <v>1.1114720766677391</v>
      </c>
      <c r="AK913">
        <f t="shared" ca="1" si="367"/>
        <v>1.1829777906235561</v>
      </c>
      <c r="AL913">
        <f t="shared" ca="1" si="368"/>
        <v>1.2389155779695056</v>
      </c>
      <c r="AM913">
        <f t="shared" ca="1" si="369"/>
        <v>1.3043718117254519</v>
      </c>
      <c r="AN913">
        <f t="shared" ca="1" si="370"/>
        <v>1.3783047140609224</v>
      </c>
    </row>
    <row r="914" spans="2:40" x14ac:dyDescent="0.25">
      <c r="B914" s="1">
        <v>45079</v>
      </c>
      <c r="C914">
        <v>369.93299999999999</v>
      </c>
      <c r="D914">
        <v>382.714</v>
      </c>
      <c r="E914">
        <v>608.97500000000002</v>
      </c>
      <c r="G914">
        <v>352936.8</v>
      </c>
      <c r="I914" s="14">
        <f t="shared" si="353"/>
        <v>2.3384419608277085E-2</v>
      </c>
      <c r="J914" s="15">
        <f t="shared" si="354"/>
        <v>6.3211590544556273E-3</v>
      </c>
      <c r="K914" s="15">
        <f t="shared" si="355"/>
        <v>5.7573300258138005E-3</v>
      </c>
      <c r="L914" s="15"/>
      <c r="M914" s="16">
        <f t="shared" si="356"/>
        <v>3.2977794610168365E-2</v>
      </c>
      <c r="O914" s="13">
        <f t="shared" si="357"/>
        <v>1.1820969562848838E-2</v>
      </c>
      <c r="Q914" s="5">
        <f t="shared" si="358"/>
        <v>37234.320879751082</v>
      </c>
      <c r="R914" s="6">
        <f t="shared" si="359"/>
        <v>21836.229884488552</v>
      </c>
      <c r="T914" s="11">
        <f t="shared" si="360"/>
        <v>1.7051625246994044</v>
      </c>
      <c r="V914" s="9">
        <v>45079</v>
      </c>
      <c r="W914">
        <v>1041600</v>
      </c>
      <c r="X914">
        <v>1797803.4212</v>
      </c>
      <c r="Y914">
        <v>366988.87109999999</v>
      </c>
      <c r="AC914" s="24">
        <f t="shared" si="361"/>
        <v>1.1736172154969358E-2</v>
      </c>
      <c r="AE914" s="5">
        <f t="shared" si="362"/>
        <v>29995.515418343664</v>
      </c>
      <c r="AF914" s="6">
        <f t="shared" si="363"/>
        <v>21836.229884488552</v>
      </c>
      <c r="AH914" s="1">
        <f t="shared" si="364"/>
        <v>45079</v>
      </c>
      <c r="AI914">
        <f t="shared" si="365"/>
        <v>1.373658162467464</v>
      </c>
      <c r="AJ914">
        <f t="shared" ca="1" si="366"/>
        <v>1.1114720766677391</v>
      </c>
      <c r="AK914">
        <f t="shared" ca="1" si="367"/>
        <v>1.1829777906235561</v>
      </c>
      <c r="AL914">
        <f t="shared" ca="1" si="368"/>
        <v>1.2389155779695056</v>
      </c>
      <c r="AM914">
        <f t="shared" ca="1" si="369"/>
        <v>1.3066984512178319</v>
      </c>
      <c r="AN914">
        <f t="shared" ca="1" si="370"/>
        <v>1.3866761250396755</v>
      </c>
    </row>
    <row r="915" spans="2:40" x14ac:dyDescent="0.25">
      <c r="B915" s="1">
        <v>45086</v>
      </c>
      <c r="C915">
        <v>365.45800000000003</v>
      </c>
      <c r="D915">
        <v>401.94600000000003</v>
      </c>
      <c r="E915">
        <v>634.29899999999998</v>
      </c>
      <c r="G915">
        <v>381763.9</v>
      </c>
      <c r="I915" s="14">
        <f t="shared" si="353"/>
        <v>-1.209678509351686E-2</v>
      </c>
      <c r="J915" s="15">
        <f t="shared" si="354"/>
        <v>5.0251623928050826E-2</v>
      </c>
      <c r="K915" s="15">
        <f t="shared" si="355"/>
        <v>4.1584629910915716E-2</v>
      </c>
      <c r="L915" s="15"/>
      <c r="M915" s="16">
        <f t="shared" si="356"/>
        <v>8.1677796138005521E-2</v>
      </c>
      <c r="O915" s="13">
        <f t="shared" si="357"/>
        <v>2.6579822915149893E-2</v>
      </c>
      <c r="Q915" s="5">
        <f t="shared" si="358"/>
        <v>38224.002535100735</v>
      </c>
      <c r="R915" s="6">
        <f t="shared" si="359"/>
        <v>23619.76501741643</v>
      </c>
      <c r="T915" s="11">
        <f t="shared" si="360"/>
        <v>1.6183057920735293</v>
      </c>
      <c r="V915" s="9">
        <v>45086</v>
      </c>
      <c r="W915">
        <v>1029000</v>
      </c>
      <c r="X915">
        <v>1888145.3015999999</v>
      </c>
      <c r="Y915">
        <v>382249.6789</v>
      </c>
      <c r="AC915" s="24">
        <f t="shared" si="361"/>
        <v>2.9005691747313791E-2</v>
      </c>
      <c r="AE915" s="5">
        <f t="shared" si="362"/>
        <v>30865.556092369941</v>
      </c>
      <c r="AF915" s="6">
        <f t="shared" si="363"/>
        <v>23619.76501741643</v>
      </c>
      <c r="AH915" s="1">
        <f t="shared" si="364"/>
        <v>45086</v>
      </c>
      <c r="AI915">
        <f t="shared" si="365"/>
        <v>1.3067681270161116</v>
      </c>
      <c r="AJ915">
        <f t="shared" ca="1" si="366"/>
        <v>1.1114720766677391</v>
      </c>
      <c r="AK915">
        <f t="shared" ca="1" si="367"/>
        <v>1.1829777906235561</v>
      </c>
      <c r="AL915">
        <f t="shared" ca="1" si="368"/>
        <v>1.2389155779695056</v>
      </c>
      <c r="AM915">
        <f t="shared" ca="1" si="369"/>
        <v>1.3180256828428019</v>
      </c>
      <c r="AN915">
        <f t="shared" ca="1" si="370"/>
        <v>1.3866761250396755</v>
      </c>
    </row>
    <row r="916" spans="2:40" x14ac:dyDescent="0.25">
      <c r="B916" s="1">
        <v>45093</v>
      </c>
      <c r="C916">
        <v>348.05500000000001</v>
      </c>
      <c r="D916">
        <v>382.714</v>
      </c>
      <c r="E916">
        <v>639.96400000000006</v>
      </c>
      <c r="G916">
        <v>409416.5</v>
      </c>
      <c r="I916" s="14">
        <f t="shared" si="353"/>
        <v>-4.7619699117272041E-2</v>
      </c>
      <c r="J916" s="15">
        <f t="shared" si="354"/>
        <v>-4.7847223258845828E-2</v>
      </c>
      <c r="K916" s="15">
        <f t="shared" si="355"/>
        <v>8.9311192355656654E-3</v>
      </c>
      <c r="L916" s="15"/>
      <c r="M916" s="16">
        <f t="shared" si="356"/>
        <v>7.2433773858659789E-2</v>
      </c>
      <c r="O916" s="13">
        <f t="shared" si="357"/>
        <v>-2.8845267713517402E-2</v>
      </c>
      <c r="Q916" s="5">
        <f t="shared" si="358"/>
        <v>37121.420948893589</v>
      </c>
      <c r="R916" s="6">
        <f t="shared" si="359"/>
        <v>25330.633735282656</v>
      </c>
      <c r="T916" s="11">
        <f t="shared" si="360"/>
        <v>1.4654754135577637</v>
      </c>
      <c r="V916" s="9">
        <v>45093</v>
      </c>
      <c r="W916">
        <v>980000</v>
      </c>
      <c r="X916">
        <v>1797803.4212</v>
      </c>
      <c r="Y916">
        <v>385663.66460000002</v>
      </c>
      <c r="AC916" s="24">
        <f t="shared" si="361"/>
        <v>-4.1198238927385764E-2</v>
      </c>
      <c r="AE916" s="5">
        <f t="shared" si="362"/>
        <v>29593.949537849858</v>
      </c>
      <c r="AF916" s="6">
        <f t="shared" si="363"/>
        <v>25330.633735282656</v>
      </c>
      <c r="AH916" s="1">
        <f t="shared" si="364"/>
        <v>45093</v>
      </c>
      <c r="AI916">
        <f t="shared" si="365"/>
        <v>1.168306716962588</v>
      </c>
      <c r="AJ916">
        <f t="shared" ca="1" si="366"/>
        <v>1.1114720766677391</v>
      </c>
      <c r="AK916">
        <f t="shared" ca="1" si="367"/>
        <v>1.1829777906235561</v>
      </c>
      <c r="AL916">
        <f t="shared" ca="1" si="368"/>
        <v>1.2389155779695056</v>
      </c>
      <c r="AM916">
        <f t="shared" ca="1" si="369"/>
        <v>1.3180256828428019</v>
      </c>
      <c r="AN916">
        <f t="shared" ca="1" si="370"/>
        <v>1.3866761250396755</v>
      </c>
    </row>
    <row r="917" spans="2:40" x14ac:dyDescent="0.25">
      <c r="B917" s="1">
        <v>45100</v>
      </c>
      <c r="C917">
        <v>367.447</v>
      </c>
      <c r="D917">
        <v>378.387</v>
      </c>
      <c r="E917">
        <v>673.76099999999997</v>
      </c>
      <c r="G917">
        <v>420736.7</v>
      </c>
      <c r="I917" s="14">
        <f t="shared" si="353"/>
        <v>5.5715332346899293E-2</v>
      </c>
      <c r="J917" s="15">
        <f t="shared" si="354"/>
        <v>-1.1306092800367873E-2</v>
      </c>
      <c r="K917" s="15">
        <f t="shared" si="355"/>
        <v>5.281078310654963E-2</v>
      </c>
      <c r="L917" s="15"/>
      <c r="M917" s="16">
        <f t="shared" si="356"/>
        <v>2.7649593995356936E-2</v>
      </c>
      <c r="O917" s="13">
        <f t="shared" si="357"/>
        <v>3.2406674217693686E-2</v>
      </c>
      <c r="Q917" s="5">
        <f t="shared" si="358"/>
        <v>38324.402744082246</v>
      </c>
      <c r="R917" s="6">
        <f t="shared" si="359"/>
        <v>26031.015473708314</v>
      </c>
      <c r="T917" s="11">
        <f t="shared" si="360"/>
        <v>1.4722592279502282</v>
      </c>
      <c r="V917" s="9">
        <v>45100</v>
      </c>
      <c r="W917">
        <v>1034600</v>
      </c>
      <c r="X917">
        <v>1777476.4981</v>
      </c>
      <c r="Y917">
        <v>406030.86119999998</v>
      </c>
      <c r="AC917" s="24">
        <f t="shared" si="361"/>
        <v>1.7272850339299387E-2</v>
      </c>
      <c r="AE917" s="5">
        <f t="shared" si="362"/>
        <v>30105.121399165917</v>
      </c>
      <c r="AF917" s="6">
        <f t="shared" si="363"/>
        <v>26031.015473708314</v>
      </c>
      <c r="AH917" s="1">
        <f t="shared" si="364"/>
        <v>45100</v>
      </c>
      <c r="AI917">
        <f t="shared" si="365"/>
        <v>1.1565096809063211</v>
      </c>
      <c r="AJ917">
        <f t="shared" ca="1" si="366"/>
        <v>1.1114720766677391</v>
      </c>
      <c r="AK917">
        <f t="shared" ca="1" si="367"/>
        <v>1.1748179653251416</v>
      </c>
      <c r="AL917">
        <f t="shared" ca="1" si="368"/>
        <v>1.237514684102814</v>
      </c>
      <c r="AM917">
        <f t="shared" ca="1" si="369"/>
        <v>1.3180256828428019</v>
      </c>
      <c r="AN917">
        <f t="shared" ca="1" si="370"/>
        <v>1.3866761250396755</v>
      </c>
    </row>
    <row r="918" spans="2:40" x14ac:dyDescent="0.25">
      <c r="B918" s="1">
        <v>45107</v>
      </c>
      <c r="C918">
        <v>361.48</v>
      </c>
      <c r="D918">
        <v>375.02199999999999</v>
      </c>
      <c r="E918">
        <v>703.75</v>
      </c>
      <c r="G918">
        <v>426280.97</v>
      </c>
      <c r="I918" s="14">
        <f t="shared" si="353"/>
        <v>-1.6239076655953033E-2</v>
      </c>
      <c r="J918" s="15">
        <f t="shared" si="354"/>
        <v>-8.8930116520916647E-3</v>
      </c>
      <c r="K918" s="15">
        <f t="shared" si="355"/>
        <v>4.4509848447743305E-2</v>
      </c>
      <c r="L918" s="15"/>
      <c r="M918" s="16">
        <f t="shared" si="356"/>
        <v>1.3177528844048991E-2</v>
      </c>
      <c r="O918" s="13">
        <f t="shared" si="357"/>
        <v>6.4592533798995362E-3</v>
      </c>
      <c r="Q918" s="5">
        <f t="shared" si="358"/>
        <v>38571.949772039588</v>
      </c>
      <c r="R918" s="6">
        <f t="shared" si="359"/>
        <v>26374.039930952989</v>
      </c>
      <c r="T918" s="11">
        <f t="shared" si="360"/>
        <v>1.4624968291934275</v>
      </c>
      <c r="V918" s="9">
        <v>45107</v>
      </c>
      <c r="W918">
        <v>1017800</v>
      </c>
      <c r="X918">
        <v>1761666.669</v>
      </c>
      <c r="Y918">
        <v>410699.55959999998</v>
      </c>
      <c r="AC918" s="24">
        <f t="shared" si="361"/>
        <v>-4.5168461450007351E-3</v>
      </c>
      <c r="AE918" s="5">
        <f t="shared" si="362"/>
        <v>29969.141197629317</v>
      </c>
      <c r="AF918" s="6">
        <f t="shared" si="363"/>
        <v>26374.039930952989</v>
      </c>
      <c r="AH918" s="1">
        <f t="shared" si="364"/>
        <v>45107</v>
      </c>
      <c r="AI918">
        <f t="shared" si="365"/>
        <v>1.1363121188899492</v>
      </c>
      <c r="AJ918">
        <f t="shared" ca="1" si="366"/>
        <v>1.1114720766677391</v>
      </c>
      <c r="AK918">
        <f t="shared" ca="1" si="367"/>
        <v>1.1668778717825881</v>
      </c>
      <c r="AL918">
        <f t="shared" ca="1" si="368"/>
        <v>1.2364061041348142</v>
      </c>
      <c r="AM918">
        <f t="shared" ca="1" si="369"/>
        <v>1.3180256828428019</v>
      </c>
      <c r="AN918">
        <f t="shared" ca="1" si="370"/>
        <v>1.3866761250396755</v>
      </c>
    </row>
    <row r="919" spans="2:40" x14ac:dyDescent="0.25">
      <c r="B919" s="1">
        <v>45114</v>
      </c>
      <c r="C919">
        <v>370.43</v>
      </c>
      <c r="D919">
        <v>397.13799999999998</v>
      </c>
      <c r="E919">
        <v>702.8</v>
      </c>
      <c r="G919">
        <v>423580.4</v>
      </c>
      <c r="I919" s="14">
        <f t="shared" si="353"/>
        <v>2.4759322784109639E-2</v>
      </c>
      <c r="J919" s="15">
        <f t="shared" si="354"/>
        <v>5.8972540277637098E-2</v>
      </c>
      <c r="K919" s="15">
        <f t="shared" si="355"/>
        <v>-1.3499111900533434E-3</v>
      </c>
      <c r="L919" s="15"/>
      <c r="M919" s="16">
        <f t="shared" si="356"/>
        <v>-6.3351877987890548E-3</v>
      </c>
      <c r="O919" s="13">
        <f t="shared" si="357"/>
        <v>2.7460650623897798E-2</v>
      </c>
      <c r="Q919" s="5">
        <f t="shared" si="358"/>
        <v>39631.160608612103</v>
      </c>
      <c r="R919" s="6">
        <f t="shared" si="359"/>
        <v>26206.955434977641</v>
      </c>
      <c r="T919" s="11">
        <f t="shared" si="360"/>
        <v>1.5122382570131583</v>
      </c>
      <c r="V919" s="9">
        <v>45114</v>
      </c>
      <c r="W919">
        <v>1043000</v>
      </c>
      <c r="X919">
        <v>1865559.8315000001</v>
      </c>
      <c r="Y919">
        <v>410145.15159999998</v>
      </c>
      <c r="AC919" s="24">
        <f t="shared" si="361"/>
        <v>4.0291188665799942E-2</v>
      </c>
      <c r="AE919" s="5">
        <f t="shared" si="362"/>
        <v>31176.633519774998</v>
      </c>
      <c r="AF919" s="6">
        <f t="shared" si="363"/>
        <v>26206.955434977641</v>
      </c>
      <c r="AH919" s="1">
        <f t="shared" si="364"/>
        <v>45114</v>
      </c>
      <c r="AI919">
        <f t="shared" si="365"/>
        <v>1.1896320271588845</v>
      </c>
      <c r="AJ919">
        <f t="shared" ca="1" si="366"/>
        <v>1.1114720766677391</v>
      </c>
      <c r="AK919">
        <f t="shared" ca="1" si="367"/>
        <v>1.1620570132497392</v>
      </c>
      <c r="AL919">
        <f t="shared" ca="1" si="368"/>
        <v>1.2330479301235182</v>
      </c>
      <c r="AM919">
        <f t="shared" ca="1" si="369"/>
        <v>1.3180256828428019</v>
      </c>
      <c r="AN919">
        <f t="shared" ca="1" si="370"/>
        <v>1.3866761250396755</v>
      </c>
    </row>
    <row r="920" spans="2:40" x14ac:dyDescent="0.25">
      <c r="B920" s="1">
        <v>45121</v>
      </c>
      <c r="C920">
        <v>407.72199999999998</v>
      </c>
      <c r="D920">
        <v>412.524</v>
      </c>
      <c r="E920">
        <v>734.65</v>
      </c>
      <c r="G920">
        <v>443303.6</v>
      </c>
      <c r="I920" s="14">
        <f t="shared" si="353"/>
        <v>0.10067219177712383</v>
      </c>
      <c r="J920" s="15">
        <f t="shared" si="354"/>
        <v>3.8742200444178199E-2</v>
      </c>
      <c r="K920" s="15">
        <f t="shared" si="355"/>
        <v>4.5318725099601664E-2</v>
      </c>
      <c r="L920" s="15"/>
      <c r="M920" s="16">
        <f t="shared" si="356"/>
        <v>4.6563060991490435E-2</v>
      </c>
      <c r="O920" s="13">
        <f t="shared" si="357"/>
        <v>6.1577705773634563E-2</v>
      </c>
      <c r="Q920" s="5">
        <f t="shared" si="358"/>
        <v>42071.556556036878</v>
      </c>
      <c r="R920" s="6">
        <f t="shared" si="359"/>
        <v>27427.231499297777</v>
      </c>
      <c r="T920" s="11">
        <f t="shared" si="360"/>
        <v>1.5339337678727816</v>
      </c>
      <c r="V920" s="9">
        <v>45121</v>
      </c>
      <c r="W920">
        <v>1148000</v>
      </c>
      <c r="X920">
        <v>1937833.3359000001</v>
      </c>
      <c r="Y920">
        <v>428732.40700000001</v>
      </c>
      <c r="AC920" s="24">
        <f t="shared" si="361"/>
        <v>5.901827530010173E-2</v>
      </c>
      <c r="AE920" s="5">
        <f t="shared" si="362"/>
        <v>33016.624659775458</v>
      </c>
      <c r="AF920" s="6">
        <f t="shared" si="363"/>
        <v>27427.231499297777</v>
      </c>
      <c r="AH920" s="1">
        <f t="shared" si="364"/>
        <v>45121</v>
      </c>
      <c r="AI920">
        <f t="shared" si="365"/>
        <v>1.2037899144367081</v>
      </c>
      <c r="AJ920">
        <f t="shared" ca="1" si="366"/>
        <v>1.1114720766677391</v>
      </c>
      <c r="AK920">
        <f t="shared" ca="1" si="367"/>
        <v>1.1620570132497392</v>
      </c>
      <c r="AL920">
        <f t="shared" ca="1" si="368"/>
        <v>1.227776109902236</v>
      </c>
      <c r="AM920">
        <f t="shared" ca="1" si="369"/>
        <v>1.3081843753266345</v>
      </c>
      <c r="AN920">
        <f t="shared" ca="1" si="370"/>
        <v>1.3866761250396755</v>
      </c>
    </row>
    <row r="921" spans="2:40" x14ac:dyDescent="0.25">
      <c r="B921" s="1">
        <v>45128</v>
      </c>
      <c r="C921">
        <v>459.93</v>
      </c>
      <c r="D921">
        <v>461.565</v>
      </c>
      <c r="E921">
        <v>729.75</v>
      </c>
      <c r="G921">
        <v>472973.6</v>
      </c>
      <c r="I921" s="14">
        <f t="shared" si="353"/>
        <v>0.12804803272818255</v>
      </c>
      <c r="J921" s="15">
        <f t="shared" si="354"/>
        <v>0.11888035605201153</v>
      </c>
      <c r="K921" s="15">
        <f t="shared" si="355"/>
        <v>-6.6698427822772244E-3</v>
      </c>
      <c r="L921" s="15"/>
      <c r="M921" s="16">
        <f t="shared" si="356"/>
        <v>6.6929300822280657E-2</v>
      </c>
      <c r="O921" s="13">
        <f t="shared" si="357"/>
        <v>8.0086181999305617E-2</v>
      </c>
      <c r="Q921" s="5">
        <f t="shared" si="358"/>
        <v>45440.906891377723</v>
      </c>
      <c r="R921" s="6">
        <f t="shared" si="359"/>
        <v>29262.916927036611</v>
      </c>
      <c r="T921" s="11">
        <f t="shared" si="360"/>
        <v>1.5528495332395909</v>
      </c>
      <c r="V921" s="9">
        <v>45128</v>
      </c>
      <c r="W921">
        <v>1295000</v>
      </c>
      <c r="X921">
        <v>2168205.1310000001</v>
      </c>
      <c r="Y921">
        <v>425872.82929999998</v>
      </c>
      <c r="AC921" s="24">
        <f t="shared" si="361"/>
        <v>0.10655936128650231</v>
      </c>
      <c r="AE921" s="5">
        <f t="shared" si="362"/>
        <v>36534.855095357314</v>
      </c>
      <c r="AF921" s="6">
        <f t="shared" si="363"/>
        <v>29262.916927036611</v>
      </c>
      <c r="AH921" s="1">
        <f t="shared" si="364"/>
        <v>45128</v>
      </c>
      <c r="AI921">
        <f t="shared" si="365"/>
        <v>1.2485035304734782</v>
      </c>
      <c r="AJ921">
        <f t="shared" ca="1" si="366"/>
        <v>1.1114720766677391</v>
      </c>
      <c r="AK921">
        <f t="shared" ca="1" si="367"/>
        <v>1.1620570132497392</v>
      </c>
      <c r="AL921">
        <f t="shared" ca="1" si="368"/>
        <v>1.2204230703244452</v>
      </c>
      <c r="AM921">
        <f t="shared" ca="1" si="369"/>
        <v>1.305282202907309</v>
      </c>
      <c r="AN921">
        <f t="shared" ca="1" si="370"/>
        <v>1.3790198258320154</v>
      </c>
    </row>
    <row r="922" spans="2:40" x14ac:dyDescent="0.25">
      <c r="B922" s="1">
        <v>45135</v>
      </c>
      <c r="C922">
        <v>463.90800000000002</v>
      </c>
      <c r="D922">
        <v>431.27499999999998</v>
      </c>
      <c r="E922">
        <v>733.55</v>
      </c>
      <c r="G922">
        <v>457787.8</v>
      </c>
      <c r="I922" s="14">
        <f t="shared" si="353"/>
        <v>8.6491422607788415E-3</v>
      </c>
      <c r="J922" s="15">
        <f t="shared" si="354"/>
        <v>-6.5624559921137915E-2</v>
      </c>
      <c r="K922" s="15">
        <f t="shared" si="355"/>
        <v>5.2072627612196332E-3</v>
      </c>
      <c r="L922" s="15"/>
      <c r="M922" s="16">
        <f t="shared" si="356"/>
        <v>-3.2107077435188702E-2</v>
      </c>
      <c r="O922" s="13">
        <f t="shared" si="357"/>
        <v>-1.7256051633046481E-2</v>
      </c>
      <c r="Q922" s="5">
        <f t="shared" si="358"/>
        <v>44656.77625580765</v>
      </c>
      <c r="R922" s="6">
        <f t="shared" si="359"/>
        <v>28323.370187280751</v>
      </c>
      <c r="T922" s="11">
        <f t="shared" si="360"/>
        <v>1.5766759379454705</v>
      </c>
      <c r="V922" s="9">
        <v>45135</v>
      </c>
      <c r="W922">
        <v>1306200</v>
      </c>
      <c r="X922">
        <v>2025916.6693</v>
      </c>
      <c r="Y922">
        <v>428090.46100000001</v>
      </c>
      <c r="AC922" s="24">
        <f t="shared" si="361"/>
        <v>-3.3136192666590208E-2</v>
      </c>
      <c r="AE922" s="5">
        <f t="shared" si="362"/>
        <v>35324.229097871597</v>
      </c>
      <c r="AF922" s="6">
        <f t="shared" si="363"/>
        <v>28323.370187280751</v>
      </c>
      <c r="AH922" s="1">
        <f t="shared" si="364"/>
        <v>45135</v>
      </c>
      <c r="AI922">
        <f t="shared" si="365"/>
        <v>1.2471760551198368</v>
      </c>
      <c r="AJ922">
        <f t="shared" ca="1" si="366"/>
        <v>1.1114720766677391</v>
      </c>
      <c r="AK922">
        <f t="shared" ca="1" si="367"/>
        <v>1.1620570132497392</v>
      </c>
      <c r="AL922">
        <f t="shared" ca="1" si="368"/>
        <v>1.2204230703244452</v>
      </c>
      <c r="AM922">
        <f t="shared" ca="1" si="369"/>
        <v>1.291646769480582</v>
      </c>
      <c r="AN922">
        <f t="shared" ca="1" si="370"/>
        <v>1.3729430506963709</v>
      </c>
    </row>
    <row r="923" spans="2:40" x14ac:dyDescent="0.25">
      <c r="B923" s="1">
        <v>45142</v>
      </c>
      <c r="C923">
        <v>428.108</v>
      </c>
      <c r="D923">
        <v>398.58100000000002</v>
      </c>
      <c r="E923">
        <v>762.2</v>
      </c>
      <c r="G923">
        <v>451570.6</v>
      </c>
      <c r="I923" s="14">
        <f t="shared" si="353"/>
        <v>-7.7170473455943855E-2</v>
      </c>
      <c r="J923" s="15">
        <f t="shared" si="354"/>
        <v>-7.5807779259173258E-2</v>
      </c>
      <c r="K923" s="15">
        <f t="shared" si="355"/>
        <v>3.9056642355667748E-2</v>
      </c>
      <c r="L923" s="15"/>
      <c r="M923" s="16">
        <f t="shared" si="356"/>
        <v>-1.3580964805090967E-2</v>
      </c>
      <c r="O923" s="13">
        <f t="shared" si="357"/>
        <v>-3.7973870119816455E-2</v>
      </c>
      <c r="Q923" s="5">
        <f t="shared" si="358"/>
        <v>42960.985634299905</v>
      </c>
      <c r="R923" s="6">
        <f t="shared" si="359"/>
        <v>27938.71149360573</v>
      </c>
      <c r="T923" s="11">
        <f t="shared" si="360"/>
        <v>1.5376867198808466</v>
      </c>
      <c r="V923" s="9">
        <v>45142</v>
      </c>
      <c r="W923">
        <v>1205400</v>
      </c>
      <c r="X923">
        <v>1872335.4724999999</v>
      </c>
      <c r="Y923">
        <v>444810.23700000002</v>
      </c>
      <c r="AC923" s="24">
        <f t="shared" si="361"/>
        <v>-6.3204108663507744E-2</v>
      </c>
      <c r="AE923" s="5">
        <f t="shared" si="362"/>
        <v>33091.592683515075</v>
      </c>
      <c r="AF923" s="6">
        <f t="shared" si="363"/>
        <v>27938.71149360573</v>
      </c>
      <c r="AH923" s="1">
        <f t="shared" si="364"/>
        <v>45142</v>
      </c>
      <c r="AI923">
        <f t="shared" si="365"/>
        <v>1.1844351766576162</v>
      </c>
      <c r="AJ923">
        <f t="shared" ca="1" si="366"/>
        <v>1.1114720766677391</v>
      </c>
      <c r="AK923">
        <f t="shared" ca="1" si="367"/>
        <v>1.1620570132497392</v>
      </c>
      <c r="AL923">
        <f t="shared" ca="1" si="368"/>
        <v>1.2204230703244452</v>
      </c>
      <c r="AM923">
        <f t="shared" ca="1" si="369"/>
        <v>1.2847605114013096</v>
      </c>
      <c r="AN923">
        <f t="shared" ca="1" si="370"/>
        <v>1.3652627533083617</v>
      </c>
    </row>
    <row r="924" spans="2:40" x14ac:dyDescent="0.25">
      <c r="B924" s="1">
        <v>45149</v>
      </c>
      <c r="C924">
        <v>445.01299999999998</v>
      </c>
      <c r="D924">
        <v>423.58199999999999</v>
      </c>
      <c r="E924">
        <v>781.8</v>
      </c>
      <c r="G924">
        <v>480252.6</v>
      </c>
      <c r="I924" s="14">
        <f t="shared" si="353"/>
        <v>3.9487699365580609E-2</v>
      </c>
      <c r="J924" s="15">
        <f t="shared" si="354"/>
        <v>6.2725016997799532E-2</v>
      </c>
      <c r="K924" s="15">
        <f t="shared" si="355"/>
        <v>2.571503542377318E-2</v>
      </c>
      <c r="L924" s="15"/>
      <c r="M924" s="16">
        <f t="shared" si="356"/>
        <v>6.3516092500264687E-2</v>
      </c>
      <c r="O924" s="13">
        <f t="shared" si="357"/>
        <v>4.2642583929051105E-2</v>
      </c>
      <c r="Q924" s="5">
        <f t="shared" si="358"/>
        <v>44792.953069885298</v>
      </c>
      <c r="R924" s="6">
        <f t="shared" si="359"/>
        <v>29713.269277171799</v>
      </c>
      <c r="T924" s="11">
        <f t="shared" si="360"/>
        <v>1.5075067187002194</v>
      </c>
      <c r="V924" s="9">
        <v>45149</v>
      </c>
      <c r="W924">
        <v>1253000</v>
      </c>
      <c r="X924">
        <v>1989779.9171</v>
      </c>
      <c r="Y924">
        <v>456248.54800000001</v>
      </c>
      <c r="AC924" s="24">
        <f t="shared" si="361"/>
        <v>5.0099863198021705E-2</v>
      </c>
      <c r="AE924" s="5">
        <f t="shared" si="362"/>
        <v>34749.476949963835</v>
      </c>
      <c r="AF924" s="6">
        <f t="shared" si="363"/>
        <v>29713.269277171799</v>
      </c>
      <c r="AH924" s="1">
        <f t="shared" si="364"/>
        <v>45149</v>
      </c>
      <c r="AI924">
        <f t="shared" si="365"/>
        <v>1.1694935560881301</v>
      </c>
      <c r="AJ924">
        <f t="shared" ca="1" si="366"/>
        <v>1.1114720766677391</v>
      </c>
      <c r="AK924">
        <f t="shared" ca="1" si="367"/>
        <v>1.1620570132497392</v>
      </c>
      <c r="AL924">
        <f t="shared" ca="1" si="368"/>
        <v>1.2135349236863113</v>
      </c>
      <c r="AM924">
        <f t="shared" ca="1" si="369"/>
        <v>1.2830991937678236</v>
      </c>
      <c r="AN924">
        <f t="shared" ca="1" si="370"/>
        <v>1.3537630089103734</v>
      </c>
    </row>
    <row r="925" spans="2:40" x14ac:dyDescent="0.25">
      <c r="B925" s="1">
        <v>45156</v>
      </c>
      <c r="C925">
        <v>595.67100000000005</v>
      </c>
      <c r="D925">
        <v>541.37699999999995</v>
      </c>
      <c r="E925">
        <v>971.4</v>
      </c>
      <c r="G925">
        <v>584293.18999999994</v>
      </c>
      <c r="I925" s="14">
        <f t="shared" si="353"/>
        <v>0.3385474132216364</v>
      </c>
      <c r="J925" s="15">
        <f t="shared" si="354"/>
        <v>0.27809255350793927</v>
      </c>
      <c r="K925" s="15">
        <f t="shared" si="355"/>
        <v>0.24251726784343819</v>
      </c>
      <c r="L925" s="15"/>
      <c r="M925" s="16">
        <f t="shared" si="356"/>
        <v>0.21663722382762729</v>
      </c>
      <c r="O925" s="13">
        <f t="shared" si="357"/>
        <v>0.28638574485767126</v>
      </c>
      <c r="Q925" s="5">
        <f t="shared" si="358"/>
        <v>57621.016299179108</v>
      </c>
      <c r="R925" s="6">
        <f t="shared" si="359"/>
        <v>36150.269444221027</v>
      </c>
      <c r="T925" s="11">
        <f t="shared" si="360"/>
        <v>1.5939304792205466</v>
      </c>
      <c r="V925" s="9">
        <v>45156</v>
      </c>
      <c r="W925">
        <v>1677200</v>
      </c>
      <c r="X925">
        <v>2543123.9349000002</v>
      </c>
      <c r="Y925">
        <v>566896.69929999998</v>
      </c>
      <c r="AC925" s="24">
        <f t="shared" si="361"/>
        <v>0.29418293165823006</v>
      </c>
      <c r="AE925" s="5">
        <f t="shared" si="362"/>
        <v>44972.179952694285</v>
      </c>
      <c r="AF925" s="6">
        <f t="shared" si="363"/>
        <v>36150.269444221027</v>
      </c>
      <c r="AH925" s="1">
        <f t="shared" si="364"/>
        <v>45156</v>
      </c>
      <c r="AI925">
        <f t="shared" si="365"/>
        <v>1.2440344330513289</v>
      </c>
      <c r="AJ925">
        <f t="shared" ca="1" si="366"/>
        <v>1.1114720766677391</v>
      </c>
      <c r="AK925">
        <f t="shared" ca="1" si="367"/>
        <v>1.1620570132497392</v>
      </c>
      <c r="AL925">
        <f t="shared" ca="1" si="368"/>
        <v>1.2090583383545339</v>
      </c>
      <c r="AM925">
        <f t="shared" ca="1" si="369"/>
        <v>1.2741817714631578</v>
      </c>
      <c r="AN925">
        <f t="shared" ca="1" si="370"/>
        <v>1.3494279620270009</v>
      </c>
    </row>
    <row r="926" spans="2:40" x14ac:dyDescent="0.25">
      <c r="B926" s="1">
        <v>45163</v>
      </c>
      <c r="C926">
        <v>644.89599999999996</v>
      </c>
      <c r="D926">
        <v>574.072</v>
      </c>
      <c r="E926">
        <v>1014.1</v>
      </c>
      <c r="G926">
        <v>631166.1</v>
      </c>
      <c r="I926" s="14">
        <f t="shared" si="353"/>
        <v>8.2637899108735979E-2</v>
      </c>
      <c r="J926" s="15">
        <f t="shared" si="354"/>
        <v>6.0392295941645191E-2</v>
      </c>
      <c r="K926" s="15">
        <f t="shared" si="355"/>
        <v>4.3957175211035704E-2</v>
      </c>
      <c r="L926" s="15"/>
      <c r="M926" s="16">
        <f t="shared" si="356"/>
        <v>8.0221557947646183E-2</v>
      </c>
      <c r="O926" s="13">
        <f t="shared" si="357"/>
        <v>6.2329123420472289E-2</v>
      </c>
      <c r="Q926" s="5">
        <f t="shared" si="358"/>
        <v>61212.483735703689</v>
      </c>
      <c r="R926" s="6">
        <f t="shared" si="359"/>
        <v>39050.30037926363</v>
      </c>
      <c r="T926" s="11">
        <f t="shared" si="360"/>
        <v>1.5675291391153692</v>
      </c>
      <c r="V926" s="9">
        <v>45163</v>
      </c>
      <c r="W926">
        <v>1815800</v>
      </c>
      <c r="X926">
        <v>2696705.1316999998</v>
      </c>
      <c r="Y926">
        <v>591815.87690000003</v>
      </c>
      <c r="AC926" s="24">
        <f t="shared" si="361"/>
        <v>6.6239803728748284E-2</v>
      </c>
      <c r="AE926" s="5">
        <f t="shared" si="362"/>
        <v>47951.12832601471</v>
      </c>
      <c r="AF926" s="6">
        <f t="shared" si="363"/>
        <v>39050.30037926363</v>
      </c>
      <c r="AH926" s="1">
        <f t="shared" si="364"/>
        <v>45163</v>
      </c>
      <c r="AI926">
        <f t="shared" si="365"/>
        <v>1.2279323810650524</v>
      </c>
      <c r="AJ926">
        <f t="shared" ca="1" si="366"/>
        <v>1.1114720766677391</v>
      </c>
      <c r="AK926">
        <f t="shared" ca="1" si="367"/>
        <v>1.1620570132497392</v>
      </c>
      <c r="AL926">
        <f t="shared" ca="1" si="368"/>
        <v>1.2090583383545339</v>
      </c>
      <c r="AM926">
        <f t="shared" ca="1" si="369"/>
        <v>1.2678307987773823</v>
      </c>
      <c r="AN926">
        <f t="shared" ca="1" si="370"/>
        <v>1.3325663455627577</v>
      </c>
    </row>
    <row r="927" spans="2:40" x14ac:dyDescent="0.25">
      <c r="B927" s="1">
        <v>45170</v>
      </c>
      <c r="C927">
        <v>603.62699999999995</v>
      </c>
      <c r="D927">
        <v>584.649</v>
      </c>
      <c r="E927">
        <v>1004.5</v>
      </c>
      <c r="G927">
        <v>634791.69999999995</v>
      </c>
      <c r="I927" s="14">
        <f t="shared" si="353"/>
        <v>-6.399326403016925E-2</v>
      </c>
      <c r="J927" s="15">
        <f t="shared" si="354"/>
        <v>1.8424518178904448E-2</v>
      </c>
      <c r="K927" s="15">
        <f t="shared" si="355"/>
        <v>-9.4665220392466942E-3</v>
      </c>
      <c r="L927" s="15"/>
      <c r="M927" s="16">
        <f t="shared" si="356"/>
        <v>5.7442882309426402E-3</v>
      </c>
      <c r="O927" s="13">
        <f t="shared" si="357"/>
        <v>-1.8345089296837164E-2</v>
      </c>
      <c r="Q927" s="5">
        <f t="shared" si="358"/>
        <v>60089.535255491006</v>
      </c>
      <c r="R927" s="6">
        <f t="shared" si="359"/>
        <v>39274.616560147006</v>
      </c>
      <c r="T927" s="11">
        <f t="shared" si="360"/>
        <v>1.5299840079524913</v>
      </c>
      <c r="V927" s="9">
        <v>45170</v>
      </c>
      <c r="W927">
        <v>1699600</v>
      </c>
      <c r="X927">
        <v>2746393.1660000002</v>
      </c>
      <c r="Y927">
        <v>586213.4388</v>
      </c>
      <c r="AC927" s="24">
        <f t="shared" si="361"/>
        <v>-1.4128404938516886E-2</v>
      </c>
      <c r="AE927" s="5">
        <f t="shared" si="362"/>
        <v>47273.65536776599</v>
      </c>
      <c r="AF927" s="6">
        <f t="shared" si="363"/>
        <v>39274.616560147006</v>
      </c>
      <c r="AH927" s="1">
        <f t="shared" si="364"/>
        <v>45170</v>
      </c>
      <c r="AI927">
        <f t="shared" si="365"/>
        <v>1.2036694310017992</v>
      </c>
      <c r="AJ927">
        <f t="shared" ca="1" si="366"/>
        <v>1.1114720766677391</v>
      </c>
      <c r="AK927">
        <f t="shared" ca="1" si="367"/>
        <v>1.1620570132497392</v>
      </c>
      <c r="AL927">
        <f t="shared" ca="1" si="368"/>
        <v>1.2090583383545339</v>
      </c>
      <c r="AM927">
        <f t="shared" ca="1" si="369"/>
        <v>1.2605377425082605</v>
      </c>
      <c r="AN927">
        <f t="shared" ca="1" si="370"/>
        <v>1.3118666209339942</v>
      </c>
    </row>
    <row r="928" spans="2:40" x14ac:dyDescent="0.25">
      <c r="B928" s="1">
        <v>45177</v>
      </c>
      <c r="C928">
        <v>561.36300000000006</v>
      </c>
      <c r="D928">
        <v>483.68200000000002</v>
      </c>
      <c r="E928">
        <v>867.1</v>
      </c>
      <c r="G928">
        <v>532550.40000000002</v>
      </c>
      <c r="I928" s="14">
        <f t="shared" si="353"/>
        <v>-7.0016748753783165E-2</v>
      </c>
      <c r="J928" s="15">
        <f t="shared" si="354"/>
        <v>-0.17269678046143921</v>
      </c>
      <c r="K928" s="15">
        <f t="shared" si="355"/>
        <v>-0.13678446988551518</v>
      </c>
      <c r="L928" s="15"/>
      <c r="M928" s="16">
        <f t="shared" si="356"/>
        <v>-0.16106275491629762</v>
      </c>
      <c r="O928" s="13">
        <f t="shared" si="357"/>
        <v>-0.12649933303357919</v>
      </c>
      <c r="Q928" s="5">
        <f t="shared" si="358"/>
        <v>52488.249123373651</v>
      </c>
      <c r="R928" s="6">
        <f t="shared" si="359"/>
        <v>32948.938618688488</v>
      </c>
      <c r="T928" s="11">
        <f t="shared" si="360"/>
        <v>1.5930179035752781</v>
      </c>
      <c r="V928" s="9">
        <v>45177</v>
      </c>
      <c r="W928">
        <v>1580600</v>
      </c>
      <c r="X928">
        <v>2272098.2936</v>
      </c>
      <c r="Y928">
        <v>506028.54440000001</v>
      </c>
      <c r="AC928" s="24">
        <f t="shared" si="361"/>
        <v>-0.13383365811233791</v>
      </c>
      <c r="AE928" s="5">
        <f t="shared" si="362"/>
        <v>40946.84913755591</v>
      </c>
      <c r="AF928" s="6">
        <f t="shared" si="363"/>
        <v>32948.938618688488</v>
      </c>
      <c r="AH928" s="1">
        <f t="shared" si="364"/>
        <v>45177</v>
      </c>
      <c r="AI928">
        <f t="shared" si="365"/>
        <v>1.2427365145635083</v>
      </c>
      <c r="AJ928">
        <f t="shared" ca="1" si="366"/>
        <v>1.1114720766677391</v>
      </c>
      <c r="AK928">
        <f t="shared" ca="1" si="367"/>
        <v>1.1620570132497392</v>
      </c>
      <c r="AL928">
        <f t="shared" ca="1" si="368"/>
        <v>1.2050553510968616</v>
      </c>
      <c r="AM928">
        <f t="shared" ca="1" si="369"/>
        <v>1.2510007250877222</v>
      </c>
      <c r="AN928">
        <f t="shared" ca="1" si="370"/>
        <v>1.3065700038016046</v>
      </c>
    </row>
    <row r="929" spans="2:40" x14ac:dyDescent="0.25">
      <c r="B929" s="1">
        <v>45184</v>
      </c>
      <c r="C929">
        <v>635.44899999999996</v>
      </c>
      <c r="D929">
        <v>572.14800000000002</v>
      </c>
      <c r="E929">
        <v>887.2</v>
      </c>
      <c r="G929">
        <v>567513.4</v>
      </c>
      <c r="I929" s="14">
        <f t="shared" si="353"/>
        <v>0.13197521033627058</v>
      </c>
      <c r="J929" s="15">
        <f t="shared" si="354"/>
        <v>0.18290116233393006</v>
      </c>
      <c r="K929" s="15">
        <f t="shared" si="355"/>
        <v>2.318071733364091E-2</v>
      </c>
      <c r="L929" s="15"/>
      <c r="M929" s="16">
        <f t="shared" si="356"/>
        <v>6.5652002139140242E-2</v>
      </c>
      <c r="O929" s="13">
        <f t="shared" si="357"/>
        <v>0.11268569666794719</v>
      </c>
      <c r="Q929" s="5">
        <f t="shared" si="358"/>
        <v>58402.924042721781</v>
      </c>
      <c r="R929" s="6">
        <f t="shared" si="359"/>
        <v>35112.102407365026</v>
      </c>
      <c r="T929" s="11">
        <f t="shared" si="360"/>
        <v>1.6633274580126347</v>
      </c>
      <c r="V929" s="9">
        <v>45184</v>
      </c>
      <c r="W929">
        <v>1789200</v>
      </c>
      <c r="X929">
        <v>2687670.9437000002</v>
      </c>
      <c r="Y929">
        <v>517758.64899999998</v>
      </c>
      <c r="AC929" s="24">
        <f t="shared" si="361"/>
        <v>0.14589112017768949</v>
      </c>
      <c r="AE929" s="5">
        <f t="shared" si="362"/>
        <v>46920.630825980807</v>
      </c>
      <c r="AF929" s="6">
        <f t="shared" si="363"/>
        <v>35112.102407365026</v>
      </c>
      <c r="AH929" s="1">
        <f t="shared" si="364"/>
        <v>45184</v>
      </c>
      <c r="AI929">
        <f t="shared" si="365"/>
        <v>1.3363093523029499</v>
      </c>
      <c r="AJ929">
        <f t="shared" ca="1" si="366"/>
        <v>1.1114720766677391</v>
      </c>
      <c r="AK929">
        <f t="shared" ca="1" si="367"/>
        <v>1.1620570132497392</v>
      </c>
      <c r="AL929">
        <f t="shared" ca="1" si="368"/>
        <v>1.2050553510968616</v>
      </c>
      <c r="AM929">
        <f t="shared" ca="1" si="369"/>
        <v>1.2475079239582472</v>
      </c>
      <c r="AN929">
        <f t="shared" ca="1" si="370"/>
        <v>1.3065700038016046</v>
      </c>
    </row>
    <row r="930" spans="2:40" x14ac:dyDescent="0.25">
      <c r="B930" s="1">
        <v>45191</v>
      </c>
      <c r="C930">
        <v>600.64400000000001</v>
      </c>
      <c r="D930">
        <v>558.68600000000004</v>
      </c>
      <c r="E930">
        <v>898.85</v>
      </c>
      <c r="G930">
        <v>553392.19999999995</v>
      </c>
      <c r="I930" s="14">
        <f t="shared" si="353"/>
        <v>-5.4772294865520266E-2</v>
      </c>
      <c r="J930" s="15">
        <f t="shared" si="354"/>
        <v>-2.352887714367613E-2</v>
      </c>
      <c r="K930" s="15">
        <f t="shared" si="355"/>
        <v>1.313119927862938E-2</v>
      </c>
      <c r="L930" s="15"/>
      <c r="M930" s="16">
        <f t="shared" si="356"/>
        <v>-2.4882584270257024E-2</v>
      </c>
      <c r="O930" s="13">
        <f t="shared" si="357"/>
        <v>-2.172332424352234E-2</v>
      </c>
      <c r="Q930" s="5">
        <f t="shared" si="358"/>
        <v>57134.21838697193</v>
      </c>
      <c r="R930" s="6">
        <f t="shared" si="359"/>
        <v>34238.422560307874</v>
      </c>
      <c r="T930" s="11">
        <f t="shared" si="360"/>
        <v>1.66871643360132</v>
      </c>
      <c r="V930" s="9">
        <v>45191</v>
      </c>
      <c r="W930">
        <v>1691200</v>
      </c>
      <c r="X930">
        <v>2624431.6274000001</v>
      </c>
      <c r="Y930">
        <v>524557.44099999999</v>
      </c>
      <c r="AC930" s="24">
        <f t="shared" si="361"/>
        <v>-3.0920746883373047E-2</v>
      </c>
      <c r="AE930" s="5">
        <f t="shared" si="362"/>
        <v>45469.809876602463</v>
      </c>
      <c r="AF930" s="6">
        <f t="shared" si="363"/>
        <v>34238.422560307874</v>
      </c>
      <c r="AH930" s="1">
        <f t="shared" si="364"/>
        <v>45191</v>
      </c>
      <c r="AI930">
        <f t="shared" si="365"/>
        <v>1.3280346019595828</v>
      </c>
      <c r="AJ930">
        <f t="shared" ca="1" si="366"/>
        <v>1.1114720766677391</v>
      </c>
      <c r="AK930">
        <f t="shared" ca="1" si="367"/>
        <v>1.1620570132497392</v>
      </c>
      <c r="AL930">
        <f t="shared" ca="1" si="368"/>
        <v>1.2077929016943805</v>
      </c>
      <c r="AM930">
        <f t="shared" ca="1" si="369"/>
        <v>1.2530461586655284</v>
      </c>
      <c r="AN930">
        <f t="shared" ca="1" si="370"/>
        <v>1.3118666209339942</v>
      </c>
    </row>
    <row r="931" spans="2:40" x14ac:dyDescent="0.25">
      <c r="B931" s="1">
        <v>45198</v>
      </c>
      <c r="C931">
        <v>653.34900000000005</v>
      </c>
      <c r="D931">
        <v>590.41899999999998</v>
      </c>
      <c r="E931">
        <v>999.1</v>
      </c>
      <c r="G931">
        <v>562568.5</v>
      </c>
      <c r="I931" s="14">
        <f t="shared" si="353"/>
        <v>8.7747484366779815E-2</v>
      </c>
      <c r="J931" s="15">
        <f t="shared" si="354"/>
        <v>5.6799347039302894E-2</v>
      </c>
      <c r="K931" s="15">
        <f t="shared" si="355"/>
        <v>0.11153140123491134</v>
      </c>
      <c r="L931" s="15"/>
      <c r="M931" s="16">
        <f t="shared" si="356"/>
        <v>1.6581910623243434E-2</v>
      </c>
      <c r="O931" s="13">
        <f t="shared" si="357"/>
        <v>8.5359410880331346E-2</v>
      </c>
      <c r="Q931" s="5">
        <f t="shared" si="358"/>
        <v>62011.161609592047</v>
      </c>
      <c r="R931" s="6">
        <f t="shared" si="359"/>
        <v>34806.16102308374</v>
      </c>
      <c r="T931" s="11">
        <f t="shared" si="360"/>
        <v>1.781614512685433</v>
      </c>
      <c r="V931" s="9">
        <v>45198</v>
      </c>
      <c r="W931">
        <v>1839600</v>
      </c>
      <c r="X931">
        <v>2773495.7300999998</v>
      </c>
      <c r="Y931">
        <v>583062.06740000006</v>
      </c>
      <c r="AC931" s="24">
        <f t="shared" si="361"/>
        <v>7.3544477238223591E-2</v>
      </c>
      <c r="AE931" s="5">
        <f t="shared" si="362"/>
        <v>48813.863274098607</v>
      </c>
      <c r="AF931" s="6">
        <f t="shared" si="363"/>
        <v>34806.16102308374</v>
      </c>
      <c r="AH931" s="1">
        <f t="shared" si="364"/>
        <v>45198</v>
      </c>
      <c r="AI931">
        <f t="shared" si="365"/>
        <v>1.4024489297088765</v>
      </c>
      <c r="AJ931">
        <f t="shared" ca="1" si="366"/>
        <v>1.1114720766677391</v>
      </c>
      <c r="AK931">
        <f t="shared" ca="1" si="367"/>
        <v>1.1620570132497392</v>
      </c>
      <c r="AL931">
        <f t="shared" ca="1" si="368"/>
        <v>1.2077929016943805</v>
      </c>
      <c r="AM931">
        <f t="shared" ca="1" si="369"/>
        <v>1.2678307987773823</v>
      </c>
      <c r="AN931">
        <f t="shared" ca="1" si="370"/>
        <v>1.3264744537894448</v>
      </c>
    </row>
    <row r="932" spans="2:40" x14ac:dyDescent="0.25">
      <c r="B932" s="1">
        <v>45205</v>
      </c>
      <c r="C932">
        <v>836.327</v>
      </c>
      <c r="D932">
        <v>768.31399999999996</v>
      </c>
      <c r="E932">
        <v>1056.95</v>
      </c>
      <c r="G932">
        <v>628917.80000000005</v>
      </c>
      <c r="I932" s="14">
        <f t="shared" si="353"/>
        <v>0.28006165158284468</v>
      </c>
      <c r="J932" s="15">
        <f t="shared" si="354"/>
        <v>0.30130297297343067</v>
      </c>
      <c r="K932" s="15">
        <f t="shared" si="355"/>
        <v>5.7902111900710596E-2</v>
      </c>
      <c r="L932" s="15"/>
      <c r="M932" s="16">
        <f t="shared" si="356"/>
        <v>0.11793994864625379</v>
      </c>
      <c r="O932" s="13">
        <f t="shared" si="357"/>
        <v>0.21308891215232864</v>
      </c>
      <c r="Q932" s="5">
        <f t="shared" si="358"/>
        <v>75225.052578282266</v>
      </c>
      <c r="R932" s="6">
        <f t="shared" si="359"/>
        <v>38911.197866719478</v>
      </c>
      <c r="T932" s="11">
        <f t="shared" si="360"/>
        <v>1.933249468082344</v>
      </c>
      <c r="V932" s="9">
        <v>45205</v>
      </c>
      <c r="W932">
        <v>2354800</v>
      </c>
      <c r="X932">
        <v>3609158.1244000001</v>
      </c>
      <c r="Y932">
        <v>616822.59250000003</v>
      </c>
      <c r="AC932" s="24">
        <f t="shared" si="361"/>
        <v>0.26647082369166658</v>
      </c>
      <c r="AE932" s="5">
        <f t="shared" si="362"/>
        <v>61821.333628320055</v>
      </c>
      <c r="AF932" s="6">
        <f t="shared" si="363"/>
        <v>38911.197866719478</v>
      </c>
      <c r="AH932" s="1">
        <f t="shared" si="364"/>
        <v>45205</v>
      </c>
      <c r="AI932">
        <f t="shared" si="365"/>
        <v>1.588780017517669</v>
      </c>
      <c r="AJ932">
        <f t="shared" ca="1" si="366"/>
        <v>1.1114720766677391</v>
      </c>
      <c r="AK932">
        <f t="shared" ca="1" si="367"/>
        <v>1.1620570132497392</v>
      </c>
      <c r="AL932">
        <f t="shared" ca="1" si="368"/>
        <v>1.2077929016943805</v>
      </c>
      <c r="AM932">
        <f t="shared" ca="1" si="369"/>
        <v>1.2678307987773823</v>
      </c>
      <c r="AN932">
        <f t="shared" ca="1" si="370"/>
        <v>1.3341264937328956</v>
      </c>
    </row>
    <row r="933" spans="2:40" x14ac:dyDescent="0.25">
      <c r="B933" s="1">
        <v>45212</v>
      </c>
      <c r="C933">
        <v>1163.9960000000001</v>
      </c>
      <c r="D933">
        <v>1032.271</v>
      </c>
      <c r="E933">
        <v>1304.05</v>
      </c>
      <c r="G933">
        <v>760673.8</v>
      </c>
      <c r="I933" s="14">
        <f t="shared" si="353"/>
        <v>0.39179531451214666</v>
      </c>
      <c r="J933" s="15">
        <f t="shared" si="354"/>
        <v>0.34355354711745467</v>
      </c>
      <c r="K933" s="15">
        <f t="shared" si="355"/>
        <v>0.23378589337243949</v>
      </c>
      <c r="L933" s="15"/>
      <c r="M933" s="16">
        <f t="shared" si="356"/>
        <v>0.20949637615599359</v>
      </c>
      <c r="O933" s="13">
        <f t="shared" si="357"/>
        <v>0.32304491833401361</v>
      </c>
      <c r="Q933" s="5">
        <f t="shared" si="358"/>
        <v>99526.123545105336</v>
      </c>
      <c r="R933" s="6">
        <f t="shared" si="359"/>
        <v>47062.952811686038</v>
      </c>
      <c r="T933" s="11">
        <f t="shared" si="360"/>
        <v>2.1147445623172278</v>
      </c>
      <c r="V933" s="9">
        <v>45212</v>
      </c>
      <c r="W933">
        <v>3277400</v>
      </c>
      <c r="X933">
        <v>4849100.4336999999</v>
      </c>
      <c r="Y933">
        <v>761027.01329999999</v>
      </c>
      <c r="AC933" s="24">
        <f t="shared" si="361"/>
        <v>0.35052727061313699</v>
      </c>
      <c r="AE933" s="5">
        <f t="shared" si="362"/>
        <v>83491.39697071923</v>
      </c>
      <c r="AF933" s="6">
        <f t="shared" si="363"/>
        <v>47062.952811686038</v>
      </c>
      <c r="AH933" s="1">
        <f t="shared" si="364"/>
        <v>45212</v>
      </c>
      <c r="AI933">
        <f t="shared" si="365"/>
        <v>1.7740365188048246</v>
      </c>
      <c r="AJ933">
        <f t="shared" ca="1" si="366"/>
        <v>1.1114720766677391</v>
      </c>
      <c r="AK933">
        <f t="shared" ca="1" si="367"/>
        <v>1.1620570132497392</v>
      </c>
      <c r="AL933">
        <f t="shared" ca="1" si="368"/>
        <v>1.2135349236863113</v>
      </c>
      <c r="AM933">
        <f t="shared" ca="1" si="369"/>
        <v>1.2741817714631578</v>
      </c>
      <c r="AN933">
        <f t="shared" ca="1" si="370"/>
        <v>1.3361587541323146</v>
      </c>
    </row>
    <row r="934" spans="2:40" x14ac:dyDescent="0.25">
      <c r="B934" s="1">
        <v>45219</v>
      </c>
      <c r="C934">
        <v>1114.2729999999999</v>
      </c>
      <c r="D934">
        <v>1079.8699999999999</v>
      </c>
      <c r="E934">
        <v>1393.05</v>
      </c>
      <c r="G934">
        <v>800804.8</v>
      </c>
      <c r="I934" s="14">
        <f t="shared" si="353"/>
        <v>-4.2717500747425419E-2</v>
      </c>
      <c r="J934" s="15">
        <f t="shared" si="354"/>
        <v>4.6110953422114909E-2</v>
      </c>
      <c r="K934" s="15">
        <f t="shared" si="355"/>
        <v>6.8248916836010975E-2</v>
      </c>
      <c r="L934" s="15"/>
      <c r="M934" s="16">
        <f t="shared" si="356"/>
        <v>5.2757173968657867E-2</v>
      </c>
      <c r="O934" s="13">
        <f t="shared" si="357"/>
        <v>2.3880789836900156E-2</v>
      </c>
      <c r="Q934" s="5">
        <f t="shared" si="358"/>
        <v>101902.88598476736</v>
      </c>
      <c r="R934" s="6">
        <f t="shared" si="359"/>
        <v>49545.861200650892</v>
      </c>
      <c r="T934" s="11">
        <f t="shared" si="360"/>
        <v>2.0567386158064935</v>
      </c>
      <c r="V934" s="9">
        <v>45219</v>
      </c>
      <c r="W934">
        <v>3137400</v>
      </c>
      <c r="X934">
        <v>5072696.5877999999</v>
      </c>
      <c r="Y934">
        <v>812966.28269999998</v>
      </c>
      <c r="AC934" s="24">
        <f t="shared" si="361"/>
        <v>1.5249863073481135E-2</v>
      </c>
      <c r="AE934" s="5">
        <f t="shared" si="362"/>
        <v>84764.629342336368</v>
      </c>
      <c r="AF934" s="6">
        <f t="shared" si="363"/>
        <v>49545.861200650892</v>
      </c>
      <c r="AH934" s="1">
        <f t="shared" si="364"/>
        <v>45219</v>
      </c>
      <c r="AI934">
        <f t="shared" si="365"/>
        <v>1.7108316878186143</v>
      </c>
      <c r="AJ934">
        <f t="shared" ca="1" si="366"/>
        <v>1.1114720766677391</v>
      </c>
      <c r="AK934">
        <f t="shared" ca="1" si="367"/>
        <v>1.1620570132497392</v>
      </c>
      <c r="AL934">
        <f t="shared" ca="1" si="368"/>
        <v>1.2204230703244452</v>
      </c>
      <c r="AM934">
        <f t="shared" ca="1" si="369"/>
        <v>1.2830991937678236</v>
      </c>
      <c r="AN934">
        <f t="shared" ca="1" si="370"/>
        <v>1.3699232814510125</v>
      </c>
    </row>
    <row r="935" spans="2:40" x14ac:dyDescent="0.25">
      <c r="B935" s="1">
        <v>45226</v>
      </c>
      <c r="C935">
        <v>1037.204</v>
      </c>
      <c r="D935">
        <v>848.60699999999997</v>
      </c>
      <c r="E935">
        <v>1065.8</v>
      </c>
      <c r="G935">
        <v>655565.19999999995</v>
      </c>
      <c r="I935" s="14">
        <f t="shared" si="353"/>
        <v>-6.9165276373025275E-2</v>
      </c>
      <c r="J935" s="15">
        <f t="shared" si="354"/>
        <v>-0.21415818570753886</v>
      </c>
      <c r="K935" s="15">
        <f t="shared" si="355"/>
        <v>-0.23491619109148987</v>
      </c>
      <c r="L935" s="15"/>
      <c r="M935" s="16">
        <f t="shared" si="356"/>
        <v>-0.1813670447529786</v>
      </c>
      <c r="O935" s="13">
        <f t="shared" si="357"/>
        <v>-0.17274655105735134</v>
      </c>
      <c r="Q935" s="5">
        <f t="shared" si="358"/>
        <v>84299.513888108282</v>
      </c>
      <c r="R935" s="6">
        <f t="shared" si="359"/>
        <v>40559.874774947573</v>
      </c>
      <c r="T935" s="11">
        <f t="shared" si="360"/>
        <v>2.0783967987045453</v>
      </c>
      <c r="V935" s="9">
        <v>45226</v>
      </c>
      <c r="W935">
        <v>2920400</v>
      </c>
      <c r="X935">
        <v>3986335.4753</v>
      </c>
      <c r="Y935">
        <v>621987.34010000003</v>
      </c>
      <c r="AC935" s="24">
        <f t="shared" si="361"/>
        <v>-0.16561311829978254</v>
      </c>
      <c r="AE935" s="5">
        <f t="shared" si="362"/>
        <v>70726.4947554268</v>
      </c>
      <c r="AF935" s="6">
        <f t="shared" si="363"/>
        <v>40559.874774947573</v>
      </c>
      <c r="AH935" s="1">
        <f t="shared" si="364"/>
        <v>45226</v>
      </c>
      <c r="AI935">
        <f t="shared" si="365"/>
        <v>1.743755254370561</v>
      </c>
      <c r="AJ935">
        <f t="shared" ca="1" si="366"/>
        <v>1.1114720766677391</v>
      </c>
      <c r="AK935">
        <f t="shared" ca="1" si="367"/>
        <v>1.1620570132497392</v>
      </c>
      <c r="AL935">
        <f t="shared" ca="1" si="368"/>
        <v>1.2267522816466867</v>
      </c>
      <c r="AM935">
        <f t="shared" ca="1" si="369"/>
        <v>1.2891405531981295</v>
      </c>
      <c r="AN935">
        <f t="shared" ca="1" si="370"/>
        <v>1.3995698529847351</v>
      </c>
    </row>
    <row r="936" spans="2:40" x14ac:dyDescent="0.25">
      <c r="B936" s="1">
        <v>45233</v>
      </c>
      <c r="C936">
        <v>903.452</v>
      </c>
      <c r="D936">
        <v>756.29399999999998</v>
      </c>
      <c r="E936">
        <v>1048.3499999999999</v>
      </c>
      <c r="G936">
        <v>637284.1</v>
      </c>
      <c r="I936" s="14">
        <f t="shared" si="353"/>
        <v>-0.12895438120176939</v>
      </c>
      <c r="J936" s="15">
        <f t="shared" si="354"/>
        <v>-0.1087818035910616</v>
      </c>
      <c r="K936" s="15">
        <f t="shared" si="355"/>
        <v>-1.6372677800713165E-2</v>
      </c>
      <c r="L936" s="15"/>
      <c r="M936" s="16">
        <f t="shared" si="356"/>
        <v>-2.7886013473564453E-2</v>
      </c>
      <c r="O936" s="13">
        <f t="shared" si="357"/>
        <v>-8.4702954197848054E-2</v>
      </c>
      <c r="Q936" s="5">
        <f t="shared" si="358"/>
        <v>77159.096024342987</v>
      </c>
      <c r="R936" s="6">
        <f t="shared" si="359"/>
        <v>39428.821560487297</v>
      </c>
      <c r="T936" s="11">
        <f t="shared" si="360"/>
        <v>1.9569211802583071</v>
      </c>
      <c r="V936" s="9">
        <v>45233</v>
      </c>
      <c r="W936">
        <v>2543800</v>
      </c>
      <c r="X936">
        <v>3552694.4490999999</v>
      </c>
      <c r="Y936">
        <v>611803.74179999996</v>
      </c>
      <c r="AC936" s="24">
        <f t="shared" si="361"/>
        <v>-0.10897236570075587</v>
      </c>
      <c r="AE936" s="5">
        <f t="shared" si="362"/>
        <v>63019.261304205836</v>
      </c>
      <c r="AF936" s="6">
        <f t="shared" si="363"/>
        <v>39428.821560487297</v>
      </c>
      <c r="AH936" s="1">
        <f t="shared" si="364"/>
        <v>45233</v>
      </c>
      <c r="AI936">
        <f t="shared" si="365"/>
        <v>1.5983044587708188</v>
      </c>
      <c r="AJ936">
        <f t="shared" ca="1" si="366"/>
        <v>1.1114720766677391</v>
      </c>
      <c r="AK936">
        <f t="shared" ca="1" si="367"/>
        <v>1.1620570132497392</v>
      </c>
      <c r="AL936">
        <f t="shared" ca="1" si="368"/>
        <v>1.2267522816466867</v>
      </c>
      <c r="AM936">
        <f t="shared" ca="1" si="369"/>
        <v>1.305282202907309</v>
      </c>
      <c r="AN936">
        <f t="shared" ca="1" si="370"/>
        <v>1.4024934676881486</v>
      </c>
    </row>
    <row r="937" spans="2:40" x14ac:dyDescent="0.25">
      <c r="B937" s="1">
        <v>45240</v>
      </c>
      <c r="C937">
        <v>994.44299999999998</v>
      </c>
      <c r="D937">
        <v>883.70500000000004</v>
      </c>
      <c r="E937">
        <v>1093.45</v>
      </c>
      <c r="G937">
        <v>660274.69999999995</v>
      </c>
      <c r="I937" s="14">
        <f t="shared" si="353"/>
        <v>0.10071481384733216</v>
      </c>
      <c r="J937" s="15">
        <f t="shared" si="354"/>
        <v>0.16846755362332644</v>
      </c>
      <c r="K937" s="15">
        <f t="shared" si="355"/>
        <v>4.3019983784041704E-2</v>
      </c>
      <c r="L937" s="15"/>
      <c r="M937" s="16">
        <f t="shared" si="356"/>
        <v>3.6075903980657964E-2</v>
      </c>
      <c r="O937" s="13">
        <f t="shared" si="357"/>
        <v>0.10406745041823344</v>
      </c>
      <c r="Q937" s="5">
        <f t="shared" si="358"/>
        <v>85188.846424172021</v>
      </c>
      <c r="R937" s="6">
        <f t="shared" si="359"/>
        <v>40851.251941173934</v>
      </c>
      <c r="T937" s="11">
        <f t="shared" si="360"/>
        <v>2.0853423671530193</v>
      </c>
      <c r="V937" s="9">
        <v>45240</v>
      </c>
      <c r="W937">
        <v>2800000</v>
      </c>
      <c r="X937">
        <v>4151209.4071</v>
      </c>
      <c r="Y937">
        <v>638123.52879999997</v>
      </c>
      <c r="AC937" s="24">
        <f t="shared" si="361"/>
        <v>0.13133463183289754</v>
      </c>
      <c r="AE937" s="5">
        <f t="shared" si="362"/>
        <v>71295.872785974876</v>
      </c>
      <c r="AF937" s="6">
        <f t="shared" si="363"/>
        <v>40851.251941173934</v>
      </c>
      <c r="AH937" s="1">
        <f t="shared" si="364"/>
        <v>45240</v>
      </c>
      <c r="AI937">
        <f t="shared" si="365"/>
        <v>1.7452555160033134</v>
      </c>
      <c r="AJ937">
        <f t="shared" ca="1" si="366"/>
        <v>1.1114720766677391</v>
      </c>
      <c r="AK937">
        <f t="shared" ca="1" si="367"/>
        <v>1.1620570132497392</v>
      </c>
      <c r="AL937">
        <f t="shared" ca="1" si="368"/>
        <v>1.2267522816466867</v>
      </c>
      <c r="AM937">
        <f t="shared" ca="1" si="369"/>
        <v>1.3081843753266345</v>
      </c>
      <c r="AN937">
        <f t="shared" ca="1" si="370"/>
        <v>1.4386433902220763</v>
      </c>
    </row>
    <row r="938" spans="2:40" x14ac:dyDescent="0.25">
      <c r="B938" s="1">
        <v>45247</v>
      </c>
      <c r="C938">
        <v>897.48500000000001</v>
      </c>
      <c r="D938">
        <v>760.62099999999998</v>
      </c>
      <c r="E938">
        <v>1077.75</v>
      </c>
      <c r="G938">
        <v>645079.6</v>
      </c>
      <c r="I938" s="14">
        <f t="shared" si="353"/>
        <v>-9.7499806424299784E-2</v>
      </c>
      <c r="J938" s="15">
        <f t="shared" si="354"/>
        <v>-0.13928177389513474</v>
      </c>
      <c r="K938" s="15">
        <f t="shared" si="355"/>
        <v>-1.4358223970003192E-2</v>
      </c>
      <c r="L938" s="15"/>
      <c r="M938" s="16">
        <f t="shared" si="356"/>
        <v>-2.3013300373314283E-2</v>
      </c>
      <c r="O938" s="13">
        <f t="shared" si="357"/>
        <v>-8.3713268096479235E-2</v>
      </c>
      <c r="Q938" s="5">
        <f t="shared" si="358"/>
        <v>78057.40968463551</v>
      </c>
      <c r="R938" s="6">
        <f t="shared" si="359"/>
        <v>39911.12980962576</v>
      </c>
      <c r="T938" s="11">
        <f t="shared" si="360"/>
        <v>1.9557805067650487</v>
      </c>
      <c r="V938" s="9">
        <v>45247</v>
      </c>
      <c r="W938">
        <v>2527000</v>
      </c>
      <c r="X938">
        <v>3573021.3722000001</v>
      </c>
      <c r="Y938">
        <v>628961.20830000006</v>
      </c>
      <c r="AC938" s="24">
        <f t="shared" si="361"/>
        <v>-0.1133630051326916</v>
      </c>
      <c r="AE938" s="5">
        <f t="shared" si="362"/>
        <v>63213.558393398678</v>
      </c>
      <c r="AF938" s="6">
        <f t="shared" si="363"/>
        <v>39911.12980962576</v>
      </c>
      <c r="AH938" s="1">
        <f t="shared" si="364"/>
        <v>45247</v>
      </c>
      <c r="AI938">
        <f t="shared" si="365"/>
        <v>1.5838579036705909</v>
      </c>
      <c r="AJ938">
        <f t="shared" ca="1" si="366"/>
        <v>1.1114720766677391</v>
      </c>
      <c r="AK938">
        <f t="shared" ca="1" si="367"/>
        <v>1.1620570132497392</v>
      </c>
      <c r="AL938">
        <f t="shared" ca="1" si="368"/>
        <v>1.2267522816466867</v>
      </c>
      <c r="AM938">
        <f t="shared" ca="1" si="369"/>
        <v>1.3120847457519793</v>
      </c>
      <c r="AN938">
        <f t="shared" ca="1" si="370"/>
        <v>1.5741679656088825</v>
      </c>
    </row>
    <row r="939" spans="2:40" x14ac:dyDescent="0.25">
      <c r="B939" s="1">
        <v>45254</v>
      </c>
      <c r="C939">
        <v>1032.232</v>
      </c>
      <c r="D939">
        <v>910.149</v>
      </c>
      <c r="E939">
        <v>1280.75</v>
      </c>
      <c r="G939">
        <v>917599.3</v>
      </c>
      <c r="I939" s="14">
        <f t="shared" si="353"/>
        <v>0.15013844242522145</v>
      </c>
      <c r="J939" s="15">
        <f t="shared" si="354"/>
        <v>0.19658673636410251</v>
      </c>
      <c r="K939" s="15">
        <f t="shared" si="355"/>
        <v>0.18835536998376257</v>
      </c>
      <c r="L939" s="15"/>
      <c r="M939" s="16">
        <f t="shared" si="356"/>
        <v>0.42245902676196878</v>
      </c>
      <c r="O939" s="13">
        <f t="shared" si="357"/>
        <v>0.17836018292436218</v>
      </c>
      <c r="Q939" s="5">
        <f t="shared" si="358"/>
        <v>91979.743554588975</v>
      </c>
      <c r="R939" s="6">
        <f t="shared" si="359"/>
        <v>56771.946865970858</v>
      </c>
      <c r="T939" s="11">
        <f t="shared" si="360"/>
        <v>1.620161869236894</v>
      </c>
      <c r="V939" s="9">
        <v>45254</v>
      </c>
      <c r="W939">
        <v>2906400</v>
      </c>
      <c r="X939">
        <v>4275429.4928000001</v>
      </c>
      <c r="Y939">
        <v>747429.42940000002</v>
      </c>
      <c r="AC939" s="24">
        <f t="shared" si="361"/>
        <v>0.17837416894221081</v>
      </c>
      <c r="AE939" s="5">
        <f t="shared" si="362"/>
        <v>74489.224337701075</v>
      </c>
      <c r="AF939" s="6">
        <f t="shared" si="363"/>
        <v>56771.946865970858</v>
      </c>
      <c r="AH939" s="1">
        <f t="shared" si="364"/>
        <v>45254</v>
      </c>
      <c r="AI939">
        <f t="shared" si="365"/>
        <v>1.3120780323697154</v>
      </c>
      <c r="AJ939">
        <f t="shared" ca="1" si="366"/>
        <v>1.1114720766677391</v>
      </c>
      <c r="AK939">
        <f t="shared" ca="1" si="367"/>
        <v>1.1620570132497392</v>
      </c>
      <c r="AL939">
        <f t="shared" ca="1" si="368"/>
        <v>1.2267522816466867</v>
      </c>
      <c r="AM939">
        <f t="shared" ca="1" si="369"/>
        <v>1.3297267941188364</v>
      </c>
      <c r="AN939">
        <f t="shared" ca="1" si="370"/>
        <v>1.5882878061329611</v>
      </c>
    </row>
    <row r="940" spans="2:40" x14ac:dyDescent="0.25">
      <c r="B940" s="1">
        <v>45261</v>
      </c>
      <c r="C940">
        <v>1044.165</v>
      </c>
      <c r="D940">
        <v>883.70500000000004</v>
      </c>
      <c r="E940">
        <v>1260.05</v>
      </c>
      <c r="G940">
        <v>870169.2</v>
      </c>
      <c r="I940" s="14">
        <f t="shared" si="353"/>
        <v>1.1560385649737714E-2</v>
      </c>
      <c r="J940" s="15">
        <f t="shared" si="354"/>
        <v>-2.905458337041511E-2</v>
      </c>
      <c r="K940" s="15">
        <f t="shared" si="355"/>
        <v>-1.616240484091358E-2</v>
      </c>
      <c r="L940" s="15"/>
      <c r="M940" s="16">
        <f t="shared" si="356"/>
        <v>-5.1689337600846152E-2</v>
      </c>
      <c r="O940" s="13">
        <f t="shared" si="357"/>
        <v>-1.1218867520530326E-2</v>
      </c>
      <c r="Q940" s="5">
        <f t="shared" si="358"/>
        <v>90947.834997077691</v>
      </c>
      <c r="R940" s="6">
        <f t="shared" si="359"/>
        <v>53837.442538158393</v>
      </c>
      <c r="T940" s="11">
        <f t="shared" si="360"/>
        <v>1.6893045194822645</v>
      </c>
      <c r="V940" s="9">
        <v>45261</v>
      </c>
      <c r="W940">
        <v>2940000</v>
      </c>
      <c r="X940">
        <v>4151209.4071</v>
      </c>
      <c r="Y940">
        <v>735349.17229999998</v>
      </c>
      <c r="AC940" s="24">
        <f t="shared" si="361"/>
        <v>-1.2952279125471202E-2</v>
      </c>
      <c r="AE940" s="5">
        <f t="shared" si="362"/>
        <v>73524.419112239324</v>
      </c>
      <c r="AF940" s="6">
        <f t="shared" si="363"/>
        <v>53837.442538158393</v>
      </c>
      <c r="AH940" s="1">
        <f t="shared" si="364"/>
        <v>45261</v>
      </c>
      <c r="AI940">
        <f t="shared" si="365"/>
        <v>1.3656744385680537</v>
      </c>
      <c r="AJ940">
        <f t="shared" ca="1" si="366"/>
        <v>1.1114720766677391</v>
      </c>
      <c r="AK940">
        <f t="shared" ca="1" si="367"/>
        <v>1.1620570132497392</v>
      </c>
      <c r="AL940">
        <f t="shared" ca="1" si="368"/>
        <v>1.2267522816466867</v>
      </c>
      <c r="AM940">
        <f t="shared" ca="1" si="369"/>
        <v>1.3297267941188364</v>
      </c>
      <c r="AN940">
        <f t="shared" ca="1" si="370"/>
        <v>1.5882878061329611</v>
      </c>
    </row>
    <row r="941" spans="2:40" x14ac:dyDescent="0.25">
      <c r="B941" s="1">
        <v>45268</v>
      </c>
      <c r="C941">
        <v>1090.904</v>
      </c>
      <c r="D941">
        <v>965.44</v>
      </c>
      <c r="E941">
        <v>1310.9</v>
      </c>
      <c r="G941">
        <v>941829.9</v>
      </c>
      <c r="I941" s="14">
        <f t="shared" si="353"/>
        <v>4.4762082621041754E-2</v>
      </c>
      <c r="J941" s="15">
        <f t="shared" si="354"/>
        <v>9.2491272540044411E-2</v>
      </c>
      <c r="K941" s="15">
        <f t="shared" si="355"/>
        <v>4.0355541446768006E-2</v>
      </c>
      <c r="L941" s="15"/>
      <c r="M941" s="16">
        <f t="shared" si="356"/>
        <v>8.2352604527947015E-2</v>
      </c>
      <c r="O941" s="13">
        <f t="shared" si="357"/>
        <v>5.9202965535951391E-2</v>
      </c>
      <c r="Q941" s="5">
        <f t="shared" si="358"/>
        <v>96332.216537979082</v>
      </c>
      <c r="R941" s="6">
        <f t="shared" si="359"/>
        <v>58271.096152299426</v>
      </c>
      <c r="T941" s="11">
        <f t="shared" si="360"/>
        <v>1.6531732350838526</v>
      </c>
      <c r="V941" s="9">
        <v>45268</v>
      </c>
      <c r="W941">
        <v>3071600</v>
      </c>
      <c r="X941">
        <v>4535162.3991</v>
      </c>
      <c r="Y941">
        <v>765024.58629999997</v>
      </c>
      <c r="AC941" s="24">
        <f t="shared" si="361"/>
        <v>6.9663642329901576E-2</v>
      </c>
      <c r="AE941" s="5">
        <f t="shared" si="362"/>
        <v>78646.397947788137</v>
      </c>
      <c r="AF941" s="6">
        <f t="shared" si="363"/>
        <v>58271.096152299426</v>
      </c>
      <c r="AH941" s="1">
        <f t="shared" si="364"/>
        <v>45268</v>
      </c>
      <c r="AI941">
        <f t="shared" si="365"/>
        <v>1.3496639524719956</v>
      </c>
      <c r="AJ941">
        <f t="shared" ca="1" si="366"/>
        <v>1.1114720766677391</v>
      </c>
      <c r="AK941">
        <f t="shared" ca="1" si="367"/>
        <v>1.1620570132497392</v>
      </c>
      <c r="AL941">
        <f t="shared" ca="1" si="368"/>
        <v>1.2320241018679687</v>
      </c>
      <c r="AM941">
        <f t="shared" ca="1" si="369"/>
        <v>1.3351798660231853</v>
      </c>
      <c r="AN941">
        <f t="shared" ca="1" si="370"/>
        <v>1.5882878061329611</v>
      </c>
    </row>
    <row r="942" spans="2:40" x14ac:dyDescent="0.25">
      <c r="B942" s="1">
        <v>45275</v>
      </c>
      <c r="C942">
        <v>917.87099999999998</v>
      </c>
      <c r="D942">
        <v>778.89099999999996</v>
      </c>
      <c r="E942">
        <v>1315.6</v>
      </c>
      <c r="G942">
        <v>925657.9</v>
      </c>
      <c r="I942" s="14">
        <f t="shared" si="353"/>
        <v>-0.15861432353350979</v>
      </c>
      <c r="J942" s="15">
        <f t="shared" si="354"/>
        <v>-0.19322692243950956</v>
      </c>
      <c r="K942" s="15">
        <f t="shared" si="355"/>
        <v>3.5853230604927511E-3</v>
      </c>
      <c r="L942" s="15"/>
      <c r="M942" s="16">
        <f t="shared" si="356"/>
        <v>-1.7170828830131657E-2</v>
      </c>
      <c r="O942" s="13">
        <f t="shared" si="357"/>
        <v>-0.11608530763750886</v>
      </c>
      <c r="Q942" s="5">
        <f t="shared" si="358"/>
        <v>85149.461545764658</v>
      </c>
      <c r="R942" s="6">
        <f t="shared" si="359"/>
        <v>57270.53313452415</v>
      </c>
      <c r="T942" s="11">
        <f t="shared" si="360"/>
        <v>1.4867935897463189</v>
      </c>
      <c r="V942" s="9">
        <v>45275</v>
      </c>
      <c r="W942">
        <v>2584400</v>
      </c>
      <c r="X942">
        <v>3658846.1586000002</v>
      </c>
      <c r="Y942">
        <v>767767.44660000002</v>
      </c>
      <c r="AC942" s="24">
        <f t="shared" si="361"/>
        <v>-0.16254264130095783</v>
      </c>
      <c r="AE942" s="5">
        <f t="shared" si="362"/>
        <v>65863.004696548422</v>
      </c>
      <c r="AF942" s="6">
        <f t="shared" si="363"/>
        <v>57270.53313452415</v>
      </c>
      <c r="AH942" s="1">
        <f t="shared" si="364"/>
        <v>45275</v>
      </c>
      <c r="AI942">
        <f t="shared" si="365"/>
        <v>1.1500330290594853</v>
      </c>
      <c r="AJ942">
        <f t="shared" ca="1" si="366"/>
        <v>1.1114720766677391</v>
      </c>
      <c r="AK942">
        <f t="shared" ca="1" si="367"/>
        <v>1.1620570132497392</v>
      </c>
      <c r="AL942">
        <f t="shared" ca="1" si="368"/>
        <v>1.2320241018679687</v>
      </c>
      <c r="AM942">
        <f t="shared" ca="1" si="369"/>
        <v>1.3396480023452113</v>
      </c>
      <c r="AN942">
        <f t="shared" ca="1" si="370"/>
        <v>1.5882878061329611</v>
      </c>
    </row>
    <row r="943" spans="2:40" x14ac:dyDescent="0.25">
      <c r="B943" s="1">
        <v>45282</v>
      </c>
      <c r="C943">
        <v>936.26800000000003</v>
      </c>
      <c r="D943">
        <v>813.02800000000002</v>
      </c>
      <c r="E943">
        <v>1320.3</v>
      </c>
      <c r="G943">
        <v>948473.8</v>
      </c>
      <c r="I943" s="14">
        <f t="shared" si="353"/>
        <v>2.0043121527970831E-2</v>
      </c>
      <c r="J943" s="15">
        <f t="shared" si="354"/>
        <v>4.3827698612514565E-2</v>
      </c>
      <c r="K943" s="15">
        <f t="shared" si="355"/>
        <v>3.5725144420797328E-3</v>
      </c>
      <c r="L943" s="15"/>
      <c r="M943" s="16">
        <f t="shared" si="356"/>
        <v>2.4648306896100536E-2</v>
      </c>
      <c r="O943" s="13">
        <f t="shared" si="357"/>
        <v>2.2481111527521708E-2</v>
      </c>
      <c r="Q943" s="5">
        <f t="shared" si="358"/>
        <v>87063.716087283407</v>
      </c>
      <c r="R943" s="6">
        <f t="shared" si="359"/>
        <v>58682.154811327193</v>
      </c>
      <c r="T943" s="11">
        <f t="shared" si="360"/>
        <v>1.4836489281487297</v>
      </c>
      <c r="V943" s="9">
        <v>45282</v>
      </c>
      <c r="W943">
        <v>2636200</v>
      </c>
      <c r="X943">
        <v>3819202.9964000001</v>
      </c>
      <c r="Y943">
        <v>770510.30689999997</v>
      </c>
      <c r="AC943" s="24">
        <f t="shared" si="361"/>
        <v>3.0651931714597215E-2</v>
      </c>
      <c r="AE943" s="5">
        <f t="shared" si="362"/>
        <v>67881.833019025216</v>
      </c>
      <c r="AF943" s="6">
        <f t="shared" si="363"/>
        <v>58682.154811327193</v>
      </c>
      <c r="AH943" s="1">
        <f t="shared" si="364"/>
        <v>45282</v>
      </c>
      <c r="AI943">
        <f t="shared" si="365"/>
        <v>1.1567713087100586</v>
      </c>
      <c r="AJ943">
        <f t="shared" ca="1" si="366"/>
        <v>1.1114720766677391</v>
      </c>
      <c r="AK943">
        <f t="shared" ca="1" si="367"/>
        <v>1.1594679534299746</v>
      </c>
      <c r="AL943">
        <f t="shared" ca="1" si="368"/>
        <v>1.2267522816466867</v>
      </c>
      <c r="AM943">
        <f t="shared" ca="1" si="369"/>
        <v>1.3396480023452113</v>
      </c>
      <c r="AN943">
        <f t="shared" ca="1" si="370"/>
        <v>1.5882878061329611</v>
      </c>
    </row>
    <row r="944" spans="2:40" x14ac:dyDescent="0.25">
      <c r="B944" s="1">
        <v>45289</v>
      </c>
      <c r="C944">
        <v>915.55100000000004</v>
      </c>
      <c r="D944">
        <v>816.39300000000003</v>
      </c>
      <c r="E944">
        <v>1393.55</v>
      </c>
      <c r="G944">
        <v>929704.2</v>
      </c>
      <c r="I944" s="14">
        <f t="shared" si="353"/>
        <v>-2.2127211439459615E-2</v>
      </c>
      <c r="J944" s="15">
        <f t="shared" si="354"/>
        <v>4.1388488465341489E-3</v>
      </c>
      <c r="K944" s="15">
        <f t="shared" si="355"/>
        <v>5.5479815193516524E-2</v>
      </c>
      <c r="L944" s="15"/>
      <c r="M944" s="16">
        <f t="shared" si="356"/>
        <v>-1.9789265660263955E-2</v>
      </c>
      <c r="O944" s="13">
        <f t="shared" si="357"/>
        <v>1.2497150866863685E-2</v>
      </c>
      <c r="Q944" s="5">
        <f t="shared" si="358"/>
        <v>88151.764482255967</v>
      </c>
      <c r="R944" s="6">
        <f t="shared" si="359"/>
        <v>57520.878060249102</v>
      </c>
      <c r="T944" s="11">
        <f t="shared" si="360"/>
        <v>1.5325177127846197</v>
      </c>
      <c r="V944" s="9">
        <v>45289</v>
      </c>
      <c r="W944">
        <v>2577400</v>
      </c>
      <c r="X944">
        <v>3835012.8254999998</v>
      </c>
      <c r="Y944">
        <v>813258.07629999996</v>
      </c>
      <c r="AC944" s="24">
        <f t="shared" si="361"/>
        <v>3.0877557171391302E-5</v>
      </c>
      <c r="AE944" s="5">
        <f t="shared" si="362"/>
        <v>67883.929044205157</v>
      </c>
      <c r="AF944" s="6">
        <f t="shared" si="363"/>
        <v>57520.878060249102</v>
      </c>
      <c r="AH944" s="1">
        <f t="shared" si="364"/>
        <v>45289</v>
      </c>
      <c r="AI944">
        <f t="shared" si="365"/>
        <v>1.1801615575670017</v>
      </c>
      <c r="AJ944">
        <f t="shared" ca="1" si="366"/>
        <v>1.1114720766677391</v>
      </c>
      <c r="AK944">
        <f t="shared" ca="1" si="367"/>
        <v>1.1567059017591244</v>
      </c>
      <c r="AL944">
        <f t="shared" ca="1" si="368"/>
        <v>1.2267522816466867</v>
      </c>
      <c r="AM944">
        <f t="shared" ca="1" si="369"/>
        <v>1.3396480023452113</v>
      </c>
      <c r="AN944">
        <f t="shared" ca="1" si="370"/>
        <v>1.5882878061329611</v>
      </c>
    </row>
    <row r="945" spans="2:40" x14ac:dyDescent="0.25">
      <c r="B945" s="1">
        <v>45296</v>
      </c>
      <c r="C945">
        <v>1077.674</v>
      </c>
      <c r="D945">
        <v>972.65200000000004</v>
      </c>
      <c r="E945">
        <v>1536.75</v>
      </c>
      <c r="G945">
        <v>1055381</v>
      </c>
      <c r="I945" s="14">
        <f t="shared" si="353"/>
        <v>0.17707697331989136</v>
      </c>
      <c r="J945" s="15">
        <f t="shared" si="354"/>
        <v>0.19140169011738228</v>
      </c>
      <c r="K945" s="15">
        <f t="shared" si="355"/>
        <v>0.10275914032506916</v>
      </c>
      <c r="L945" s="15"/>
      <c r="M945" s="16">
        <f t="shared" si="356"/>
        <v>0.13517933983733754</v>
      </c>
      <c r="O945" s="13">
        <f t="shared" si="357"/>
        <v>0.15707926792078095</v>
      </c>
      <c r="Q945" s="5">
        <f t="shared" si="358"/>
        <v>101998.57911305383</v>
      </c>
      <c r="R945" s="6">
        <f t="shared" si="359"/>
        <v>65296.512383297566</v>
      </c>
      <c r="T945" s="11">
        <f t="shared" si="360"/>
        <v>1.5620831096508061</v>
      </c>
      <c r="V945" s="9">
        <v>45296</v>
      </c>
      <c r="W945">
        <v>3033800</v>
      </c>
      <c r="X945">
        <v>4569040.6042999998</v>
      </c>
      <c r="Y945">
        <v>896827.77709999995</v>
      </c>
      <c r="AC945" s="24">
        <f t="shared" si="361"/>
        <v>0.17631523017784628</v>
      </c>
      <c r="AE945" s="5">
        <f t="shared" si="362"/>
        <v>79852.899619010772</v>
      </c>
      <c r="AF945" s="6">
        <f t="shared" si="363"/>
        <v>65296.512383297566</v>
      </c>
      <c r="AH945" s="1">
        <f t="shared" si="364"/>
        <v>45296</v>
      </c>
      <c r="AI945">
        <f t="shared" si="365"/>
        <v>1.2229274842470244</v>
      </c>
      <c r="AJ945">
        <f t="shared" ca="1" si="366"/>
        <v>1.1114720766677391</v>
      </c>
      <c r="AK945">
        <f t="shared" ca="1" si="367"/>
        <v>1.1567059017591244</v>
      </c>
      <c r="AL945">
        <f t="shared" ca="1" si="368"/>
        <v>1.2267522816466867</v>
      </c>
      <c r="AM945">
        <f t="shared" ca="1" si="369"/>
        <v>1.3396480023452113</v>
      </c>
      <c r="AN945">
        <f t="shared" ca="1" si="370"/>
        <v>1.5882878061329611</v>
      </c>
    </row>
    <row r="946" spans="2:40" x14ac:dyDescent="0.25">
      <c r="B946" s="1">
        <v>45303</v>
      </c>
      <c r="C946">
        <v>953.84400000000005</v>
      </c>
      <c r="D946">
        <v>852.45299999999997</v>
      </c>
      <c r="E946">
        <v>1514.45</v>
      </c>
      <c r="G946">
        <v>1033123</v>
      </c>
      <c r="I946" s="14">
        <f t="shared" si="353"/>
        <v>-0.11490487846974129</v>
      </c>
      <c r="J946" s="15">
        <f t="shared" si="354"/>
        <v>-0.12357862832750055</v>
      </c>
      <c r="K946" s="15">
        <f t="shared" si="355"/>
        <v>-1.4511143647307545E-2</v>
      </c>
      <c r="L946" s="15"/>
      <c r="M946" s="16">
        <f t="shared" si="356"/>
        <v>-2.1090013938094399E-2</v>
      </c>
      <c r="O946" s="13">
        <f t="shared" si="357"/>
        <v>-8.4331550148183124E-2</v>
      </c>
      <c r="Q946" s="5">
        <f t="shared" si="358"/>
        <v>93396.880823537897</v>
      </c>
      <c r="R946" s="6">
        <f t="shared" si="359"/>
        <v>63919.408027024867</v>
      </c>
      <c r="T946" s="11">
        <f t="shared" si="360"/>
        <v>1.4611662358332553</v>
      </c>
      <c r="V946" s="9">
        <v>45303</v>
      </c>
      <c r="W946">
        <v>2685200</v>
      </c>
      <c r="X946">
        <v>4004403.8514</v>
      </c>
      <c r="Y946">
        <v>883813.78040000005</v>
      </c>
      <c r="AC946" s="24">
        <f t="shared" si="361"/>
        <v>-0.10897462654906288</v>
      </c>
      <c r="AE946" s="5">
        <f t="shared" si="362"/>
        <v>71150.959704169261</v>
      </c>
      <c r="AF946" s="6">
        <f t="shared" si="363"/>
        <v>63919.408027024867</v>
      </c>
      <c r="AH946" s="1">
        <f t="shared" si="364"/>
        <v>45303</v>
      </c>
      <c r="AI946">
        <f t="shared" si="365"/>
        <v>1.1131354607365405</v>
      </c>
      <c r="AJ946">
        <f t="shared" ca="1" si="366"/>
        <v>1.1114720766677391</v>
      </c>
      <c r="AK946">
        <f t="shared" ca="1" si="367"/>
        <v>1.1567059017591244</v>
      </c>
      <c r="AL946">
        <f t="shared" ca="1" si="368"/>
        <v>1.2254299326560383</v>
      </c>
      <c r="AM946">
        <f t="shared" ca="1" si="369"/>
        <v>1.3396480023452113</v>
      </c>
      <c r="AN946">
        <f t="shared" ca="1" si="370"/>
        <v>1.5882878061329611</v>
      </c>
    </row>
    <row r="947" spans="2:40" x14ac:dyDescent="0.25">
      <c r="B947" s="1">
        <v>45310</v>
      </c>
      <c r="C947">
        <v>1001.585</v>
      </c>
      <c r="D947">
        <v>918.322</v>
      </c>
      <c r="E947">
        <v>1792.7</v>
      </c>
      <c r="G947">
        <v>1174875</v>
      </c>
      <c r="I947" s="14">
        <f t="shared" si="353"/>
        <v>5.005116140584831E-2</v>
      </c>
      <c r="J947" s="15">
        <f t="shared" si="354"/>
        <v>7.726994919367991E-2</v>
      </c>
      <c r="K947" s="15">
        <f t="shared" si="355"/>
        <v>0.18373006702103067</v>
      </c>
      <c r="L947" s="15"/>
      <c r="M947" s="16">
        <f t="shared" si="356"/>
        <v>0.13720728315989472</v>
      </c>
      <c r="O947" s="13">
        <f t="shared" si="357"/>
        <v>0.10368372587351964</v>
      </c>
      <c r="Q947" s="5">
        <f t="shared" si="358"/>
        <v>103080.61741228739</v>
      </c>
      <c r="R947" s="6">
        <f t="shared" si="359"/>
        <v>72689.616343601709</v>
      </c>
      <c r="T947" s="11">
        <f t="shared" si="360"/>
        <v>1.4180927427794956</v>
      </c>
      <c r="V947" s="9">
        <v>45310</v>
      </c>
      <c r="W947">
        <v>2819600</v>
      </c>
      <c r="X947">
        <v>4313824.7920000004</v>
      </c>
      <c r="Y947">
        <v>1046196.9455</v>
      </c>
      <c r="AC947" s="24">
        <f t="shared" si="361"/>
        <v>8.004320576713829E-2</v>
      </c>
      <c r="AE947" s="5">
        <f t="shared" si="362"/>
        <v>76846.110612299453</v>
      </c>
      <c r="AF947" s="6">
        <f t="shared" si="363"/>
        <v>72689.616343601709</v>
      </c>
      <c r="AH947" s="1">
        <f t="shared" si="364"/>
        <v>45310</v>
      </c>
      <c r="AI947">
        <f t="shared" si="365"/>
        <v>1.0571814033114457</v>
      </c>
      <c r="AJ947">
        <f t="shared" ca="1" si="366"/>
        <v>1.1099035474868904</v>
      </c>
      <c r="AK947">
        <f t="shared" ca="1" si="367"/>
        <v>1.1560245200830543</v>
      </c>
      <c r="AL947">
        <f t="shared" ca="1" si="368"/>
        <v>1.2133586993418661</v>
      </c>
      <c r="AM947">
        <f t="shared" ca="1" si="369"/>
        <v>1.3396480023452113</v>
      </c>
      <c r="AN947">
        <f t="shared" ca="1" si="370"/>
        <v>1.5882878061329611</v>
      </c>
    </row>
    <row r="948" spans="2:40" x14ac:dyDescent="0.25">
      <c r="B948" s="1">
        <v>45317</v>
      </c>
      <c r="C948">
        <v>1033.9110000000001</v>
      </c>
      <c r="D948">
        <v>993.80700000000002</v>
      </c>
      <c r="E948">
        <v>1770.5</v>
      </c>
      <c r="G948">
        <v>1253620</v>
      </c>
      <c r="I948" s="14">
        <f t="shared" si="353"/>
        <v>3.2274844371670941E-2</v>
      </c>
      <c r="J948" s="15">
        <f t="shared" si="354"/>
        <v>8.2198836573663669E-2</v>
      </c>
      <c r="K948" s="15">
        <f t="shared" si="355"/>
        <v>-1.2383555530763646E-2</v>
      </c>
      <c r="L948" s="15"/>
      <c r="M948" s="16">
        <f t="shared" si="356"/>
        <v>6.7024151505479246E-2</v>
      </c>
      <c r="O948" s="13">
        <f t="shared" si="357"/>
        <v>3.4030041804856991E-2</v>
      </c>
      <c r="Q948" s="5">
        <f t="shared" si="358"/>
        <v>106588.455132098</v>
      </c>
      <c r="R948" s="6">
        <f t="shared" si="359"/>
        <v>77561.576202290424</v>
      </c>
      <c r="T948" s="11">
        <f t="shared" si="360"/>
        <v>1.3742430253622204</v>
      </c>
      <c r="V948" s="9">
        <v>45317</v>
      </c>
      <c r="W948">
        <v>2910600</v>
      </c>
      <c r="X948">
        <v>4668416.6727999998</v>
      </c>
      <c r="Y948">
        <v>1033056.9188</v>
      </c>
      <c r="AC948" s="24">
        <f t="shared" si="361"/>
        <v>5.2892163744103146E-2</v>
      </c>
      <c r="AE948" s="5">
        <f t="shared" si="362"/>
        <v>80910.66767790266</v>
      </c>
      <c r="AF948" s="6">
        <f t="shared" si="363"/>
        <v>77561.576202290424</v>
      </c>
      <c r="AH948" s="1">
        <f t="shared" si="364"/>
        <v>45317</v>
      </c>
      <c r="AI948">
        <f t="shared" si="365"/>
        <v>1.0431797758580534</v>
      </c>
      <c r="AJ948">
        <f t="shared" ca="1" si="366"/>
        <v>1.1064195254735465</v>
      </c>
      <c r="AK948">
        <f t="shared" ca="1" si="367"/>
        <v>1.1560245200830543</v>
      </c>
      <c r="AL948">
        <f t="shared" ca="1" si="368"/>
        <v>1.2133586993418661</v>
      </c>
      <c r="AM948">
        <f t="shared" ca="1" si="369"/>
        <v>1.3396480023452113</v>
      </c>
      <c r="AN948">
        <f t="shared" ca="1" si="370"/>
        <v>1.5882878061329611</v>
      </c>
    </row>
    <row r="949" spans="2:40" x14ac:dyDescent="0.25">
      <c r="B949" s="1">
        <v>45324</v>
      </c>
      <c r="C949">
        <v>1065.241</v>
      </c>
      <c r="D949">
        <v>1025.54</v>
      </c>
      <c r="E949">
        <v>1854.6</v>
      </c>
      <c r="G949">
        <v>1316205</v>
      </c>
      <c r="I949" s="14">
        <f t="shared" si="353"/>
        <v>3.0302414811332889E-2</v>
      </c>
      <c r="J949" s="15">
        <f t="shared" si="354"/>
        <v>3.1930747116894809E-2</v>
      </c>
      <c r="K949" s="15">
        <f t="shared" si="355"/>
        <v>4.7500706015249916E-2</v>
      </c>
      <c r="L949" s="15"/>
      <c r="M949" s="16">
        <f t="shared" si="356"/>
        <v>4.9923421770552423E-2</v>
      </c>
      <c r="O949" s="13">
        <f t="shared" si="357"/>
        <v>3.6577955981159205E-2</v>
      </c>
      <c r="Q949" s="5">
        <f t="shared" si="358"/>
        <v>110487.24295201965</v>
      </c>
      <c r="R949" s="6">
        <f t="shared" si="359"/>
        <v>81433.71548422621</v>
      </c>
      <c r="T949" s="11">
        <f t="shared" si="360"/>
        <v>1.3567751673251496</v>
      </c>
      <c r="V949" s="9">
        <v>45324</v>
      </c>
      <c r="W949">
        <v>2998800</v>
      </c>
      <c r="X949">
        <v>4817480.7755000005</v>
      </c>
      <c r="Y949">
        <v>1082127.8518000001</v>
      </c>
      <c r="AC949" s="24">
        <f t="shared" si="361"/>
        <v>3.3248110425061934E-2</v>
      </c>
      <c r="AE949" s="5">
        <f t="shared" si="362"/>
        <v>83600.794491423061</v>
      </c>
      <c r="AF949" s="6">
        <f t="shared" si="363"/>
        <v>81433.71548422621</v>
      </c>
      <c r="AH949" s="1">
        <f t="shared" si="364"/>
        <v>45324</v>
      </c>
      <c r="AI949">
        <f t="shared" si="365"/>
        <v>1.0266115698431644</v>
      </c>
      <c r="AJ949">
        <f t="shared" ca="1" si="366"/>
        <v>1.098391167561068</v>
      </c>
      <c r="AK949">
        <f t="shared" ca="1" si="367"/>
        <v>1.1560245200830543</v>
      </c>
      <c r="AL949">
        <f t="shared" ca="1" si="368"/>
        <v>1.2133586993418661</v>
      </c>
      <c r="AM949">
        <f t="shared" ca="1" si="369"/>
        <v>1.3396480023452113</v>
      </c>
      <c r="AN949">
        <f t="shared" ca="1" si="370"/>
        <v>1.5882878061329611</v>
      </c>
    </row>
    <row r="950" spans="2:40" x14ac:dyDescent="0.25">
      <c r="B950" s="1">
        <v>45331</v>
      </c>
      <c r="C950">
        <v>988.65499999999997</v>
      </c>
      <c r="D950">
        <v>885.14700000000005</v>
      </c>
      <c r="E950">
        <v>1536.85</v>
      </c>
      <c r="G950">
        <v>1128511</v>
      </c>
      <c r="I950" s="14">
        <f t="shared" si="353"/>
        <v>-7.1895467786162959E-2</v>
      </c>
      <c r="J950" s="15">
        <f t="shared" si="354"/>
        <v>-0.13689665932094308</v>
      </c>
      <c r="K950" s="15">
        <f t="shared" si="355"/>
        <v>-0.17133074517416158</v>
      </c>
      <c r="L950" s="15"/>
      <c r="M950" s="16">
        <f t="shared" si="356"/>
        <v>-0.14260240616013464</v>
      </c>
      <c r="O950" s="13">
        <f t="shared" si="357"/>
        <v>-0.12670762409375588</v>
      </c>
      <c r="Q950" s="5">
        <f t="shared" si="358"/>
        <v>96487.666904899655</v>
      </c>
      <c r="R950" s="6">
        <f t="shared" si="359"/>
        <v>69821.071713615733</v>
      </c>
      <c r="T950" s="11">
        <f t="shared" si="360"/>
        <v>1.3819276120633321</v>
      </c>
      <c r="V950" s="9">
        <v>45331</v>
      </c>
      <c r="W950">
        <v>2783200</v>
      </c>
      <c r="X950">
        <v>4157985.0482000001</v>
      </c>
      <c r="Y950">
        <v>896726.08059999999</v>
      </c>
      <c r="AC950" s="24">
        <f t="shared" si="361"/>
        <v>-0.11917849235142984</v>
      </c>
      <c r="AE950" s="5">
        <f t="shared" si="362"/>
        <v>73637.377844553543</v>
      </c>
      <c r="AF950" s="6">
        <f t="shared" si="363"/>
        <v>69821.071713615733</v>
      </c>
      <c r="AH950" s="1">
        <f t="shared" si="364"/>
        <v>45331</v>
      </c>
      <c r="AI950">
        <f t="shared" si="365"/>
        <v>1.054658372283243</v>
      </c>
      <c r="AJ950">
        <f t="shared" ca="1" si="366"/>
        <v>1.0703410763099532</v>
      </c>
      <c r="AK950">
        <f t="shared" ca="1" si="367"/>
        <v>1.1534350354748122</v>
      </c>
      <c r="AL950">
        <f t="shared" ca="1" si="368"/>
        <v>1.2133586993418661</v>
      </c>
      <c r="AM950">
        <f t="shared" ca="1" si="369"/>
        <v>1.3396480023452113</v>
      </c>
      <c r="AN950">
        <f t="shared" ca="1" si="370"/>
        <v>1.5882878061329611</v>
      </c>
    </row>
    <row r="951" spans="2:40" x14ac:dyDescent="0.25">
      <c r="B951" s="1">
        <v>45338</v>
      </c>
      <c r="C951">
        <v>889.69</v>
      </c>
      <c r="D951">
        <v>845.24099999999999</v>
      </c>
      <c r="E951">
        <v>1438.75</v>
      </c>
      <c r="G951">
        <v>1065369</v>
      </c>
      <c r="I951" s="14">
        <f t="shared" si="353"/>
        <v>-0.10010064178100542</v>
      </c>
      <c r="J951" s="15">
        <f t="shared" si="354"/>
        <v>-4.5084036888788037E-2</v>
      </c>
      <c r="K951" s="15">
        <f t="shared" si="355"/>
        <v>-6.3831863877411577E-2</v>
      </c>
      <c r="L951" s="15"/>
      <c r="M951" s="16">
        <f t="shared" si="356"/>
        <v>-5.5951603484591605E-2</v>
      </c>
      <c r="O951" s="13">
        <f t="shared" si="357"/>
        <v>-6.9672180849068344E-2</v>
      </c>
      <c r="Q951" s="5">
        <f t="shared" si="358"/>
        <v>89765.16072659682</v>
      </c>
      <c r="R951" s="6">
        <f t="shared" si="359"/>
        <v>65914.470794226276</v>
      </c>
      <c r="T951" s="11">
        <f t="shared" si="360"/>
        <v>1.361843001164772</v>
      </c>
      <c r="V951" s="9">
        <v>45338</v>
      </c>
      <c r="W951">
        <v>2504600</v>
      </c>
      <c r="X951">
        <v>3970525.6461999998</v>
      </c>
      <c r="Y951">
        <v>839486.3835</v>
      </c>
      <c r="AC951" s="24">
        <f t="shared" si="361"/>
        <v>-6.6765053343144282E-2</v>
      </c>
      <c r="AE951" s="5">
        <f t="shared" si="362"/>
        <v>68720.974384712652</v>
      </c>
      <c r="AF951" s="6">
        <f t="shared" si="363"/>
        <v>65914.470794226276</v>
      </c>
      <c r="AH951" s="1">
        <f t="shared" si="364"/>
        <v>45338</v>
      </c>
      <c r="AI951">
        <f t="shared" si="365"/>
        <v>1.0425779583249299</v>
      </c>
      <c r="AJ951">
        <f t="shared" ca="1" si="366"/>
        <v>1.0596085741621015</v>
      </c>
      <c r="AK951">
        <f t="shared" ca="1" si="367"/>
        <v>1.1495510505425854</v>
      </c>
      <c r="AL951">
        <f t="shared" ca="1" si="368"/>
        <v>1.2133586993418661</v>
      </c>
      <c r="AM951">
        <f t="shared" ca="1" si="369"/>
        <v>1.3396480023452113</v>
      </c>
      <c r="AN951">
        <f t="shared" ca="1" si="370"/>
        <v>1.5882878061329611</v>
      </c>
    </row>
    <row r="952" spans="2:40" x14ac:dyDescent="0.25">
      <c r="B952" s="1">
        <v>45345</v>
      </c>
      <c r="C952">
        <v>881.23599999999999</v>
      </c>
      <c r="D952">
        <v>835.625</v>
      </c>
      <c r="E952">
        <v>1505</v>
      </c>
      <c r="G952">
        <v>1105610</v>
      </c>
      <c r="I952" s="14">
        <f t="shared" si="353"/>
        <v>-9.5021861547280873E-3</v>
      </c>
      <c r="J952" s="15">
        <f t="shared" si="354"/>
        <v>-1.1376636959163133E-2</v>
      </c>
      <c r="K952" s="15">
        <f t="shared" si="355"/>
        <v>4.6046915725456161E-2</v>
      </c>
      <c r="L952" s="15"/>
      <c r="M952" s="16">
        <f t="shared" si="356"/>
        <v>3.7771889364154543E-2</v>
      </c>
      <c r="O952" s="13">
        <f t="shared" si="357"/>
        <v>8.3893642038549796E-3</v>
      </c>
      <c r="Q952" s="5">
        <f t="shared" si="358"/>
        <v>90518.233352749827</v>
      </c>
      <c r="R952" s="6">
        <f t="shared" si="359"/>
        <v>68404.184892562582</v>
      </c>
      <c r="T952" s="11">
        <f t="shared" si="360"/>
        <v>1.3232850226184283</v>
      </c>
      <c r="V952" s="9">
        <v>45345</v>
      </c>
      <c r="W952">
        <v>2480800</v>
      </c>
      <c r="X952">
        <v>3925354.7059999998</v>
      </c>
      <c r="Y952">
        <v>878105.86419999995</v>
      </c>
      <c r="AC952" s="24">
        <f t="shared" si="361"/>
        <v>-4.1443955441812846E-3</v>
      </c>
      <c r="AE952" s="5">
        <f t="shared" si="362"/>
        <v>68436.167484680846</v>
      </c>
      <c r="AF952" s="6">
        <f t="shared" si="363"/>
        <v>68404.184892562582</v>
      </c>
      <c r="AH952" s="1">
        <f t="shared" si="364"/>
        <v>45345</v>
      </c>
      <c r="AI952">
        <f t="shared" si="365"/>
        <v>1.0004675531499789</v>
      </c>
      <c r="AJ952">
        <f t="shared" ca="1" si="366"/>
        <v>1.0573385011927254</v>
      </c>
      <c r="AK952">
        <f t="shared" ca="1" si="367"/>
        <v>1.1495510505425854</v>
      </c>
      <c r="AL952">
        <f t="shared" ca="1" si="368"/>
        <v>1.2133586993418661</v>
      </c>
      <c r="AM952">
        <f t="shared" ca="1" si="369"/>
        <v>1.3396480023452113</v>
      </c>
      <c r="AN952">
        <f t="shared" ca="1" si="370"/>
        <v>1.5882878061329611</v>
      </c>
    </row>
    <row r="953" spans="2:40" x14ac:dyDescent="0.25">
      <c r="B953" s="1">
        <v>45352</v>
      </c>
      <c r="C953">
        <v>837.97</v>
      </c>
      <c r="D953">
        <v>781.29499999999996</v>
      </c>
      <c r="E953">
        <v>1497.05</v>
      </c>
      <c r="G953">
        <v>1054959</v>
      </c>
      <c r="I953" s="14">
        <f t="shared" si="353"/>
        <v>-4.9096950192683897E-2</v>
      </c>
      <c r="J953" s="15">
        <f t="shared" si="354"/>
        <v>-6.5017202692595366E-2</v>
      </c>
      <c r="K953" s="15">
        <f t="shared" si="355"/>
        <v>-5.2823920265780977E-3</v>
      </c>
      <c r="L953" s="15"/>
      <c r="M953" s="16">
        <f t="shared" si="356"/>
        <v>-4.581271877063342E-2</v>
      </c>
      <c r="O953" s="13">
        <f t="shared" si="357"/>
        <v>-3.9798848303952451E-2</v>
      </c>
      <c r="Q953" s="5">
        <f t="shared" si="358"/>
        <v>86915.71191480197</v>
      </c>
      <c r="R953" s="6">
        <f t="shared" si="359"/>
        <v>65270.403207345204</v>
      </c>
      <c r="T953" s="11">
        <f t="shared" si="360"/>
        <v>1.3316251722652284</v>
      </c>
      <c r="V953" s="9">
        <v>45352</v>
      </c>
      <c r="W953">
        <v>2359000</v>
      </c>
      <c r="X953">
        <v>3670138.8936999999</v>
      </c>
      <c r="Y953">
        <v>873467.36479999998</v>
      </c>
      <c r="AC953" s="24">
        <f t="shared" si="361"/>
        <v>-5.2394308569250966E-2</v>
      </c>
      <c r="AE953" s="5">
        <f t="shared" si="362"/>
        <v>64850.501808191533</v>
      </c>
      <c r="AF953" s="6">
        <f t="shared" si="363"/>
        <v>65270.403207345204</v>
      </c>
      <c r="AH953" s="1">
        <f t="shared" si="364"/>
        <v>45352</v>
      </c>
      <c r="AI953">
        <f t="shared" si="365"/>
        <v>0.99356674114882104</v>
      </c>
      <c r="AJ953">
        <f t="shared" ca="1" si="366"/>
        <v>1.0549106753860633</v>
      </c>
      <c r="AK953">
        <f t="shared" ca="1" si="367"/>
        <v>1.1495510505425854</v>
      </c>
      <c r="AL953">
        <f t="shared" ca="1" si="368"/>
        <v>1.2133586993418661</v>
      </c>
      <c r="AM953">
        <f t="shared" ca="1" si="369"/>
        <v>1.3396480023452113</v>
      </c>
      <c r="AN953">
        <f t="shared" ca="1" si="370"/>
        <v>1.5882878061329611</v>
      </c>
    </row>
    <row r="954" spans="2:40" x14ac:dyDescent="0.25">
      <c r="B954" s="1">
        <v>45359</v>
      </c>
      <c r="C954">
        <v>744.47500000000002</v>
      </c>
      <c r="D954">
        <v>704.36800000000005</v>
      </c>
      <c r="E954">
        <v>1415.4</v>
      </c>
      <c r="G954">
        <v>1002336</v>
      </c>
      <c r="I954" s="14">
        <f t="shared" si="353"/>
        <v>-0.11157320667804338</v>
      </c>
      <c r="J954" s="15">
        <f t="shared" si="354"/>
        <v>-9.8460888652813439E-2</v>
      </c>
      <c r="K954" s="15">
        <f t="shared" si="355"/>
        <v>-5.4540596506462591E-2</v>
      </c>
      <c r="L954" s="15"/>
      <c r="M954" s="16">
        <f t="shared" si="356"/>
        <v>-4.9881559378136986E-2</v>
      </c>
      <c r="O954" s="13">
        <f t="shared" si="357"/>
        <v>-8.8191563945773141E-2</v>
      </c>
      <c r="Q954" s="5">
        <f t="shared" si="358"/>
        <v>79250.479349575326</v>
      </c>
      <c r="R954" s="6">
        <f t="shared" si="359"/>
        <v>62014.613714123072</v>
      </c>
      <c r="T954" s="11">
        <f t="shared" si="360"/>
        <v>1.2779323227732529</v>
      </c>
      <c r="V954" s="9">
        <v>45359</v>
      </c>
      <c r="W954">
        <v>2095800</v>
      </c>
      <c r="X954">
        <v>3308771.3717999998</v>
      </c>
      <c r="Y954">
        <v>825827.93370000005</v>
      </c>
      <c r="AC954" s="24">
        <f t="shared" si="361"/>
        <v>-9.7384341136916672E-2</v>
      </c>
      <c r="AE954" s="5">
        <f t="shared" si="362"/>
        <v>58535.078417202378</v>
      </c>
      <c r="AF954" s="6">
        <f t="shared" si="363"/>
        <v>62014.613714123072</v>
      </c>
      <c r="AH954" s="1">
        <f t="shared" si="364"/>
        <v>45359</v>
      </c>
      <c r="AI954">
        <f t="shared" si="365"/>
        <v>0.94389168796631118</v>
      </c>
      <c r="AJ954">
        <f t="shared" ca="1" si="366"/>
        <v>1.0486932215429023</v>
      </c>
      <c r="AK954">
        <f t="shared" ca="1" si="367"/>
        <v>1.1495510505425854</v>
      </c>
      <c r="AL954">
        <f t="shared" ca="1" si="368"/>
        <v>1.2133586993418661</v>
      </c>
      <c r="AM954">
        <f t="shared" ca="1" si="369"/>
        <v>1.3396480023452113</v>
      </c>
      <c r="AN954">
        <f t="shared" ca="1" si="370"/>
        <v>1.5882878061329611</v>
      </c>
    </row>
    <row r="955" spans="2:40" x14ac:dyDescent="0.25">
      <c r="B955" s="1">
        <v>45366</v>
      </c>
      <c r="C955">
        <v>785.255</v>
      </c>
      <c r="D955">
        <v>709.17600000000004</v>
      </c>
      <c r="E955">
        <v>1483.15</v>
      </c>
      <c r="G955">
        <v>1068974</v>
      </c>
      <c r="I955" s="14">
        <f t="shared" si="353"/>
        <v>5.4776856173813782E-2</v>
      </c>
      <c r="J955" s="15">
        <f t="shared" si="354"/>
        <v>6.8259773300320958E-3</v>
      </c>
      <c r="K955" s="15">
        <f t="shared" si="355"/>
        <v>4.7866327539918041E-2</v>
      </c>
      <c r="L955" s="15"/>
      <c r="M955" s="16">
        <f t="shared" si="356"/>
        <v>6.6482696421160226E-2</v>
      </c>
      <c r="O955" s="13">
        <f t="shared" si="357"/>
        <v>3.6489720347921306E-2</v>
      </c>
      <c r="Q955" s="5">
        <f t="shared" si="358"/>
        <v>82142.307178480041</v>
      </c>
      <c r="R955" s="6">
        <f t="shared" si="359"/>
        <v>66137.512451354633</v>
      </c>
      <c r="T955" s="11">
        <f t="shared" si="360"/>
        <v>1.2419926927081999</v>
      </c>
      <c r="V955" s="9">
        <v>45366</v>
      </c>
      <c r="W955">
        <v>2210600</v>
      </c>
      <c r="X955">
        <v>3331356.8420000002</v>
      </c>
      <c r="Y955">
        <v>865357.28410000005</v>
      </c>
      <c r="AC955" s="24">
        <f t="shared" si="361"/>
        <v>2.8395657362308504E-2</v>
      </c>
      <c r="AE955" s="5">
        <f t="shared" si="362"/>
        <v>60197.220447613116</v>
      </c>
      <c r="AF955" s="6">
        <f t="shared" si="363"/>
        <v>66137.512451354633</v>
      </c>
      <c r="AH955" s="1">
        <f t="shared" si="364"/>
        <v>45366</v>
      </c>
      <c r="AI955">
        <f t="shared" si="365"/>
        <v>0.91018271199554557</v>
      </c>
      <c r="AJ955">
        <f t="shared" ca="1" si="366"/>
        <v>1.0443276355005724</v>
      </c>
      <c r="AK955">
        <f t="shared" ca="1" si="367"/>
        <v>1.1495510505425854</v>
      </c>
      <c r="AL955">
        <f t="shared" ca="1" si="368"/>
        <v>1.2133586993418661</v>
      </c>
      <c r="AM955">
        <f t="shared" ca="1" si="369"/>
        <v>1.3396480023452113</v>
      </c>
      <c r="AN955">
        <f t="shared" ca="1" si="370"/>
        <v>1.5882878061329611</v>
      </c>
    </row>
    <row r="956" spans="2:40" x14ac:dyDescent="0.25">
      <c r="B956" s="1">
        <v>45373</v>
      </c>
      <c r="C956">
        <v>919.03200000000004</v>
      </c>
      <c r="D956">
        <v>826.971</v>
      </c>
      <c r="E956">
        <v>1580.85</v>
      </c>
      <c r="G956">
        <v>1227404</v>
      </c>
      <c r="I956" s="14">
        <f t="shared" si="353"/>
        <v>0.17036122024055889</v>
      </c>
      <c r="J956" s="15">
        <f t="shared" si="354"/>
        <v>0.16610122169954988</v>
      </c>
      <c r="K956" s="15">
        <f t="shared" si="355"/>
        <v>6.5873310184404676E-2</v>
      </c>
      <c r="L956" s="15"/>
      <c r="M956" s="16">
        <f t="shared" si="356"/>
        <v>0.14820753357892702</v>
      </c>
      <c r="O956" s="13">
        <f t="shared" si="357"/>
        <v>0.13411191737483782</v>
      </c>
      <c r="Q956" s="5">
        <f t="shared" si="358"/>
        <v>93158.569491778893</v>
      </c>
      <c r="R956" s="6">
        <f t="shared" si="359"/>
        <v>75939.590048815473</v>
      </c>
      <c r="T956" s="11">
        <f t="shared" si="360"/>
        <v>1.2267457518784961</v>
      </c>
      <c r="V956" s="9">
        <v>45373</v>
      </c>
      <c r="W956">
        <v>2587200</v>
      </c>
      <c r="X956">
        <v>3884700.8598000002</v>
      </c>
      <c r="Y956">
        <v>922361.23289999994</v>
      </c>
      <c r="AC956" s="24">
        <f t="shared" si="361"/>
        <v>0.15403441819914665</v>
      </c>
      <c r="AE956" s="5">
        <f t="shared" si="362"/>
        <v>69469.664276466981</v>
      </c>
      <c r="AF956" s="6">
        <f t="shared" si="363"/>
        <v>75939.590048815473</v>
      </c>
      <c r="AH956" s="1">
        <f t="shared" si="364"/>
        <v>45373</v>
      </c>
      <c r="AI956">
        <f t="shared" si="365"/>
        <v>0.91480167632996834</v>
      </c>
      <c r="AJ956">
        <f t="shared" ca="1" si="366"/>
        <v>1.0426381400782423</v>
      </c>
      <c r="AK956">
        <f t="shared" ca="1" si="367"/>
        <v>1.1495510505425854</v>
      </c>
      <c r="AL956">
        <f t="shared" ca="1" si="368"/>
        <v>1.2133586993418661</v>
      </c>
      <c r="AM956">
        <f t="shared" ca="1" si="369"/>
        <v>1.3396480023452113</v>
      </c>
      <c r="AN956">
        <f t="shared" ca="1" si="370"/>
        <v>1.5882878061329611</v>
      </c>
    </row>
    <row r="957" spans="2:40" x14ac:dyDescent="0.25">
      <c r="B957" s="1">
        <v>45380</v>
      </c>
      <c r="C957">
        <v>883.22500000000002</v>
      </c>
      <c r="D957">
        <v>860.62699999999995</v>
      </c>
      <c r="E957">
        <v>1484.65</v>
      </c>
      <c r="G957">
        <v>1213485</v>
      </c>
      <c r="I957" s="14">
        <f t="shared" si="353"/>
        <v>-3.8961646602077016E-2</v>
      </c>
      <c r="J957" s="15">
        <f t="shared" si="354"/>
        <v>4.0697920483305783E-2</v>
      </c>
      <c r="K957" s="15">
        <f t="shared" si="355"/>
        <v>-6.0853338393901946E-2</v>
      </c>
      <c r="L957" s="15"/>
      <c r="M957" s="16">
        <f t="shared" si="356"/>
        <v>-1.1340194426610939E-2</v>
      </c>
      <c r="O957" s="13">
        <f t="shared" si="357"/>
        <v>-1.9705688170891061E-2</v>
      </c>
      <c r="Q957" s="5">
        <f t="shared" si="358"/>
        <v>91322.815770927613</v>
      </c>
      <c r="R957" s="6">
        <f t="shared" si="359"/>
        <v>75078.420332984781</v>
      </c>
      <c r="T957" s="11">
        <f t="shared" si="360"/>
        <v>1.2163657062295177</v>
      </c>
      <c r="V957" s="9">
        <v>45380</v>
      </c>
      <c r="W957">
        <v>2486400</v>
      </c>
      <c r="X957">
        <v>4042799.1505999998</v>
      </c>
      <c r="Y957">
        <v>866232.47259999998</v>
      </c>
      <c r="AC957" s="24">
        <f t="shared" si="361"/>
        <v>1.5808397956979133E-4</v>
      </c>
      <c r="AE957" s="5">
        <f t="shared" si="362"/>
        <v>69480.64631745519</v>
      </c>
      <c r="AF957" s="6">
        <f t="shared" si="363"/>
        <v>75078.420332984781</v>
      </c>
      <c r="AH957" s="1">
        <f t="shared" si="364"/>
        <v>45380</v>
      </c>
      <c r="AI957">
        <f t="shared" si="365"/>
        <v>0.92544097237658207</v>
      </c>
      <c r="AJ957">
        <f t="shared" ca="1" si="366"/>
        <v>1.0282082086913409</v>
      </c>
      <c r="AK957">
        <f t="shared" ca="1" si="367"/>
        <v>1.1451568659664013</v>
      </c>
      <c r="AL957">
        <f t="shared" ca="1" si="368"/>
        <v>1.2133586993418661</v>
      </c>
      <c r="AM957">
        <f t="shared" ca="1" si="369"/>
        <v>1.3396480023452113</v>
      </c>
      <c r="AN957">
        <f t="shared" ca="1" si="370"/>
        <v>1.5882878061329611</v>
      </c>
    </row>
    <row r="958" spans="2:40" x14ac:dyDescent="0.25">
      <c r="B958" s="1">
        <v>45387</v>
      </c>
      <c r="C958">
        <v>796.69299999999998</v>
      </c>
      <c r="D958">
        <v>743.31200000000001</v>
      </c>
      <c r="E958">
        <v>1402</v>
      </c>
      <c r="G958">
        <v>1214371</v>
      </c>
      <c r="I958" s="14">
        <f t="shared" si="353"/>
        <v>-9.7972770245407514E-2</v>
      </c>
      <c r="J958" s="15">
        <f t="shared" si="354"/>
        <v>-0.1363134087124851</v>
      </c>
      <c r="K958" s="15">
        <f t="shared" si="355"/>
        <v>-5.5669686458087786E-2</v>
      </c>
      <c r="L958" s="15"/>
      <c r="M958" s="16">
        <f t="shared" si="356"/>
        <v>7.30128514155437E-4</v>
      </c>
      <c r="O958" s="13">
        <f t="shared" si="357"/>
        <v>-9.6651955138660137E-2</v>
      </c>
      <c r="Q958" s="5">
        <f t="shared" si="358"/>
        <v>82496.287077899789</v>
      </c>
      <c r="R958" s="6">
        <f t="shared" si="359"/>
        <v>75133.237228467638</v>
      </c>
      <c r="T958" s="11">
        <f t="shared" si="360"/>
        <v>1.0979999015221764</v>
      </c>
      <c r="V958" s="9">
        <v>45387</v>
      </c>
      <c r="W958">
        <v>2242800</v>
      </c>
      <c r="X958">
        <v>3491713.6798</v>
      </c>
      <c r="Y958">
        <v>818009.58250000002</v>
      </c>
      <c r="AC958" s="24">
        <f t="shared" si="361"/>
        <v>-0.11397713642589749</v>
      </c>
      <c r="AE958" s="5">
        <f t="shared" si="362"/>
        <v>61561.441213171071</v>
      </c>
      <c r="AF958" s="6">
        <f t="shared" si="363"/>
        <v>75133.237228467638</v>
      </c>
      <c r="AH958" s="1">
        <f t="shared" si="364"/>
        <v>45387</v>
      </c>
      <c r="AI958">
        <f t="shared" si="365"/>
        <v>0.81936361967171722</v>
      </c>
      <c r="AJ958">
        <f t="shared" ca="1" si="366"/>
        <v>1.0030819548192975</v>
      </c>
      <c r="AK958">
        <f t="shared" ca="1" si="367"/>
        <v>1.1305179543515971</v>
      </c>
      <c r="AL958">
        <f t="shared" ca="1" si="368"/>
        <v>1.2133586993418661</v>
      </c>
      <c r="AM958">
        <f t="shared" ca="1" si="369"/>
        <v>1.3396480023452113</v>
      </c>
      <c r="AN958">
        <f t="shared" ca="1" si="370"/>
        <v>1.5882878061329611</v>
      </c>
    </row>
    <row r="959" spans="2:40" x14ac:dyDescent="0.25">
      <c r="B959" s="1">
        <v>45394</v>
      </c>
      <c r="C959">
        <v>858.85699999999997</v>
      </c>
      <c r="D959">
        <v>826.00900000000001</v>
      </c>
      <c r="E959">
        <v>1567</v>
      </c>
      <c r="G959">
        <v>1244524</v>
      </c>
      <c r="I959" s="14">
        <f t="shared" si="353"/>
        <v>7.8027546369806133E-2</v>
      </c>
      <c r="J959" s="15">
        <f t="shared" si="354"/>
        <v>0.11125476246851917</v>
      </c>
      <c r="K959" s="15">
        <f t="shared" si="355"/>
        <v>0.11768901569186885</v>
      </c>
      <c r="L959" s="15"/>
      <c r="M959" s="16">
        <f t="shared" si="356"/>
        <v>2.4830138400867563E-2</v>
      </c>
      <c r="O959" s="13">
        <f t="shared" si="357"/>
        <v>0.10232377484339805</v>
      </c>
      <c r="Q959" s="5">
        <f t="shared" si="358"/>
        <v>90937.618582275129</v>
      </c>
      <c r="R959" s="6">
        <f t="shared" si="359"/>
        <v>76998.805907355709</v>
      </c>
      <c r="T959" s="11">
        <f t="shared" si="360"/>
        <v>1.1810263485344237</v>
      </c>
      <c r="V959" s="9">
        <v>45394</v>
      </c>
      <c r="W959">
        <v>2417800</v>
      </c>
      <c r="X959">
        <v>3880183.7658000002</v>
      </c>
      <c r="Y959">
        <v>914280.32510000002</v>
      </c>
      <c r="AC959" s="24">
        <f t="shared" si="361"/>
        <v>0.10068498397238736</v>
      </c>
      <c r="AE959" s="5">
        <f t="shared" si="362"/>
        <v>67759.753935036264</v>
      </c>
      <c r="AF959" s="6">
        <f t="shared" si="363"/>
        <v>76998.805907355709</v>
      </c>
      <c r="AH959" s="1">
        <f t="shared" si="364"/>
        <v>45394</v>
      </c>
      <c r="AI959">
        <f t="shared" si="365"/>
        <v>0.88001045128627331</v>
      </c>
      <c r="AJ959">
        <f t="shared" ca="1" si="366"/>
        <v>0.99425682234893686</v>
      </c>
      <c r="AK959">
        <f t="shared" ca="1" si="367"/>
        <v>1.1112699231634866</v>
      </c>
      <c r="AL959">
        <f t="shared" ca="1" si="368"/>
        <v>1.2133586993418661</v>
      </c>
      <c r="AM959">
        <f t="shared" ca="1" si="369"/>
        <v>1.3396480023452113</v>
      </c>
      <c r="AN959">
        <f t="shared" ca="1" si="370"/>
        <v>1.5882878061329611</v>
      </c>
    </row>
    <row r="960" spans="2:40" x14ac:dyDescent="0.25">
      <c r="B960" s="1">
        <v>45401</v>
      </c>
      <c r="C960">
        <v>854.87900000000002</v>
      </c>
      <c r="D960">
        <v>775.04499999999996</v>
      </c>
      <c r="E960">
        <v>1466.3</v>
      </c>
      <c r="G960">
        <v>1189210</v>
      </c>
      <c r="I960" s="14">
        <f t="shared" ref="I960:I1023" si="371">+C960/C959-1</f>
        <v>-4.6317372973614379E-3</v>
      </c>
      <c r="J960" s="15">
        <f t="shared" ref="J960:J1023" si="372">+D960/D959-1</f>
        <v>-6.1699085603183601E-2</v>
      </c>
      <c r="K960" s="15">
        <f t="shared" ref="K960:K1023" si="373">+E960/E959-1</f>
        <v>-6.4262922782386767E-2</v>
      </c>
      <c r="L960" s="15"/>
      <c r="M960" s="16">
        <f t="shared" ref="M960:M1023" si="374">+G960/G959-1</f>
        <v>-4.4445908636555065E-2</v>
      </c>
      <c r="O960" s="13">
        <f t="shared" ref="O960:O1023" si="375">+AVERAGE(I960:L960)</f>
        <v>-4.3531248560977266E-2</v>
      </c>
      <c r="Q960" s="5">
        <f t="shared" ref="Q960:Q1023" si="376">+Q959*(1+O960)</f>
        <v>86978.990504226764</v>
      </c>
      <c r="R960" s="6">
        <f t="shared" ref="R960:R1023" si="377">+R959*(1+M960)</f>
        <v>73576.524014873547</v>
      </c>
      <c r="T960" s="11">
        <f t="shared" ref="T960:T1023" si="378">+Q960/R960</f>
        <v>1.1821568315274571</v>
      </c>
      <c r="V960" s="9">
        <v>45401</v>
      </c>
      <c r="W960">
        <v>2406600</v>
      </c>
      <c r="X960">
        <v>3640777.7825000002</v>
      </c>
      <c r="Y960">
        <v>855525.99910000002</v>
      </c>
      <c r="AC960" s="24">
        <f t="shared" ref="AC960:AC1023" si="379">+SUMPRODUCT(I960:L960,W959:Z959)/SUM(W959:AA959)</f>
        <v>-4.2893150721341783E-2</v>
      </c>
      <c r="AE960" s="5">
        <f t="shared" ref="AE960:AE1023" si="380">+AE959*(1+AC960)</f>
        <v>64853.324596659717</v>
      </c>
      <c r="AF960" s="6">
        <f t="shared" ref="AF960:AF1023" si="381">+AF959*(1+M960)</f>
        <v>73576.524014873547</v>
      </c>
      <c r="AH960" s="1">
        <f t="shared" ref="AH960:AH1023" si="382">+B960</f>
        <v>45401</v>
      </c>
      <c r="AI960">
        <f t="shared" ref="AI960:AI1023" si="383">+(AE960/$AE$6)/(AF960/$AF$6)</f>
        <v>0.88144045216854194</v>
      </c>
      <c r="AJ960">
        <f t="shared" ref="AJ960:AJ1023" ca="1" si="384">+_xlfn.PERCENTILE.INC(OFFSET(AI960,-52,0,52,1),0.1)</f>
        <v>0.94885919328456214</v>
      </c>
      <c r="AK960">
        <f t="shared" ref="AK960:AK1023" ca="1" si="385">+_xlfn.PERCENTILE.INC(OFFSET(AI960,-52,0,52,1),0.25)</f>
        <v>1.0991469463802668</v>
      </c>
      <c r="AL960">
        <f t="shared" ref="AL960:AL1023" ca="1" si="386">+_xlfn.PERCENTILE.INC(OFFSET(AI960,-52,0,52,1),0.5)</f>
        <v>1.2133586993418661</v>
      </c>
      <c r="AM960">
        <f t="shared" ref="AM960:AM1023" ca="1" si="387">+_xlfn.PERCENTILE.INC(OFFSET(AI960,-52,0,52,1),0.75)</f>
        <v>1.3396480023452113</v>
      </c>
      <c r="AN960">
        <f t="shared" ref="AN960:AN1023" ca="1" si="388">+_xlfn.PERCENTILE.INC(OFFSET(AI960,-52,0,52,1),0.9)</f>
        <v>1.5882878061329611</v>
      </c>
    </row>
    <row r="961" spans="2:40" x14ac:dyDescent="0.25">
      <c r="B961" s="1">
        <v>45408</v>
      </c>
      <c r="C961">
        <v>860.846</v>
      </c>
      <c r="D961">
        <v>830.33600000000001</v>
      </c>
      <c r="E961">
        <v>1570.95</v>
      </c>
      <c r="G961">
        <v>1279459</v>
      </c>
      <c r="I961" s="14">
        <f t="shared" si="371"/>
        <v>6.9799351721120395E-3</v>
      </c>
      <c r="J961" s="15">
        <f t="shared" si="372"/>
        <v>7.1339083537085068E-2</v>
      </c>
      <c r="K961" s="15">
        <f t="shared" si="373"/>
        <v>7.137011525608683E-2</v>
      </c>
      <c r="L961" s="15"/>
      <c r="M961" s="16">
        <f t="shared" si="374"/>
        <v>7.5889876472616358E-2</v>
      </c>
      <c r="O961" s="13">
        <f t="shared" si="375"/>
        <v>4.9896377988427977E-2</v>
      </c>
      <c r="Q961" s="5">
        <f t="shared" si="376"/>
        <v>91318.927091477555</v>
      </c>
      <c r="R961" s="6">
        <f t="shared" si="377"/>
        <v>79160.237333646786</v>
      </c>
      <c r="T961" s="11">
        <f t="shared" si="378"/>
        <v>1.1535959235011384</v>
      </c>
      <c r="V961" s="9">
        <v>45408</v>
      </c>
      <c r="W961">
        <v>2423400</v>
      </c>
      <c r="X961">
        <v>3900510.6889</v>
      </c>
      <c r="Y961">
        <v>916584.98829999997</v>
      </c>
      <c r="AC961" s="24">
        <f t="shared" si="379"/>
        <v>4.8905020581502798E-2</v>
      </c>
      <c r="AE961" s="5">
        <f t="shared" si="380"/>
        <v>68024.977770838232</v>
      </c>
      <c r="AF961" s="6">
        <f t="shared" si="381"/>
        <v>79160.237333646786</v>
      </c>
      <c r="AH961" s="1">
        <f t="shared" si="382"/>
        <v>45408</v>
      </c>
      <c r="AI961">
        <f t="shared" si="383"/>
        <v>0.85933266576911149</v>
      </c>
      <c r="AJ961">
        <f t="shared" ca="1" si="384"/>
        <v>0.92728604393555503</v>
      </c>
      <c r="AK961">
        <f t="shared" ca="1" si="385"/>
        <v>1.0565506455543949</v>
      </c>
      <c r="AL961">
        <f t="shared" ca="1" si="386"/>
        <v>1.2133586993418661</v>
      </c>
      <c r="AM961">
        <f t="shared" ca="1" si="387"/>
        <v>1.3396480023452113</v>
      </c>
      <c r="AN961">
        <f t="shared" ca="1" si="388"/>
        <v>1.5882878061329611</v>
      </c>
    </row>
    <row r="962" spans="2:40" x14ac:dyDescent="0.25">
      <c r="B962" s="1">
        <v>45415</v>
      </c>
      <c r="C962">
        <v>898.14499999999998</v>
      </c>
      <c r="D962">
        <v>910.63</v>
      </c>
      <c r="E962">
        <v>1674.6</v>
      </c>
      <c r="G962">
        <v>1452001.81</v>
      </c>
      <c r="I962" s="14">
        <f t="shared" si="371"/>
        <v>4.3328307269825173E-2</v>
      </c>
      <c r="J962" s="15">
        <f t="shared" si="372"/>
        <v>9.6700612763989557E-2</v>
      </c>
      <c r="K962" s="15">
        <f t="shared" si="373"/>
        <v>6.5979184569846083E-2</v>
      </c>
      <c r="L962" s="15"/>
      <c r="M962" s="16">
        <f t="shared" si="374"/>
        <v>0.13485606807252126</v>
      </c>
      <c r="O962" s="13">
        <f t="shared" si="375"/>
        <v>6.8669368201220271E-2</v>
      </c>
      <c r="Q962" s="5">
        <f t="shared" si="376"/>
        <v>97589.740119662616</v>
      </c>
      <c r="R962" s="6">
        <f t="shared" si="377"/>
        <v>89835.475688149992</v>
      </c>
      <c r="T962" s="11">
        <f t="shared" si="378"/>
        <v>1.0863162839859652</v>
      </c>
      <c r="V962" s="9">
        <v>45415</v>
      </c>
      <c r="W962">
        <v>2528400</v>
      </c>
      <c r="X962">
        <v>4277688.0398000004</v>
      </c>
      <c r="Y962">
        <v>977060.51839999994</v>
      </c>
      <c r="AC962" s="24">
        <f t="shared" si="379"/>
        <v>7.494778643023306E-2</v>
      </c>
      <c r="AE962" s="5">
        <f t="shared" si="380"/>
        <v>73123.299276728372</v>
      </c>
      <c r="AF962" s="6">
        <f t="shared" si="381"/>
        <v>89835.475688149992</v>
      </c>
      <c r="AH962" s="1">
        <f t="shared" si="382"/>
        <v>45415</v>
      </c>
      <c r="AI962">
        <f t="shared" si="383"/>
        <v>0.81396907754531889</v>
      </c>
      <c r="AJ962">
        <f t="shared" ca="1" si="384"/>
        <v>0.91586560593462973</v>
      </c>
      <c r="AK962">
        <f t="shared" ca="1" si="385"/>
        <v>1.0517887231769456</v>
      </c>
      <c r="AL962">
        <f t="shared" ca="1" si="386"/>
        <v>1.2037296727192537</v>
      </c>
      <c r="AM962">
        <f t="shared" ca="1" si="387"/>
        <v>1.3396480023452113</v>
      </c>
      <c r="AN962">
        <f t="shared" ca="1" si="388"/>
        <v>1.5882878061329611</v>
      </c>
    </row>
    <row r="963" spans="2:40" x14ac:dyDescent="0.25">
      <c r="B963" s="1">
        <v>45422</v>
      </c>
      <c r="C963">
        <v>913.56100000000004</v>
      </c>
      <c r="D963">
        <v>878.89700000000005</v>
      </c>
      <c r="E963">
        <v>1674.05</v>
      </c>
      <c r="G963">
        <v>1407510.54</v>
      </c>
      <c r="I963" s="14">
        <f t="shared" si="371"/>
        <v>1.7164266348974833E-2</v>
      </c>
      <c r="J963" s="15">
        <f t="shared" si="372"/>
        <v>-3.4847303515148753E-2</v>
      </c>
      <c r="K963" s="15">
        <f t="shared" si="373"/>
        <v>-3.2843664158599406E-4</v>
      </c>
      <c r="L963" s="15"/>
      <c r="M963" s="16">
        <f t="shared" si="374"/>
        <v>-3.0641332327264847E-2</v>
      </c>
      <c r="O963" s="13">
        <f t="shared" si="375"/>
        <v>-6.0038246025866382E-3</v>
      </c>
      <c r="Q963" s="5">
        <f t="shared" si="376"/>
        <v>97003.828436972151</v>
      </c>
      <c r="R963" s="6">
        <f t="shared" si="377"/>
        <v>87082.797022811472</v>
      </c>
      <c r="T963" s="11">
        <f t="shared" si="378"/>
        <v>1.113926421214535</v>
      </c>
      <c r="V963" s="9">
        <v>45422</v>
      </c>
      <c r="W963">
        <v>2571800</v>
      </c>
      <c r="X963">
        <v>4128623.9369999999</v>
      </c>
      <c r="Y963">
        <v>976739.61600000004</v>
      </c>
      <c r="AC963" s="24">
        <f t="shared" si="379"/>
        <v>-1.3617710636257701E-2</v>
      </c>
      <c r="AE963" s="5">
        <f t="shared" si="380"/>
        <v>72127.527346409406</v>
      </c>
      <c r="AF963" s="6">
        <f t="shared" si="381"/>
        <v>87082.797022811472</v>
      </c>
      <c r="AH963" s="1">
        <f t="shared" si="382"/>
        <v>45422</v>
      </c>
      <c r="AI963">
        <f t="shared" si="383"/>
        <v>0.82826378816835078</v>
      </c>
      <c r="AJ963">
        <f t="shared" ca="1" si="384"/>
        <v>0.91064460842898787</v>
      </c>
      <c r="AK963">
        <f t="shared" ca="1" si="385"/>
        <v>1.0430293214747726</v>
      </c>
      <c r="AL963">
        <f t="shared" ca="1" si="386"/>
        <v>1.1966507290803419</v>
      </c>
      <c r="AM963">
        <f t="shared" ca="1" si="387"/>
        <v>1.3396480023452113</v>
      </c>
      <c r="AN963">
        <f t="shared" ca="1" si="388"/>
        <v>1.5882878061329611</v>
      </c>
    </row>
    <row r="964" spans="2:40" x14ac:dyDescent="0.25">
      <c r="B964" s="1">
        <v>45429</v>
      </c>
      <c r="C964">
        <v>931.96199999999999</v>
      </c>
      <c r="D964">
        <v>892.84</v>
      </c>
      <c r="E964">
        <v>1660.6</v>
      </c>
      <c r="G964">
        <v>1473463.27</v>
      </c>
      <c r="I964" s="14">
        <f t="shared" si="371"/>
        <v>2.0142059479334007E-2</v>
      </c>
      <c r="J964" s="15">
        <f t="shared" si="372"/>
        <v>1.5864202517473558E-2</v>
      </c>
      <c r="K964" s="15">
        <f t="shared" si="373"/>
        <v>-8.0344075744452903E-3</v>
      </c>
      <c r="L964" s="15"/>
      <c r="M964" s="16">
        <f t="shared" si="374"/>
        <v>4.6857716603670996E-2</v>
      </c>
      <c r="O964" s="13">
        <f t="shared" si="375"/>
        <v>9.3239514741207587E-3</v>
      </c>
      <c r="Q964" s="5">
        <f t="shared" si="376"/>
        <v>97908.287426122421</v>
      </c>
      <c r="R964" s="6">
        <f t="shared" si="377"/>
        <v>91163.298046761382</v>
      </c>
      <c r="T964" s="11">
        <f t="shared" si="378"/>
        <v>1.073987992140228</v>
      </c>
      <c r="V964" s="9">
        <v>45429</v>
      </c>
      <c r="W964">
        <v>2623600</v>
      </c>
      <c r="X964">
        <v>4194121.8004000001</v>
      </c>
      <c r="Y964">
        <v>968892.09180000005</v>
      </c>
      <c r="AC964" s="24">
        <f t="shared" si="379"/>
        <v>1.4256717327871288E-2</v>
      </c>
      <c r="AE964" s="5">
        <f t="shared" si="380"/>
        <v>73155.829115345477</v>
      </c>
      <c r="AF964" s="6">
        <f t="shared" si="381"/>
        <v>91163.298046761382</v>
      </c>
      <c r="AH964" s="1">
        <f t="shared" si="382"/>
        <v>45429</v>
      </c>
      <c r="AI964">
        <f t="shared" si="383"/>
        <v>0.80247019011774745</v>
      </c>
      <c r="AJ964">
        <f t="shared" ca="1" si="384"/>
        <v>0.88431467815124232</v>
      </c>
      <c r="AK964">
        <f t="shared" ca="1" si="385"/>
        <v>1.0385863612044886</v>
      </c>
      <c r="AL964">
        <f t="shared" ca="1" si="386"/>
        <v>1.1870336019082504</v>
      </c>
      <c r="AM964">
        <f t="shared" ca="1" si="387"/>
        <v>1.3396480023452113</v>
      </c>
      <c r="AN964">
        <f t="shared" ca="1" si="388"/>
        <v>1.5882878061329611</v>
      </c>
    </row>
    <row r="965" spans="2:40" x14ac:dyDescent="0.25">
      <c r="B965" s="1">
        <v>45436</v>
      </c>
      <c r="C965">
        <v>1005.067</v>
      </c>
      <c r="D965">
        <v>985.63400000000001</v>
      </c>
      <c r="E965">
        <v>1714.9</v>
      </c>
      <c r="G965">
        <v>1520808.84</v>
      </c>
      <c r="I965" s="14">
        <f t="shared" si="371"/>
        <v>7.8442039482296444E-2</v>
      </c>
      <c r="J965" s="15">
        <f t="shared" si="372"/>
        <v>0.1039312754804893</v>
      </c>
      <c r="K965" s="15">
        <f t="shared" si="373"/>
        <v>3.2699024448994418E-2</v>
      </c>
      <c r="L965" s="15"/>
      <c r="M965" s="16">
        <f t="shared" si="374"/>
        <v>3.2132168452356558E-2</v>
      </c>
      <c r="O965" s="13">
        <f t="shared" si="375"/>
        <v>7.1690779803926727E-2</v>
      </c>
      <c r="Q965" s="5">
        <f t="shared" si="376"/>
        <v>104927.40890096813</v>
      </c>
      <c r="R965" s="6">
        <f t="shared" si="377"/>
        <v>94092.572496272303</v>
      </c>
      <c r="T965" s="11">
        <f t="shared" si="378"/>
        <v>1.1151508149607141</v>
      </c>
      <c r="V965" s="9">
        <v>45436</v>
      </c>
      <c r="W965">
        <v>2829400</v>
      </c>
      <c r="X965">
        <v>4630021.3735999996</v>
      </c>
      <c r="Y965">
        <v>1000573.9179999999</v>
      </c>
      <c r="AC965" s="24">
        <f t="shared" si="379"/>
        <v>8.6479540213827366E-2</v>
      </c>
      <c r="AE965" s="5">
        <f t="shared" si="380"/>
        <v>79482.31158120188</v>
      </c>
      <c r="AF965" s="6">
        <f t="shared" si="381"/>
        <v>94092.572496272303</v>
      </c>
      <c r="AH965" s="1">
        <f t="shared" si="382"/>
        <v>45436</v>
      </c>
      <c r="AI965">
        <f t="shared" si="383"/>
        <v>0.84472460973846542</v>
      </c>
      <c r="AJ965">
        <f t="shared" ca="1" si="384"/>
        <v>0.88015345137450018</v>
      </c>
      <c r="AK965">
        <f t="shared" ca="1" si="385"/>
        <v>1.0200755656698681</v>
      </c>
      <c r="AL965">
        <f t="shared" ca="1" si="386"/>
        <v>1.1822983671123088</v>
      </c>
      <c r="AM965">
        <f t="shared" ca="1" si="387"/>
        <v>1.3301032895454246</v>
      </c>
      <c r="AN965">
        <f t="shared" ca="1" si="388"/>
        <v>1.5882878061329611</v>
      </c>
    </row>
    <row r="966" spans="2:40" x14ac:dyDescent="0.25">
      <c r="B966" s="1">
        <v>45443</v>
      </c>
      <c r="C966">
        <v>1006.559</v>
      </c>
      <c r="D966">
        <v>980.82600000000002</v>
      </c>
      <c r="E966">
        <v>1867.75</v>
      </c>
      <c r="G966">
        <v>1651417</v>
      </c>
      <c r="I966" s="14">
        <f t="shared" si="371"/>
        <v>1.4844781492178161E-3</v>
      </c>
      <c r="J966" s="15">
        <f t="shared" si="372"/>
        <v>-4.8780784753772455E-3</v>
      </c>
      <c r="K966" s="15">
        <f t="shared" si="373"/>
        <v>8.9130561548778298E-2</v>
      </c>
      <c r="L966" s="15"/>
      <c r="M966" s="16">
        <f t="shared" si="374"/>
        <v>8.5880721208853483E-2</v>
      </c>
      <c r="O966" s="13">
        <f t="shared" si="375"/>
        <v>2.8578987074206291E-2</v>
      </c>
      <c r="Q966" s="5">
        <f t="shared" si="376"/>
        <v>107926.12796367887</v>
      </c>
      <c r="R966" s="6">
        <f t="shared" si="377"/>
        <v>102173.31048264851</v>
      </c>
      <c r="T966" s="11">
        <f t="shared" si="378"/>
        <v>1.0563045031413298</v>
      </c>
      <c r="V966" s="9">
        <v>45443</v>
      </c>
      <c r="W966">
        <v>2833600</v>
      </c>
      <c r="X966">
        <v>4607435.9035</v>
      </c>
      <c r="Y966">
        <v>1089382.3259999999</v>
      </c>
      <c r="AC966" s="24">
        <f t="shared" si="379"/>
        <v>8.3683604558264495E-3</v>
      </c>
      <c r="AE966" s="5">
        <f t="shared" si="380"/>
        <v>80147.44821437569</v>
      </c>
      <c r="AF966" s="6">
        <f t="shared" si="381"/>
        <v>102173.31048264851</v>
      </c>
      <c r="AH966" s="1">
        <f t="shared" si="382"/>
        <v>45443</v>
      </c>
      <c r="AI966">
        <f t="shared" si="383"/>
        <v>0.78442645966714231</v>
      </c>
      <c r="AJ966">
        <f t="shared" ca="1" si="384"/>
        <v>0.86140044432082763</v>
      </c>
      <c r="AK966">
        <f t="shared" ca="1" si="385"/>
        <v>0.99874235014968948</v>
      </c>
      <c r="AL966">
        <f t="shared" ca="1" si="386"/>
        <v>1.1748275568275659</v>
      </c>
      <c r="AM966">
        <f t="shared" ca="1" si="387"/>
        <v>1.3160671747671824</v>
      </c>
      <c r="AN966">
        <f t="shared" ca="1" si="388"/>
        <v>1.5882878061329611</v>
      </c>
    </row>
    <row r="967" spans="2:40" x14ac:dyDescent="0.25">
      <c r="B967" s="1">
        <v>45450</v>
      </c>
      <c r="C967">
        <v>938.92399999999998</v>
      </c>
      <c r="D967">
        <v>912.553</v>
      </c>
      <c r="E967">
        <v>1846.2</v>
      </c>
      <c r="G967">
        <v>1519209</v>
      </c>
      <c r="I967" s="14">
        <f t="shared" si="371"/>
        <v>-6.7194272764934837E-2</v>
      </c>
      <c r="J967" s="15">
        <f t="shared" si="372"/>
        <v>-6.9607657219527219E-2</v>
      </c>
      <c r="K967" s="15">
        <f t="shared" si="373"/>
        <v>-1.153794672734576E-2</v>
      </c>
      <c r="L967" s="15"/>
      <c r="M967" s="16">
        <f t="shared" si="374"/>
        <v>-8.0057308360032664E-2</v>
      </c>
      <c r="O967" s="13">
        <f t="shared" si="375"/>
        <v>-4.9446625570602608E-2</v>
      </c>
      <c r="Q967" s="5">
        <f t="shared" si="376"/>
        <v>102589.5451249739</v>
      </c>
      <c r="R967" s="6">
        <f t="shared" si="377"/>
        <v>93993.590259173754</v>
      </c>
      <c r="T967" s="11">
        <f t="shared" si="378"/>
        <v>1.0914525643939978</v>
      </c>
      <c r="V967" s="9">
        <v>45450</v>
      </c>
      <c r="W967">
        <v>2643200</v>
      </c>
      <c r="X967">
        <v>4286722.2278000005</v>
      </c>
      <c r="Y967">
        <v>1076813.0907000001</v>
      </c>
      <c r="AC967" s="24">
        <f t="shared" si="379"/>
        <v>-6.1390160657138745E-2</v>
      </c>
      <c r="AE967" s="5">
        <f t="shared" si="380"/>
        <v>75227.183492235461</v>
      </c>
      <c r="AF967" s="6">
        <f t="shared" si="381"/>
        <v>93993.590259173754</v>
      </c>
      <c r="AH967" s="1">
        <f t="shared" si="382"/>
        <v>45450</v>
      </c>
      <c r="AI967">
        <f t="shared" si="383"/>
        <v>0.80034376051396017</v>
      </c>
      <c r="AJ967">
        <f t="shared" ca="1" si="384"/>
        <v>0.84618541534153002</v>
      </c>
      <c r="AK967">
        <f t="shared" ca="1" si="385"/>
        <v>0.98114797785319352</v>
      </c>
      <c r="AL967">
        <f t="shared" ca="1" si="386"/>
        <v>1.1689001365253591</v>
      </c>
      <c r="AM967">
        <f t="shared" ca="1" si="387"/>
        <v>1.3080956033545126</v>
      </c>
      <c r="AN967">
        <f t="shared" ca="1" si="388"/>
        <v>1.5882878061329611</v>
      </c>
    </row>
    <row r="968" spans="2:40" x14ac:dyDescent="0.25">
      <c r="B968" s="1">
        <v>45457</v>
      </c>
      <c r="C968">
        <v>885.21500000000003</v>
      </c>
      <c r="D968">
        <v>871.68499999999995</v>
      </c>
      <c r="E968">
        <v>1828.05</v>
      </c>
      <c r="G968">
        <v>1582372</v>
      </c>
      <c r="I968" s="14">
        <f t="shared" si="371"/>
        <v>-5.7202712892630236E-2</v>
      </c>
      <c r="J968" s="15">
        <f t="shared" si="372"/>
        <v>-4.4784248147778816E-2</v>
      </c>
      <c r="K968" s="15">
        <f t="shared" si="373"/>
        <v>-9.8310042248944685E-3</v>
      </c>
      <c r="L968" s="15"/>
      <c r="M968" s="16">
        <f t="shared" si="374"/>
        <v>4.1576241320318674E-2</v>
      </c>
      <c r="O968" s="13">
        <f t="shared" si="375"/>
        <v>-3.7272655088434505E-2</v>
      </c>
      <c r="Q968" s="5">
        <f t="shared" si="376"/>
        <v>98765.760393851364</v>
      </c>
      <c r="R968" s="6">
        <f t="shared" si="377"/>
        <v>97901.490450352314</v>
      </c>
      <c r="T968" s="11">
        <f t="shared" si="378"/>
        <v>1.0088279549118544</v>
      </c>
      <c r="V968" s="9">
        <v>45457</v>
      </c>
      <c r="W968">
        <v>2492000</v>
      </c>
      <c r="X968">
        <v>4094745.7318000002</v>
      </c>
      <c r="Y968">
        <v>1066226.9367</v>
      </c>
      <c r="AC968" s="24">
        <f t="shared" si="379"/>
        <v>-4.4183051228745079E-2</v>
      </c>
      <c r="AE968" s="5">
        <f t="shared" si="380"/>
        <v>71903.416990203812</v>
      </c>
      <c r="AF968" s="6">
        <f t="shared" si="381"/>
        <v>97901.490450352314</v>
      </c>
      <c r="AH968" s="1">
        <f t="shared" si="382"/>
        <v>45457</v>
      </c>
      <c r="AI968">
        <f t="shared" si="383"/>
        <v>0.73444660198168676</v>
      </c>
      <c r="AJ968">
        <f t="shared" ca="1" si="384"/>
        <v>0.82990987032536223</v>
      </c>
      <c r="AK968">
        <f t="shared" ca="1" si="385"/>
        <v>0.93927900906887896</v>
      </c>
      <c r="AL968">
        <f t="shared" ca="1" si="386"/>
        <v>1.1625390128363233</v>
      </c>
      <c r="AM968">
        <f t="shared" ca="1" si="387"/>
        <v>1.2643971559475375</v>
      </c>
      <c r="AN968">
        <f t="shared" ca="1" si="388"/>
        <v>1.5882878061329611</v>
      </c>
    </row>
    <row r="969" spans="2:40" x14ac:dyDescent="0.25">
      <c r="B969" s="1">
        <v>45464</v>
      </c>
      <c r="C969">
        <v>862.83600000000001</v>
      </c>
      <c r="D969">
        <v>840.91399999999999</v>
      </c>
      <c r="E969">
        <v>1820.25</v>
      </c>
      <c r="G969">
        <v>1576462</v>
      </c>
      <c r="I969" s="14">
        <f t="shared" si="371"/>
        <v>-2.5280863970899792E-2</v>
      </c>
      <c r="J969" s="15">
        <f t="shared" si="372"/>
        <v>-3.5300595972168836E-2</v>
      </c>
      <c r="K969" s="15">
        <f t="shared" si="373"/>
        <v>-4.2668417165832029E-3</v>
      </c>
      <c r="L969" s="15"/>
      <c r="M969" s="16">
        <f t="shared" si="374"/>
        <v>-3.7348992525145785E-3</v>
      </c>
      <c r="O969" s="13">
        <f t="shared" si="375"/>
        <v>-2.1616100553217277E-2</v>
      </c>
      <c r="Q969" s="5">
        <f t="shared" si="376"/>
        <v>96630.829785962909</v>
      </c>
      <c r="R969" s="6">
        <f t="shared" si="377"/>
        <v>97535.838246849235</v>
      </c>
      <c r="T969" s="11">
        <f t="shared" si="378"/>
        <v>0.99072127253783493</v>
      </c>
      <c r="V969" s="9">
        <v>45464</v>
      </c>
      <c r="W969">
        <v>2429000</v>
      </c>
      <c r="X969">
        <v>3950198.7231000001</v>
      </c>
      <c r="Y969">
        <v>1061677.5151</v>
      </c>
      <c r="AC969" s="24">
        <f t="shared" si="379"/>
        <v>-2.7714237128844275E-2</v>
      </c>
      <c r="AE969" s="5">
        <f t="shared" si="380"/>
        <v>69910.66864136314</v>
      </c>
      <c r="AF969" s="6">
        <f t="shared" si="381"/>
        <v>97535.838246849235</v>
      </c>
      <c r="AH969" s="1">
        <f t="shared" si="382"/>
        <v>45464</v>
      </c>
      <c r="AI969">
        <f t="shared" si="383"/>
        <v>0.71676903482829823</v>
      </c>
      <c r="AJ969">
        <f t="shared" ca="1" si="384"/>
        <v>0.82025363652138061</v>
      </c>
      <c r="AK969">
        <f t="shared" ca="1" si="385"/>
        <v>0.92278114836492864</v>
      </c>
      <c r="AL969">
        <f t="shared" ca="1" si="386"/>
        <v>1.1566404948081899</v>
      </c>
      <c r="AM969">
        <f t="shared" ca="1" si="387"/>
        <v>1.2643971559475375</v>
      </c>
      <c r="AN969">
        <f t="shared" ca="1" si="388"/>
        <v>1.5882878061329611</v>
      </c>
    </row>
    <row r="970" spans="2:40" x14ac:dyDescent="0.25">
      <c r="B970" s="1">
        <v>45471</v>
      </c>
      <c r="C970">
        <v>981.69299999999998</v>
      </c>
      <c r="D970">
        <v>936.59299999999996</v>
      </c>
      <c r="E970">
        <v>1853</v>
      </c>
      <c r="G970">
        <v>1611295</v>
      </c>
      <c r="I970" s="14">
        <f t="shared" si="371"/>
        <v>0.13775155417715523</v>
      </c>
      <c r="J970" s="15">
        <f t="shared" si="372"/>
        <v>0.11377976820459645</v>
      </c>
      <c r="K970" s="15">
        <f t="shared" si="373"/>
        <v>1.799203406125538E-2</v>
      </c>
      <c r="L970" s="15"/>
      <c r="M970" s="16">
        <f t="shared" si="374"/>
        <v>2.2095680073481061E-2</v>
      </c>
      <c r="O970" s="13">
        <f t="shared" si="375"/>
        <v>8.9841118814335694E-2</v>
      </c>
      <c r="Q970" s="5">
        <f t="shared" si="376"/>
        <v>105312.25164589146</v>
      </c>
      <c r="R970" s="6">
        <f t="shared" si="377"/>
        <v>99690.958924450417</v>
      </c>
      <c r="T970" s="11">
        <f t="shared" si="378"/>
        <v>1.0563871867829164</v>
      </c>
      <c r="V970" s="9">
        <v>45471</v>
      </c>
      <c r="W970">
        <v>2763600</v>
      </c>
      <c r="X970">
        <v>4399649.5784</v>
      </c>
      <c r="Y970">
        <v>1080779.2531000001</v>
      </c>
      <c r="AC970" s="24">
        <f t="shared" si="379"/>
        <v>0.10793795414352403</v>
      </c>
      <c r="AE970" s="5">
        <f t="shared" si="380"/>
        <v>77456.683187317685</v>
      </c>
      <c r="AF970" s="6">
        <f t="shared" si="381"/>
        <v>99690.958924450417</v>
      </c>
      <c r="AH970" s="1">
        <f t="shared" si="382"/>
        <v>45471</v>
      </c>
      <c r="AI970">
        <f t="shared" si="383"/>
        <v>0.77696798208167794</v>
      </c>
      <c r="AJ970">
        <f t="shared" ca="1" si="384"/>
        <v>0.81450853175795868</v>
      </c>
      <c r="AK970">
        <f t="shared" ca="1" si="385"/>
        <v>0.91364693524636265</v>
      </c>
      <c r="AL970">
        <f t="shared" ca="1" si="386"/>
        <v>1.153402168884772</v>
      </c>
      <c r="AM970">
        <f t="shared" ca="1" si="387"/>
        <v>1.2643971559475375</v>
      </c>
      <c r="AN970">
        <f t="shared" ca="1" si="388"/>
        <v>1.5882878061329611</v>
      </c>
    </row>
    <row r="971" spans="2:40" x14ac:dyDescent="0.25">
      <c r="B971" s="1">
        <v>45478</v>
      </c>
      <c r="C971">
        <v>1037.8889999999999</v>
      </c>
      <c r="D971">
        <v>1014.001</v>
      </c>
      <c r="E971">
        <v>1900.15</v>
      </c>
      <c r="G971">
        <v>1629030</v>
      </c>
      <c r="I971" s="14">
        <f t="shared" si="371"/>
        <v>5.7243965272238739E-2</v>
      </c>
      <c r="J971" s="15">
        <f t="shared" si="372"/>
        <v>8.2648492995356593E-2</v>
      </c>
      <c r="K971" s="15">
        <f t="shared" si="373"/>
        <v>2.5445223961144237E-2</v>
      </c>
      <c r="L971" s="15"/>
      <c r="M971" s="16">
        <f t="shared" si="374"/>
        <v>1.1006674755398516E-2</v>
      </c>
      <c r="O971" s="13">
        <f t="shared" si="375"/>
        <v>5.5112560742913187E-2</v>
      </c>
      <c r="Q971" s="5">
        <f t="shared" si="376"/>
        <v>111116.27951169862</v>
      </c>
      <c r="R971" s="6">
        <f t="shared" si="377"/>
        <v>100788.22488538563</v>
      </c>
      <c r="T971" s="11">
        <f t="shared" si="378"/>
        <v>1.1024728299169655</v>
      </c>
      <c r="V971" s="9">
        <v>45478</v>
      </c>
      <c r="W971">
        <v>2921800</v>
      </c>
      <c r="X971">
        <v>4763275.6473000003</v>
      </c>
      <c r="Y971">
        <v>1108279.9232999999</v>
      </c>
      <c r="AC971" s="24">
        <f t="shared" si="379"/>
        <v>6.6633015381693306E-2</v>
      </c>
      <c r="AE971" s="5">
        <f t="shared" si="380"/>
        <v>82617.855549553162</v>
      </c>
      <c r="AF971" s="6">
        <f t="shared" si="381"/>
        <v>100788.22488538563</v>
      </c>
      <c r="AH971" s="1">
        <f t="shared" si="382"/>
        <v>45478</v>
      </c>
      <c r="AI971">
        <f t="shared" si="383"/>
        <v>0.81971733943627401</v>
      </c>
      <c r="AJ971">
        <f t="shared" ca="1" si="384"/>
        <v>0.80362007886050457</v>
      </c>
      <c r="AK971">
        <f t="shared" ca="1" si="385"/>
        <v>0.90299714703879463</v>
      </c>
      <c r="AL971">
        <f t="shared" ca="1" si="386"/>
        <v>1.153402168884772</v>
      </c>
      <c r="AM971">
        <f t="shared" ca="1" si="387"/>
        <v>1.2643971559475375</v>
      </c>
      <c r="AN971">
        <f t="shared" ca="1" si="388"/>
        <v>1.5882878061329611</v>
      </c>
    </row>
    <row r="972" spans="2:40" x14ac:dyDescent="0.25">
      <c r="B972" s="1">
        <v>45485</v>
      </c>
      <c r="C972">
        <v>1059.2739999999999</v>
      </c>
      <c r="D972">
        <v>1043.329</v>
      </c>
      <c r="E972">
        <v>1975</v>
      </c>
      <c r="G972">
        <v>1715610</v>
      </c>
      <c r="I972" s="14">
        <f t="shared" si="371"/>
        <v>2.0604322812940445E-2</v>
      </c>
      <c r="J972" s="15">
        <f t="shared" si="372"/>
        <v>2.8923048399360551E-2</v>
      </c>
      <c r="K972" s="15">
        <f t="shared" si="373"/>
        <v>3.9391626976817529E-2</v>
      </c>
      <c r="L972" s="15"/>
      <c r="M972" s="16">
        <f t="shared" si="374"/>
        <v>5.3148192482643131E-2</v>
      </c>
      <c r="O972" s="13">
        <f t="shared" si="375"/>
        <v>2.963966606303951E-2</v>
      </c>
      <c r="Q972" s="5">
        <f t="shared" si="376"/>
        <v>114409.72893059274</v>
      </c>
      <c r="R972" s="6">
        <f t="shared" si="377"/>
        <v>106144.93686157803</v>
      </c>
      <c r="T972" s="11">
        <f t="shared" si="378"/>
        <v>1.077863271799697</v>
      </c>
      <c r="V972" s="9">
        <v>45485</v>
      </c>
      <c r="W972">
        <v>2982000</v>
      </c>
      <c r="X972">
        <v>4901047.0149999997</v>
      </c>
      <c r="Y972">
        <v>1151936.8725999999</v>
      </c>
      <c r="AC972" s="24">
        <f t="shared" si="379"/>
        <v>2.7478373854640484E-2</v>
      </c>
      <c r="AE972" s="5">
        <f t="shared" si="380"/>
        <v>84888.059871412464</v>
      </c>
      <c r="AF972" s="6">
        <f t="shared" si="381"/>
        <v>106144.93686157803</v>
      </c>
      <c r="AH972" s="1">
        <f t="shared" si="382"/>
        <v>45485</v>
      </c>
      <c r="AI972">
        <f t="shared" si="383"/>
        <v>0.79973724966376558</v>
      </c>
      <c r="AJ972">
        <f t="shared" ca="1" si="384"/>
        <v>0.80362007886050457</v>
      </c>
      <c r="AK972">
        <f t="shared" ca="1" si="385"/>
        <v>0.88108295194797481</v>
      </c>
      <c r="AL972">
        <f t="shared" ca="1" si="386"/>
        <v>1.1315842448980129</v>
      </c>
      <c r="AM972">
        <f t="shared" ca="1" si="387"/>
        <v>1.2643971559475375</v>
      </c>
      <c r="AN972">
        <f t="shared" ca="1" si="388"/>
        <v>1.5882878061329611</v>
      </c>
    </row>
    <row r="973" spans="2:40" x14ac:dyDescent="0.25">
      <c r="B973" s="1">
        <v>45492</v>
      </c>
      <c r="C973">
        <v>1044.354</v>
      </c>
      <c r="D973">
        <v>990.44200000000001</v>
      </c>
      <c r="E973">
        <v>1820</v>
      </c>
      <c r="G973">
        <v>1569019</v>
      </c>
      <c r="I973" s="14">
        <f t="shared" si="371"/>
        <v>-1.4085118675621122E-2</v>
      </c>
      <c r="J973" s="15">
        <f t="shared" si="372"/>
        <v>-5.0690625871608996E-2</v>
      </c>
      <c r="K973" s="15">
        <f t="shared" si="373"/>
        <v>-7.8481012658227822E-2</v>
      </c>
      <c r="L973" s="15"/>
      <c r="M973" s="16">
        <f t="shared" si="374"/>
        <v>-8.5445410087374163E-2</v>
      </c>
      <c r="O973" s="13">
        <f t="shared" si="375"/>
        <v>-4.7752252401819316E-2</v>
      </c>
      <c r="Q973" s="5">
        <f t="shared" si="376"/>
        <v>108946.40667747534</v>
      </c>
      <c r="R973" s="6">
        <f t="shared" si="377"/>
        <v>97075.339202742049</v>
      </c>
      <c r="T973" s="11">
        <f t="shared" si="378"/>
        <v>1.1222871593571313</v>
      </c>
      <c r="V973" s="9">
        <v>45492</v>
      </c>
      <c r="W973">
        <v>2940000</v>
      </c>
      <c r="X973">
        <v>4652606.8437000001</v>
      </c>
      <c r="Y973">
        <v>1061531.7002999999</v>
      </c>
      <c r="AC973" s="24">
        <f t="shared" si="379"/>
        <v>-4.2152165573855649E-2</v>
      </c>
      <c r="AE973" s="5">
        <f t="shared" si="380"/>
        <v>81309.844316469316</v>
      </c>
      <c r="AF973" s="6">
        <f t="shared" si="381"/>
        <v>97075.339202742049</v>
      </c>
      <c r="AH973" s="1">
        <f t="shared" si="382"/>
        <v>45492</v>
      </c>
      <c r="AI973">
        <f t="shared" si="383"/>
        <v>0.83759526347524316</v>
      </c>
      <c r="AJ973">
        <f t="shared" ca="1" si="384"/>
        <v>0.80055640347433887</v>
      </c>
      <c r="AK973">
        <f t="shared" ca="1" si="385"/>
        <v>0.8748410049069828</v>
      </c>
      <c r="AL973">
        <f t="shared" ca="1" si="386"/>
        <v>1.0851584320239931</v>
      </c>
      <c r="AM973">
        <f t="shared" ca="1" si="387"/>
        <v>1.2643971559475375</v>
      </c>
      <c r="AN973">
        <f t="shared" ca="1" si="388"/>
        <v>1.5882878061329611</v>
      </c>
    </row>
    <row r="974" spans="2:40" x14ac:dyDescent="0.25">
      <c r="B974" s="1">
        <v>45499</v>
      </c>
      <c r="C974">
        <v>974.73099999999999</v>
      </c>
      <c r="D974">
        <v>961.59400000000005</v>
      </c>
      <c r="E974">
        <v>1730</v>
      </c>
      <c r="G974">
        <v>1542022</v>
      </c>
      <c r="I974" s="14">
        <f t="shared" si="371"/>
        <v>-6.6666092148830791E-2</v>
      </c>
      <c r="J974" s="15">
        <f t="shared" si="372"/>
        <v>-2.9126390035963734E-2</v>
      </c>
      <c r="K974" s="15">
        <f t="shared" si="373"/>
        <v>-4.9450549450549497E-2</v>
      </c>
      <c r="L974" s="15"/>
      <c r="M974" s="16">
        <f t="shared" si="374"/>
        <v>-1.7206292594289851E-2</v>
      </c>
      <c r="O974" s="13">
        <f t="shared" si="375"/>
        <v>-4.8414343878448007E-2</v>
      </c>
      <c r="Q974" s="5">
        <f t="shared" si="376"/>
        <v>103671.8378802708</v>
      </c>
      <c r="R974" s="6">
        <f t="shared" si="377"/>
        <v>95405.03251272974</v>
      </c>
      <c r="T974" s="11">
        <f t="shared" si="378"/>
        <v>1.0866495734010471</v>
      </c>
      <c r="V974" s="9">
        <v>45499</v>
      </c>
      <c r="W974">
        <v>2744000</v>
      </c>
      <c r="X974">
        <v>4517094.023</v>
      </c>
      <c r="Y974">
        <v>1009038.3745</v>
      </c>
      <c r="AC974" s="24">
        <f t="shared" si="379"/>
        <v>-4.4372444052956442E-2</v>
      </c>
      <c r="AE974" s="5">
        <f t="shared" si="380"/>
        <v>77701.927798582183</v>
      </c>
      <c r="AF974" s="6">
        <f t="shared" si="381"/>
        <v>95405.03251272974</v>
      </c>
      <c r="AH974" s="1">
        <f t="shared" si="382"/>
        <v>45499</v>
      </c>
      <c r="AI974">
        <f t="shared" si="383"/>
        <v>0.8144426530981429</v>
      </c>
      <c r="AJ974">
        <f t="shared" ca="1" si="384"/>
        <v>0.80055640347433887</v>
      </c>
      <c r="AK974">
        <f t="shared" ca="1" si="385"/>
        <v>0.85568065176144992</v>
      </c>
      <c r="AL974">
        <f t="shared" ca="1" si="386"/>
        <v>1.0559198877973444</v>
      </c>
      <c r="AM974">
        <f t="shared" ca="1" si="387"/>
        <v>1.2634015494323063</v>
      </c>
      <c r="AN974">
        <f t="shared" ca="1" si="388"/>
        <v>1.5882878061329611</v>
      </c>
    </row>
    <row r="975" spans="2:40" x14ac:dyDescent="0.25">
      <c r="B975" s="1">
        <v>45506</v>
      </c>
      <c r="C975">
        <v>949.86500000000001</v>
      </c>
      <c r="D975">
        <v>851.97199999999998</v>
      </c>
      <c r="E975">
        <v>1640</v>
      </c>
      <c r="G975">
        <v>1433350</v>
      </c>
      <c r="I975" s="14">
        <f t="shared" si="371"/>
        <v>-2.5510628060459783E-2</v>
      </c>
      <c r="J975" s="15">
        <f t="shared" si="372"/>
        <v>-0.11400029534294109</v>
      </c>
      <c r="K975" s="15">
        <f t="shared" si="373"/>
        <v>-5.2023121387283267E-2</v>
      </c>
      <c r="L975" s="15"/>
      <c r="M975" s="16">
        <f t="shared" si="374"/>
        <v>-7.0473702709818675E-2</v>
      </c>
      <c r="O975" s="13">
        <f t="shared" si="375"/>
        <v>-6.3844681596894715E-2</v>
      </c>
      <c r="Q975" s="5">
        <f t="shared" si="376"/>
        <v>97052.942400240019</v>
      </c>
      <c r="R975" s="6">
        <f t="shared" si="377"/>
        <v>88681.48661440704</v>
      </c>
      <c r="T975" s="11">
        <f t="shared" si="378"/>
        <v>1.0943991367920187</v>
      </c>
      <c r="V975" s="9">
        <v>45506</v>
      </c>
      <c r="W975">
        <v>2674000</v>
      </c>
      <c r="X975">
        <v>4002145.3043999998</v>
      </c>
      <c r="Y975">
        <v>956545.04859999998</v>
      </c>
      <c r="AC975" s="24">
        <f t="shared" si="379"/>
        <v>-7.7077912579183241E-2</v>
      </c>
      <c r="AE975" s="5">
        <f t="shared" si="380"/>
        <v>71712.825400489048</v>
      </c>
      <c r="AF975" s="6">
        <f t="shared" si="381"/>
        <v>88681.48661440704</v>
      </c>
      <c r="AH975" s="1">
        <f t="shared" si="382"/>
        <v>45506</v>
      </c>
      <c r="AI975">
        <f t="shared" si="383"/>
        <v>0.80865610330035564</v>
      </c>
      <c r="AJ975">
        <f t="shared" ca="1" si="384"/>
        <v>0.80055640347433887</v>
      </c>
      <c r="AK975">
        <f t="shared" ca="1" si="385"/>
        <v>0.84294227317265991</v>
      </c>
      <c r="AL975">
        <f t="shared" ca="1" si="386"/>
        <v>1.0489190740706482</v>
      </c>
      <c r="AM975">
        <f t="shared" ca="1" si="387"/>
        <v>1.2610453328809255</v>
      </c>
      <c r="AN975">
        <f t="shared" ca="1" si="388"/>
        <v>1.5882878061329611</v>
      </c>
    </row>
    <row r="976" spans="2:40" x14ac:dyDescent="0.25">
      <c r="B976" s="1">
        <v>45513</v>
      </c>
      <c r="C976">
        <v>946.88099999999997</v>
      </c>
      <c r="D976">
        <v>872.16600000000005</v>
      </c>
      <c r="E976">
        <v>1790</v>
      </c>
      <c r="G976">
        <v>1583895</v>
      </c>
      <c r="I976" s="14">
        <f t="shared" si="371"/>
        <v>-3.141499055128949E-3</v>
      </c>
      <c r="J976" s="15">
        <f t="shared" si="372"/>
        <v>2.3702656894827534E-2</v>
      </c>
      <c r="K976" s="15">
        <f t="shared" si="373"/>
        <v>9.1463414634146423E-2</v>
      </c>
      <c r="L976" s="15"/>
      <c r="M976" s="16">
        <f t="shared" si="374"/>
        <v>0.10503017406774351</v>
      </c>
      <c r="O976" s="13">
        <f t="shared" si="375"/>
        <v>3.7341524157948336E-2</v>
      </c>
      <c r="Q976" s="5">
        <f t="shared" si="376"/>
        <v>100677.04719347855</v>
      </c>
      <c r="R976" s="6">
        <f t="shared" si="377"/>
        <v>97995.718590104472</v>
      </c>
      <c r="T976" s="11">
        <f t="shared" si="378"/>
        <v>1.0273616913264294</v>
      </c>
      <c r="V976" s="9">
        <v>45513</v>
      </c>
      <c r="W976">
        <v>2665600</v>
      </c>
      <c r="X976">
        <v>4097004.2788999998</v>
      </c>
      <c r="Y976">
        <v>1044033.925</v>
      </c>
      <c r="AC976" s="24">
        <f t="shared" si="379"/>
        <v>2.2790127317033716E-2</v>
      </c>
      <c r="AE976" s="5">
        <f t="shared" si="380"/>
        <v>73347.169821630392</v>
      </c>
      <c r="AF976" s="6">
        <f t="shared" si="381"/>
        <v>97995.718590104472</v>
      </c>
      <c r="AH976" s="1">
        <f t="shared" si="382"/>
        <v>45513</v>
      </c>
      <c r="AI976">
        <f t="shared" si="383"/>
        <v>0.74847320757375346</v>
      </c>
      <c r="AJ976">
        <f t="shared" ca="1" si="384"/>
        <v>0.80055640347433887</v>
      </c>
      <c r="AK976">
        <f t="shared" ca="1" si="385"/>
        <v>0.83526239464852003</v>
      </c>
      <c r="AL976">
        <f t="shared" ca="1" si="386"/>
        <v>1.0428788670914917</v>
      </c>
      <c r="AM976">
        <f t="shared" ca="1" si="387"/>
        <v>1.2610453328809255</v>
      </c>
      <c r="AN976">
        <f t="shared" ca="1" si="388"/>
        <v>1.5882878061329611</v>
      </c>
    </row>
    <row r="977" spans="2:40" x14ac:dyDescent="0.25">
      <c r="B977" s="1">
        <v>45520</v>
      </c>
      <c r="C977">
        <v>927.98299999999995</v>
      </c>
      <c r="D977">
        <v>876.01199999999994</v>
      </c>
      <c r="E977">
        <v>1800</v>
      </c>
      <c r="G977">
        <v>1649329</v>
      </c>
      <c r="I977" s="14">
        <f t="shared" si="371"/>
        <v>-1.9958157360851048E-2</v>
      </c>
      <c r="J977" s="15">
        <f t="shared" si="372"/>
        <v>4.4097109953837865E-3</v>
      </c>
      <c r="K977" s="15">
        <f t="shared" si="373"/>
        <v>5.5865921787709993E-3</v>
      </c>
      <c r="L977" s="15"/>
      <c r="M977" s="16">
        <f t="shared" si="374"/>
        <v>4.1312081924622435E-2</v>
      </c>
      <c r="O977" s="13">
        <f t="shared" si="375"/>
        <v>-3.3206180622320871E-3</v>
      </c>
      <c r="Q977" s="5">
        <f t="shared" si="376"/>
        <v>100342.7371721157</v>
      </c>
      <c r="R977" s="6">
        <f t="shared" si="377"/>
        <v>102044.12574476111</v>
      </c>
      <c r="T977" s="11">
        <f t="shared" si="378"/>
        <v>0.98332693273397209</v>
      </c>
      <c r="V977" s="9">
        <v>45520</v>
      </c>
      <c r="W977">
        <v>2612400</v>
      </c>
      <c r="X977">
        <v>4115072.6549999998</v>
      </c>
      <c r="Y977">
        <v>1027288.5066</v>
      </c>
      <c r="AC977" s="24">
        <f t="shared" si="379"/>
        <v>-3.7533784606375181E-3</v>
      </c>
      <c r="AE977" s="5">
        <f t="shared" si="380"/>
        <v>73071.870134273166</v>
      </c>
      <c r="AF977" s="6">
        <f t="shared" si="381"/>
        <v>102044.12574476111</v>
      </c>
      <c r="AH977" s="1">
        <f t="shared" si="382"/>
        <v>45520</v>
      </c>
      <c r="AI977">
        <f t="shared" si="383"/>
        <v>0.71608110315967521</v>
      </c>
      <c r="AJ977">
        <f t="shared" ca="1" si="384"/>
        <v>0.7997979007487851</v>
      </c>
      <c r="AK977">
        <f t="shared" ca="1" si="385"/>
        <v>0.82612717598533159</v>
      </c>
      <c r="AL977">
        <f t="shared" ca="1" si="386"/>
        <v>1.0345947640840472</v>
      </c>
      <c r="AM977">
        <f t="shared" ca="1" si="387"/>
        <v>1.2610453328809255</v>
      </c>
      <c r="AN977">
        <f t="shared" ca="1" si="388"/>
        <v>1.5882878061329611</v>
      </c>
    </row>
    <row r="978" spans="2:40" x14ac:dyDescent="0.25">
      <c r="B978" s="1">
        <v>45527</v>
      </c>
      <c r="C978">
        <v>902.12300000000005</v>
      </c>
      <c r="D978">
        <v>836.58699999999999</v>
      </c>
      <c r="E978">
        <v>1810</v>
      </c>
      <c r="G978">
        <v>1606967</v>
      </c>
      <c r="I978" s="14">
        <f t="shared" si="371"/>
        <v>-2.7866889802938055E-2</v>
      </c>
      <c r="J978" s="15">
        <f t="shared" si="372"/>
        <v>-4.5005091254457619E-2</v>
      </c>
      <c r="K978" s="15">
        <f t="shared" si="373"/>
        <v>5.5555555555555358E-3</v>
      </c>
      <c r="L978" s="15"/>
      <c r="M978" s="16">
        <f t="shared" si="374"/>
        <v>-2.5684384376919334E-2</v>
      </c>
      <c r="O978" s="13">
        <f t="shared" si="375"/>
        <v>-2.2438808500613378E-2</v>
      </c>
      <c r="Q978" s="5">
        <f t="shared" si="376"/>
        <v>98091.16570828321</v>
      </c>
      <c r="R978" s="6">
        <f t="shared" si="377"/>
        <v>99423.185195725979</v>
      </c>
      <c r="T978" s="11">
        <f t="shared" si="378"/>
        <v>0.98660252651511282</v>
      </c>
      <c r="V978" s="9">
        <v>45527</v>
      </c>
      <c r="W978">
        <v>2539600</v>
      </c>
      <c r="X978">
        <v>3929871.8</v>
      </c>
      <c r="Y978">
        <v>1032995.665</v>
      </c>
      <c r="AC978" s="24">
        <f t="shared" si="379"/>
        <v>-3.2533758248737547E-2</v>
      </c>
      <c r="AE978" s="5">
        <f t="shared" si="380"/>
        <v>70694.56757654158</v>
      </c>
      <c r="AF978" s="6">
        <f t="shared" si="381"/>
        <v>99423.185195725979</v>
      </c>
      <c r="AH978" s="1">
        <f t="shared" si="382"/>
        <v>45527</v>
      </c>
      <c r="AI978">
        <f t="shared" si="383"/>
        <v>0.71104710070765875</v>
      </c>
      <c r="AJ978">
        <f t="shared" ca="1" si="384"/>
        <v>0.78595753866680462</v>
      </c>
      <c r="AK978">
        <f t="shared" ca="1" si="385"/>
        <v>0.81962890949513478</v>
      </c>
      <c r="AL978">
        <f t="shared" ca="1" si="386"/>
        <v>1.0135395614965717</v>
      </c>
      <c r="AM978">
        <f t="shared" ca="1" si="387"/>
        <v>1.2600718940150601</v>
      </c>
      <c r="AN978">
        <f t="shared" ca="1" si="388"/>
        <v>1.5882878061329611</v>
      </c>
    </row>
    <row r="979" spans="2:40" x14ac:dyDescent="0.25">
      <c r="B979" s="1">
        <v>45534</v>
      </c>
      <c r="C979">
        <v>903.11800000000005</v>
      </c>
      <c r="D979">
        <v>801.96900000000005</v>
      </c>
      <c r="E979">
        <v>1830</v>
      </c>
      <c r="G979">
        <v>1717565</v>
      </c>
      <c r="I979" s="14">
        <f t="shared" si="371"/>
        <v>1.1029538100679748E-3</v>
      </c>
      <c r="J979" s="15">
        <f t="shared" si="372"/>
        <v>-4.138003578826821E-2</v>
      </c>
      <c r="K979" s="15">
        <f t="shared" si="373"/>
        <v>1.1049723756906049E-2</v>
      </c>
      <c r="L979" s="15"/>
      <c r="M979" s="16">
        <f t="shared" si="374"/>
        <v>6.8824064215382119E-2</v>
      </c>
      <c r="O979" s="13">
        <f t="shared" si="375"/>
        <v>-9.7424527404313954E-3</v>
      </c>
      <c r="Q979" s="5">
        <f t="shared" si="376"/>
        <v>97135.517162116434</v>
      </c>
      <c r="R979" s="6">
        <f t="shared" si="377"/>
        <v>106265.89287813446</v>
      </c>
      <c r="T979" s="11">
        <f t="shared" si="378"/>
        <v>0.91407990401502837</v>
      </c>
      <c r="V979" s="9">
        <v>45534</v>
      </c>
      <c r="W979">
        <v>2542400</v>
      </c>
      <c r="X979">
        <v>3767256.4152000002</v>
      </c>
      <c r="Y979">
        <v>1044409.9817</v>
      </c>
      <c r="AC979" s="24">
        <f t="shared" si="379"/>
        <v>-1.9780539960119092E-2</v>
      </c>
      <c r="AE979" s="5">
        <f t="shared" si="380"/>
        <v>69296.190857630456</v>
      </c>
      <c r="AF979" s="6">
        <f t="shared" si="381"/>
        <v>106265.89287813446</v>
      </c>
      <c r="AH979" s="1">
        <f t="shared" si="382"/>
        <v>45534</v>
      </c>
      <c r="AI979">
        <f t="shared" si="383"/>
        <v>0.65210190194420337</v>
      </c>
      <c r="AJ979">
        <f t="shared" ca="1" si="384"/>
        <v>0.77771382984022441</v>
      </c>
      <c r="AK979">
        <f t="shared" ca="1" si="385"/>
        <v>0.81813337802832364</v>
      </c>
      <c r="AL979">
        <f t="shared" ca="1" si="386"/>
        <v>0.99701714714940004</v>
      </c>
      <c r="AM979">
        <f t="shared" ca="1" si="387"/>
        <v>1.2600718940150601</v>
      </c>
      <c r="AN979">
        <f t="shared" ca="1" si="388"/>
        <v>1.5882878061329611</v>
      </c>
    </row>
    <row r="980" spans="2:40" x14ac:dyDescent="0.25">
      <c r="B980" s="1">
        <v>45541</v>
      </c>
      <c r="C980">
        <v>854.38099999999997</v>
      </c>
      <c r="D980">
        <v>735.61900000000003</v>
      </c>
      <c r="E980">
        <v>1825</v>
      </c>
      <c r="G980">
        <v>1721668</v>
      </c>
      <c r="I980" s="14">
        <f t="shared" si="371"/>
        <v>-5.3965262568125172E-2</v>
      </c>
      <c r="J980" s="15">
        <f t="shared" si="372"/>
        <v>-8.2733871259362934E-2</v>
      </c>
      <c r="K980" s="15">
        <f t="shared" si="373"/>
        <v>-2.732240437158473E-3</v>
      </c>
      <c r="L980" s="15"/>
      <c r="M980" s="16">
        <f t="shared" si="374"/>
        <v>2.3888470014234997E-3</v>
      </c>
      <c r="O980" s="13">
        <f t="shared" si="375"/>
        <v>-4.6477124754882193E-2</v>
      </c>
      <c r="Q980" s="5">
        <f t="shared" si="376"/>
        <v>92620.937612842754</v>
      </c>
      <c r="R980" s="6">
        <f t="shared" si="377"/>
        <v>106519.74583768997</v>
      </c>
      <c r="T980" s="11">
        <f t="shared" si="378"/>
        <v>0.86951895054250694</v>
      </c>
      <c r="V980" s="9">
        <v>45541</v>
      </c>
      <c r="W980">
        <v>2405200</v>
      </c>
      <c r="X980">
        <v>3455576.9276000001</v>
      </c>
      <c r="Y980">
        <v>1041556.4025</v>
      </c>
      <c r="AC980" s="24">
        <f t="shared" si="379"/>
        <v>-6.1426501423044289E-2</v>
      </c>
      <c r="AE980" s="5">
        <f t="shared" si="380"/>
        <v>65039.568291302669</v>
      </c>
      <c r="AF980" s="6">
        <f t="shared" si="381"/>
        <v>106519.74583768997</v>
      </c>
      <c r="AH980" s="1">
        <f t="shared" si="382"/>
        <v>45541</v>
      </c>
      <c r="AI980">
        <f t="shared" si="383"/>
        <v>0.6105869646967339</v>
      </c>
      <c r="AJ980">
        <f t="shared" ca="1" si="384"/>
        <v>0.75132268502454591</v>
      </c>
      <c r="AK980">
        <f t="shared" ca="1" si="385"/>
        <v>0.8143242592099369</v>
      </c>
      <c r="AL980">
        <f t="shared" ca="1" si="386"/>
        <v>0.96872921455756611</v>
      </c>
      <c r="AM980">
        <f t="shared" ca="1" si="387"/>
        <v>1.2600718940150601</v>
      </c>
      <c r="AN980">
        <f t="shared" ca="1" si="388"/>
        <v>1.5882878061329611</v>
      </c>
    </row>
    <row r="981" spans="2:40" x14ac:dyDescent="0.25">
      <c r="B981" s="1">
        <v>45548</v>
      </c>
      <c r="C981">
        <v>914.05899999999997</v>
      </c>
      <c r="D981">
        <v>808.70100000000002</v>
      </c>
      <c r="E981">
        <v>2000</v>
      </c>
      <c r="G981">
        <v>1817734</v>
      </c>
      <c r="I981" s="14">
        <f t="shared" si="371"/>
        <v>6.9849399740865126E-2</v>
      </c>
      <c r="J981" s="15">
        <f t="shared" si="372"/>
        <v>9.9347624245703203E-2</v>
      </c>
      <c r="K981" s="15">
        <f t="shared" si="373"/>
        <v>9.5890410958904049E-2</v>
      </c>
      <c r="L981" s="15"/>
      <c r="M981" s="16">
        <f t="shared" si="374"/>
        <v>5.579821428986298E-2</v>
      </c>
      <c r="O981" s="13">
        <f t="shared" si="375"/>
        <v>8.8362478315157464E-2</v>
      </c>
      <c r="Q981" s="5">
        <f t="shared" si="376"/>
        <v>100805.15320418713</v>
      </c>
      <c r="R981" s="6">
        <f t="shared" si="377"/>
        <v>112463.35744204314</v>
      </c>
      <c r="T981" s="11">
        <f t="shared" si="378"/>
        <v>0.89633775388695869</v>
      </c>
      <c r="V981" s="9">
        <v>45548</v>
      </c>
      <c r="W981">
        <v>2573200</v>
      </c>
      <c r="X981">
        <v>3798876.0732999998</v>
      </c>
      <c r="Y981">
        <v>1141431.6740000001</v>
      </c>
      <c r="AC981" s="24">
        <f t="shared" si="379"/>
        <v>8.854692705427529E-2</v>
      </c>
      <c r="AE981" s="5">
        <f t="shared" si="380"/>
        <v>70798.622200434213</v>
      </c>
      <c r="AF981" s="6">
        <f t="shared" si="381"/>
        <v>112463.35744204314</v>
      </c>
      <c r="AH981" s="1">
        <f t="shared" si="382"/>
        <v>45548</v>
      </c>
      <c r="AI981">
        <f t="shared" si="383"/>
        <v>0.629526130205739</v>
      </c>
      <c r="AJ981">
        <f t="shared" ca="1" si="384"/>
        <v>0.73584926254089345</v>
      </c>
      <c r="AK981">
        <f t="shared" ca="1" si="385"/>
        <v>0.81264083398407805</v>
      </c>
      <c r="AL981">
        <f t="shared" ca="1" si="386"/>
        <v>0.93466633017144662</v>
      </c>
      <c r="AM981">
        <f t="shared" ca="1" si="387"/>
        <v>1.2452151212776972</v>
      </c>
      <c r="AN981">
        <f t="shared" ca="1" si="388"/>
        <v>1.5882878061329611</v>
      </c>
    </row>
    <row r="982" spans="2:40" x14ac:dyDescent="0.25">
      <c r="B982" s="1">
        <v>45555</v>
      </c>
      <c r="C982">
        <v>871.29</v>
      </c>
      <c r="D982">
        <v>817.35500000000002</v>
      </c>
      <c r="E982">
        <v>2180</v>
      </c>
      <c r="G982">
        <v>1822928</v>
      </c>
      <c r="I982" s="14">
        <f t="shared" si="371"/>
        <v>-4.6790196256477956E-2</v>
      </c>
      <c r="J982" s="15">
        <f t="shared" si="372"/>
        <v>1.0701112030280679E-2</v>
      </c>
      <c r="K982" s="15">
        <f t="shared" si="373"/>
        <v>9.000000000000008E-2</v>
      </c>
      <c r="L982" s="15"/>
      <c r="M982" s="16">
        <f t="shared" si="374"/>
        <v>2.8574037785507045E-3</v>
      </c>
      <c r="O982" s="13">
        <f t="shared" si="375"/>
        <v>1.7970305257934267E-2</v>
      </c>
      <c r="Q982" s="5">
        <f t="shared" si="376"/>
        <v>102616.6525788392</v>
      </c>
      <c r="R982" s="6">
        <f t="shared" si="377"/>
        <v>112784.71066454654</v>
      </c>
      <c r="T982" s="11">
        <f t="shared" si="378"/>
        <v>0.90984542119410139</v>
      </c>
      <c r="V982" s="9">
        <v>45555</v>
      </c>
      <c r="W982">
        <v>2452800</v>
      </c>
      <c r="X982">
        <v>3839529.9196000001</v>
      </c>
      <c r="Y982">
        <v>1244160.5247</v>
      </c>
      <c r="AC982" s="24">
        <f t="shared" si="379"/>
        <v>3.0585602457953416E-3</v>
      </c>
      <c r="AE982" s="5">
        <f t="shared" si="380"/>
        <v>71015.164051753542</v>
      </c>
      <c r="AF982" s="6">
        <f t="shared" si="381"/>
        <v>112784.71066454654</v>
      </c>
      <c r="AH982" s="1">
        <f t="shared" si="382"/>
        <v>45555</v>
      </c>
      <c r="AI982">
        <f t="shared" si="383"/>
        <v>0.62965240264677913</v>
      </c>
      <c r="AJ982">
        <f t="shared" ca="1" si="384"/>
        <v>0.71853679154363714</v>
      </c>
      <c r="AK982">
        <f t="shared" ca="1" si="385"/>
        <v>0.80710962500470362</v>
      </c>
      <c r="AL982">
        <f t="shared" ca="1" si="386"/>
        <v>0.92012132435327521</v>
      </c>
      <c r="AM982">
        <f t="shared" ca="1" si="387"/>
        <v>1.1908530392370074</v>
      </c>
      <c r="AN982">
        <f t="shared" ca="1" si="388"/>
        <v>1.5882878061329611</v>
      </c>
    </row>
    <row r="983" spans="2:40" x14ac:dyDescent="0.25">
      <c r="B983" s="1">
        <v>45562</v>
      </c>
      <c r="C983">
        <v>877.25800000000004</v>
      </c>
      <c r="D983">
        <v>819.27800000000002</v>
      </c>
      <c r="E983">
        <v>2045</v>
      </c>
      <c r="G983">
        <v>1727777</v>
      </c>
      <c r="I983" s="14">
        <f t="shared" si="371"/>
        <v>6.84961379104565E-3</v>
      </c>
      <c r="J983" s="15">
        <f t="shared" si="372"/>
        <v>2.3527108783820694E-3</v>
      </c>
      <c r="K983" s="15">
        <f t="shared" si="373"/>
        <v>-6.1926605504587173E-2</v>
      </c>
      <c r="L983" s="15"/>
      <c r="M983" s="16">
        <f t="shared" si="374"/>
        <v>-5.2196795485065839E-2</v>
      </c>
      <c r="O983" s="13">
        <f t="shared" si="375"/>
        <v>-1.7574760278386486E-2</v>
      </c>
      <c r="Q983" s="5">
        <f t="shared" si="376"/>
        <v>100813.18950919564</v>
      </c>
      <c r="R983" s="6">
        <f t="shared" si="377"/>
        <v>106897.71018814688</v>
      </c>
      <c r="T983" s="11">
        <f t="shared" si="378"/>
        <v>0.94308090726880778</v>
      </c>
      <c r="V983" s="9">
        <v>45562</v>
      </c>
      <c r="W983">
        <v>2469600</v>
      </c>
      <c r="X983">
        <v>3848564.1076000002</v>
      </c>
      <c r="Y983">
        <v>1167113.8866999999</v>
      </c>
      <c r="AC983" s="24">
        <f t="shared" si="379"/>
        <v>-6.7952851343183324E-3</v>
      </c>
      <c r="AE983" s="5">
        <f t="shared" si="380"/>
        <v>70532.595763161487</v>
      </c>
      <c r="AF983" s="6">
        <f t="shared" si="381"/>
        <v>106897.71018814688</v>
      </c>
      <c r="AH983" s="1">
        <f t="shared" si="382"/>
        <v>45562</v>
      </c>
      <c r="AI983">
        <f t="shared" si="383"/>
        <v>0.6598139065749824</v>
      </c>
      <c r="AJ983">
        <f t="shared" ca="1" si="384"/>
        <v>0.71614989632653747</v>
      </c>
      <c r="AK983">
        <f t="shared" ca="1" si="385"/>
        <v>0.80193858271680063</v>
      </c>
      <c r="AL983">
        <f t="shared" ca="1" si="386"/>
        <v>0.91249219416275695</v>
      </c>
      <c r="AM983">
        <f t="shared" ca="1" si="387"/>
        <v>1.1626188709242944</v>
      </c>
      <c r="AN983">
        <f t="shared" ca="1" si="388"/>
        <v>1.5882878061329611</v>
      </c>
    </row>
    <row r="984" spans="2:40" x14ac:dyDescent="0.25">
      <c r="B984" s="1">
        <v>45569</v>
      </c>
      <c r="C984">
        <v>873.279</v>
      </c>
      <c r="D984">
        <v>813.50900000000001</v>
      </c>
      <c r="E984">
        <v>2020</v>
      </c>
      <c r="G984">
        <v>1756515</v>
      </c>
      <c r="I984" s="14">
        <f t="shared" si="371"/>
        <v>-4.5357238121510601E-3</v>
      </c>
      <c r="J984" s="15">
        <f t="shared" si="372"/>
        <v>-7.041565866531263E-3</v>
      </c>
      <c r="K984" s="15">
        <f t="shared" si="373"/>
        <v>-1.2224938875305624E-2</v>
      </c>
      <c r="L984" s="15"/>
      <c r="M984" s="16">
        <f t="shared" si="374"/>
        <v>1.6632933532510163E-2</v>
      </c>
      <c r="O984" s="13">
        <f t="shared" si="375"/>
        <v>-7.9340761846626497E-3</v>
      </c>
      <c r="Q984" s="5">
        <f t="shared" si="376"/>
        <v>100013.32998321085</v>
      </c>
      <c r="R984" s="6">
        <f t="shared" si="377"/>
        <v>108675.73269648387</v>
      </c>
      <c r="T984" s="11">
        <f t="shared" si="378"/>
        <v>0.92029128768364599</v>
      </c>
      <c r="V984" s="9">
        <v>45569</v>
      </c>
      <c r="W984">
        <v>2458400</v>
      </c>
      <c r="X984">
        <v>3821461.5435000001</v>
      </c>
      <c r="Y984">
        <v>1152845.9907</v>
      </c>
      <c r="AC984" s="24">
        <f t="shared" si="379"/>
        <v>-7.0230173344504841E-3</v>
      </c>
      <c r="AE984" s="5">
        <f t="shared" si="380"/>
        <v>70037.244120473013</v>
      </c>
      <c r="AF984" s="6">
        <f t="shared" si="381"/>
        <v>108675.73269648387</v>
      </c>
      <c r="AH984" s="1">
        <f t="shared" si="382"/>
        <v>45569</v>
      </c>
      <c r="AI984">
        <f t="shared" si="383"/>
        <v>0.64446074926476216</v>
      </c>
      <c r="AJ984">
        <f t="shared" ca="1" si="384"/>
        <v>0.71155050095286043</v>
      </c>
      <c r="AK984">
        <f t="shared" ca="1" si="385"/>
        <v>0.80019213280141155</v>
      </c>
      <c r="AL984">
        <f t="shared" ca="1" si="386"/>
        <v>0.89581158208204381</v>
      </c>
      <c r="AM984">
        <f t="shared" ca="1" si="387"/>
        <v>1.1517175989721287</v>
      </c>
      <c r="AN984">
        <f t="shared" ca="1" si="388"/>
        <v>1.5882878061329611</v>
      </c>
    </row>
    <row r="985" spans="2:40" x14ac:dyDescent="0.25">
      <c r="B985" s="1">
        <v>45576</v>
      </c>
      <c r="C985">
        <v>867.31100000000004</v>
      </c>
      <c r="D985">
        <v>786.58399999999995</v>
      </c>
      <c r="E985">
        <v>2055</v>
      </c>
      <c r="G985">
        <v>1782989</v>
      </c>
      <c r="I985" s="14">
        <f t="shared" si="371"/>
        <v>-6.8340129557677987E-3</v>
      </c>
      <c r="J985" s="15">
        <f t="shared" si="372"/>
        <v>-3.3097359709603813E-2</v>
      </c>
      <c r="K985" s="15">
        <f t="shared" si="373"/>
        <v>1.7326732673267342E-2</v>
      </c>
      <c r="L985" s="15"/>
      <c r="M985" s="16">
        <f t="shared" si="374"/>
        <v>1.5071889508486924E-2</v>
      </c>
      <c r="O985" s="13">
        <f t="shared" si="375"/>
        <v>-7.5348799973680896E-3</v>
      </c>
      <c r="Q985" s="5">
        <f t="shared" si="376"/>
        <v>99259.741543650176</v>
      </c>
      <c r="R985" s="6">
        <f t="shared" si="377"/>
        <v>110313.68133193914</v>
      </c>
      <c r="T985" s="11">
        <f t="shared" si="378"/>
        <v>0.89979538662092939</v>
      </c>
      <c r="V985" s="9">
        <v>45576</v>
      </c>
      <c r="W985">
        <v>2441600</v>
      </c>
      <c r="X985">
        <v>3694982.9108000002</v>
      </c>
      <c r="Y985">
        <v>1172821.0449999999</v>
      </c>
      <c r="AC985" s="24">
        <f t="shared" si="379"/>
        <v>-1.6589643802130526E-2</v>
      </c>
      <c r="AE985" s="5">
        <f t="shared" si="380"/>
        <v>68875.351187631502</v>
      </c>
      <c r="AF985" s="6">
        <f t="shared" si="381"/>
        <v>110313.68133193914</v>
      </c>
      <c r="AH985" s="1">
        <f t="shared" si="382"/>
        <v>45576</v>
      </c>
      <c r="AI985">
        <f t="shared" si="383"/>
        <v>0.62435910356741942</v>
      </c>
      <c r="AJ985">
        <f t="shared" ca="1" si="384"/>
        <v>0.66493722598825011</v>
      </c>
      <c r="AK985">
        <f t="shared" ca="1" si="385"/>
        <v>0.79590955216460979</v>
      </c>
      <c r="AL985">
        <f t="shared" ca="1" si="386"/>
        <v>0.88072545172740768</v>
      </c>
      <c r="AM985">
        <f t="shared" ca="1" si="387"/>
        <v>1.1223598528172767</v>
      </c>
      <c r="AN985">
        <f t="shared" ca="1" si="388"/>
        <v>1.5620395571603369</v>
      </c>
    </row>
    <row r="986" spans="2:40" x14ac:dyDescent="0.25">
      <c r="B986" s="1">
        <v>45583</v>
      </c>
      <c r="C986">
        <v>830.51</v>
      </c>
      <c r="D986">
        <v>766.39</v>
      </c>
      <c r="E986">
        <v>1940</v>
      </c>
      <c r="G986">
        <v>1823330</v>
      </c>
      <c r="I986" s="14">
        <f t="shared" si="371"/>
        <v>-4.2431146382324259E-2</v>
      </c>
      <c r="J986" s="15">
        <f t="shared" si="372"/>
        <v>-2.5673036827598805E-2</v>
      </c>
      <c r="K986" s="15">
        <f t="shared" si="373"/>
        <v>-5.5961070559610748E-2</v>
      </c>
      <c r="L986" s="15"/>
      <c r="M986" s="16">
        <f t="shared" si="374"/>
        <v>2.2625490117998526E-2</v>
      </c>
      <c r="O986" s="13">
        <f t="shared" si="375"/>
        <v>-4.1355084589844604E-2</v>
      </c>
      <c r="Q986" s="5">
        <f t="shared" si="376"/>
        <v>95154.846535746416</v>
      </c>
      <c r="R986" s="6">
        <f t="shared" si="377"/>
        <v>112809.58243879497</v>
      </c>
      <c r="T986" s="11">
        <f t="shared" si="378"/>
        <v>0.84349967864984199</v>
      </c>
      <c r="V986" s="9">
        <v>45583</v>
      </c>
      <c r="W986">
        <v>2338000</v>
      </c>
      <c r="X986">
        <v>3600123.9363000002</v>
      </c>
      <c r="Y986">
        <v>1107188.7238</v>
      </c>
      <c r="AC986" s="24">
        <f t="shared" si="379"/>
        <v>-3.6130667042540872E-2</v>
      </c>
      <c r="AE986" s="5">
        <f t="shared" si="380"/>
        <v>66386.838806433123</v>
      </c>
      <c r="AF986" s="6">
        <f t="shared" si="381"/>
        <v>112809.58243879497</v>
      </c>
      <c r="AH986" s="1">
        <f t="shared" si="382"/>
        <v>45583</v>
      </c>
      <c r="AI986">
        <f t="shared" si="383"/>
        <v>0.58848581274069889</v>
      </c>
      <c r="AJ986">
        <f t="shared" ca="1" si="384"/>
        <v>0.65287310240728125</v>
      </c>
      <c r="AK986">
        <f t="shared" ca="1" si="385"/>
        <v>0.78256184027077624</v>
      </c>
      <c r="AL986">
        <f t="shared" ca="1" si="386"/>
        <v>0.8696715585276924</v>
      </c>
      <c r="AM986">
        <f t="shared" ca="1" si="387"/>
        <v>1.0711699176677194</v>
      </c>
      <c r="AN986">
        <f t="shared" ca="1" si="388"/>
        <v>1.3640733899584478</v>
      </c>
    </row>
    <row r="987" spans="2:40" x14ac:dyDescent="0.25">
      <c r="B987" s="1">
        <v>45590</v>
      </c>
      <c r="C987">
        <v>812.60699999999997</v>
      </c>
      <c r="D987">
        <v>759.65899999999999</v>
      </c>
      <c r="E987">
        <v>2150</v>
      </c>
      <c r="G987">
        <v>1872785</v>
      </c>
      <c r="I987" s="14">
        <f t="shared" si="371"/>
        <v>-2.1556633875570497E-2</v>
      </c>
      <c r="J987" s="15">
        <f t="shared" si="372"/>
        <v>-8.7827346390219052E-3</v>
      </c>
      <c r="K987" s="15">
        <f t="shared" si="373"/>
        <v>0.10824742268041243</v>
      </c>
      <c r="L987" s="15"/>
      <c r="M987" s="16">
        <f t="shared" si="374"/>
        <v>2.7123449951462542E-2</v>
      </c>
      <c r="O987" s="13">
        <f t="shared" si="375"/>
        <v>2.5969351388606676E-2</v>
      </c>
      <c r="Q987" s="5">
        <f t="shared" si="376"/>
        <v>97625.956181762143</v>
      </c>
      <c r="R987" s="6">
        <f t="shared" si="377"/>
        <v>115869.36750211901</v>
      </c>
      <c r="T987" s="11">
        <f t="shared" si="378"/>
        <v>0.84255190380647205</v>
      </c>
      <c r="V987" s="9">
        <v>45590</v>
      </c>
      <c r="W987">
        <v>2287600</v>
      </c>
      <c r="X987">
        <v>3568504.2782000001</v>
      </c>
      <c r="Y987">
        <v>1227039.0495</v>
      </c>
      <c r="AC987" s="24">
        <f t="shared" si="379"/>
        <v>5.3698088922614698E-3</v>
      </c>
      <c r="AE987" s="5">
        <f t="shared" si="380"/>
        <v>66743.323443785048</v>
      </c>
      <c r="AF987" s="6">
        <f t="shared" si="381"/>
        <v>115869.36750211901</v>
      </c>
      <c r="AH987" s="1">
        <f t="shared" si="382"/>
        <v>45590</v>
      </c>
      <c r="AI987">
        <f t="shared" si="383"/>
        <v>0.57602216084043489</v>
      </c>
      <c r="AJ987">
        <f t="shared" ca="1" si="384"/>
        <v>0.64522486453270633</v>
      </c>
      <c r="AK987">
        <f t="shared" ca="1" si="385"/>
        <v>0.76984428845469677</v>
      </c>
      <c r="AL987">
        <f t="shared" ca="1" si="386"/>
        <v>0.85202863775378845</v>
      </c>
      <c r="AM987">
        <f t="shared" ca="1" si="387"/>
        <v>1.0552891300402938</v>
      </c>
      <c r="AN987">
        <f t="shared" ca="1" si="388"/>
        <v>1.3459053604617675</v>
      </c>
    </row>
    <row r="988" spans="2:40" x14ac:dyDescent="0.25">
      <c r="B988" s="1">
        <v>45597</v>
      </c>
      <c r="C988">
        <v>861.34400000000005</v>
      </c>
      <c r="D988">
        <v>785.62199999999996</v>
      </c>
      <c r="E988">
        <v>2150</v>
      </c>
      <c r="G988">
        <v>1879879</v>
      </c>
      <c r="I988" s="14">
        <f t="shared" si="371"/>
        <v>5.9976101608772758E-2</v>
      </c>
      <c r="J988" s="15">
        <f t="shared" si="372"/>
        <v>3.4177176864882641E-2</v>
      </c>
      <c r="K988" s="15">
        <f t="shared" si="373"/>
        <v>0</v>
      </c>
      <c r="L988" s="15"/>
      <c r="M988" s="16">
        <f t="shared" si="374"/>
        <v>3.7879414882113771E-3</v>
      </c>
      <c r="O988" s="13">
        <f t="shared" si="375"/>
        <v>3.1384426157885136E-2</v>
      </c>
      <c r="Q988" s="5">
        <f t="shared" si="376"/>
        <v>100689.89079464159</v>
      </c>
      <c r="R988" s="6">
        <f t="shared" si="377"/>
        <v>116308.2738864931</v>
      </c>
      <c r="T988" s="11">
        <f t="shared" si="378"/>
        <v>0.86571563165752319</v>
      </c>
      <c r="V988" s="9">
        <v>45597</v>
      </c>
      <c r="W988">
        <v>2424800</v>
      </c>
      <c r="X988">
        <v>3690465.8168000001</v>
      </c>
      <c r="Y988">
        <v>1227039.0495</v>
      </c>
      <c r="AC988" s="24">
        <f t="shared" si="379"/>
        <v>3.6588661263687039E-2</v>
      </c>
      <c r="AE988" s="5">
        <f t="shared" si="380"/>
        <v>69185.3722968824</v>
      </c>
      <c r="AF988" s="6">
        <f t="shared" si="381"/>
        <v>116308.2738864931</v>
      </c>
      <c r="AH988" s="1">
        <f t="shared" si="382"/>
        <v>45597</v>
      </c>
      <c r="AI988">
        <f t="shared" si="383"/>
        <v>0.59484480325450784</v>
      </c>
      <c r="AJ988">
        <f t="shared" ca="1" si="384"/>
        <v>0.6311332373085774</v>
      </c>
      <c r="AK988">
        <f t="shared" ca="1" si="385"/>
        <v>0.74496655617573682</v>
      </c>
      <c r="AL988">
        <f t="shared" ca="1" si="386"/>
        <v>0.84115993660685429</v>
      </c>
      <c r="AM988">
        <f t="shared" ca="1" si="387"/>
        <v>1.0460494249643508</v>
      </c>
      <c r="AN988">
        <f t="shared" ca="1" si="388"/>
        <v>1.3031629775574463</v>
      </c>
    </row>
    <row r="989" spans="2:40" x14ac:dyDescent="0.25">
      <c r="B989" s="1">
        <v>45604</v>
      </c>
      <c r="C989">
        <v>797.68799999999999</v>
      </c>
      <c r="D989">
        <v>734.65800000000002</v>
      </c>
      <c r="E989">
        <v>2405</v>
      </c>
      <c r="G989">
        <v>1964487</v>
      </c>
      <c r="I989" s="14">
        <f t="shared" si="371"/>
        <v>-7.3903109559014801E-2</v>
      </c>
      <c r="J989" s="15">
        <f t="shared" si="372"/>
        <v>-6.4870892108418454E-2</v>
      </c>
      <c r="K989" s="15">
        <f t="shared" si="373"/>
        <v>0.11860465116279073</v>
      </c>
      <c r="L989" s="15"/>
      <c r="M989" s="16">
        <f t="shared" si="374"/>
        <v>4.5007152056063093E-2</v>
      </c>
      <c r="O989" s="13">
        <f t="shared" si="375"/>
        <v>-6.7231168348808419E-3</v>
      </c>
      <c r="Q989" s="5">
        <f t="shared" si="376"/>
        <v>100012.94089473783</v>
      </c>
      <c r="R989" s="6">
        <f t="shared" si="377"/>
        <v>121542.97805468073</v>
      </c>
      <c r="T989" s="11">
        <f t="shared" si="378"/>
        <v>0.82286070734372829</v>
      </c>
      <c r="V989" s="9">
        <v>45604</v>
      </c>
      <c r="W989">
        <v>2245600</v>
      </c>
      <c r="X989">
        <v>3451059.8336</v>
      </c>
      <c r="Y989">
        <v>1372571.588</v>
      </c>
      <c r="AC989" s="24">
        <f t="shared" si="379"/>
        <v>-3.719152724295377E-2</v>
      </c>
      <c r="AE989" s="5">
        <f t="shared" si="380"/>
        <v>66612.262638289001</v>
      </c>
      <c r="AF989" s="6">
        <f t="shared" si="381"/>
        <v>121542.97805468073</v>
      </c>
      <c r="AH989" s="1">
        <f t="shared" si="382"/>
        <v>45604</v>
      </c>
      <c r="AI989">
        <f t="shared" si="383"/>
        <v>0.54805521227496123</v>
      </c>
      <c r="AJ989">
        <f t="shared" ca="1" si="384"/>
        <v>0.629538757449843</v>
      </c>
      <c r="AK989">
        <f t="shared" ca="1" si="385"/>
        <v>0.7300272101933396</v>
      </c>
      <c r="AL989">
        <f t="shared" ca="1" si="386"/>
        <v>0.83292952582179702</v>
      </c>
      <c r="AM989">
        <f t="shared" ca="1" si="387"/>
        <v>1.0427284127082108</v>
      </c>
      <c r="AN989">
        <f t="shared" ca="1" si="388"/>
        <v>1.218650891579022</v>
      </c>
    </row>
    <row r="990" spans="2:40" x14ac:dyDescent="0.25">
      <c r="B990" s="1">
        <v>45611</v>
      </c>
      <c r="C990">
        <v>859.35400000000004</v>
      </c>
      <c r="D990">
        <v>807.73900000000003</v>
      </c>
      <c r="E990">
        <v>2375</v>
      </c>
      <c r="G990">
        <v>2066915</v>
      </c>
      <c r="I990" s="14">
        <f t="shared" si="371"/>
        <v>7.7305914091725159E-2</v>
      </c>
      <c r="J990" s="15">
        <f t="shared" si="372"/>
        <v>9.9476218866465738E-2</v>
      </c>
      <c r="K990" s="15">
        <f t="shared" si="373"/>
        <v>-1.2474012474012475E-2</v>
      </c>
      <c r="L990" s="15"/>
      <c r="M990" s="16">
        <f t="shared" si="374"/>
        <v>5.2139820726734287E-2</v>
      </c>
      <c r="O990" s="13">
        <f t="shared" si="375"/>
        <v>5.4769373494726138E-2</v>
      </c>
      <c r="Q990" s="5">
        <f t="shared" si="376"/>
        <v>105490.58700890769</v>
      </c>
      <c r="R990" s="6">
        <f t="shared" si="377"/>
        <v>127880.20714104519</v>
      </c>
      <c r="T990" s="11">
        <f t="shared" si="378"/>
        <v>0.82491723596097311</v>
      </c>
      <c r="V990" s="9">
        <v>45611</v>
      </c>
      <c r="W990">
        <v>2419200</v>
      </c>
      <c r="X990">
        <v>3794358.9792999998</v>
      </c>
      <c r="Y990">
        <v>1355450.1129000001</v>
      </c>
      <c r="AC990" s="24">
        <f t="shared" si="379"/>
        <v>7.0697228467523812E-2</v>
      </c>
      <c r="AE990" s="5">
        <f t="shared" si="380"/>
        <v>71321.564988766811</v>
      </c>
      <c r="AF990" s="6">
        <f t="shared" si="381"/>
        <v>127880.20714104519</v>
      </c>
      <c r="AH990" s="1">
        <f t="shared" si="382"/>
        <v>45611</v>
      </c>
      <c r="AI990">
        <f t="shared" si="383"/>
        <v>0.55772168800213817</v>
      </c>
      <c r="AJ990">
        <f t="shared" ca="1" si="384"/>
        <v>0.62487580623125139</v>
      </c>
      <c r="AK990">
        <f t="shared" ca="1" si="385"/>
        <v>0.71659705191114242</v>
      </c>
      <c r="AL990">
        <f t="shared" ca="1" si="386"/>
        <v>0.82399056380231239</v>
      </c>
      <c r="AM990">
        <f t="shared" ca="1" si="387"/>
        <v>1.0306031669636058</v>
      </c>
      <c r="AN990">
        <f t="shared" ca="1" si="388"/>
        <v>1.1778225326813074</v>
      </c>
    </row>
    <row r="991" spans="2:40" x14ac:dyDescent="0.25">
      <c r="B991" s="1">
        <v>45618</v>
      </c>
      <c r="C991">
        <v>915.053</v>
      </c>
      <c r="D991">
        <v>903.89800000000002</v>
      </c>
      <c r="E991">
        <v>2365</v>
      </c>
      <c r="G991">
        <v>2211988</v>
      </c>
      <c r="I991" s="14">
        <f t="shared" si="371"/>
        <v>6.4814965660251689E-2</v>
      </c>
      <c r="J991" s="15">
        <f t="shared" si="372"/>
        <v>0.11904711794280076</v>
      </c>
      <c r="K991" s="15">
        <f t="shared" si="373"/>
        <v>-4.2105263157894424E-3</v>
      </c>
      <c r="L991" s="15"/>
      <c r="M991" s="16">
        <f t="shared" si="374"/>
        <v>7.018817900107166E-2</v>
      </c>
      <c r="O991" s="13">
        <f t="shared" si="375"/>
        <v>5.9883852429087669E-2</v>
      </c>
      <c r="Q991" s="5">
        <f t="shared" si="376"/>
        <v>111807.76975400695</v>
      </c>
      <c r="R991" s="6">
        <f t="shared" si="377"/>
        <v>136855.886010555</v>
      </c>
      <c r="T991" s="11">
        <f t="shared" si="378"/>
        <v>0.81697450517680903</v>
      </c>
      <c r="V991" s="9">
        <v>45618</v>
      </c>
      <c r="W991">
        <v>2576000</v>
      </c>
      <c r="X991">
        <v>4246068.3816</v>
      </c>
      <c r="Y991">
        <v>1379937.6521000001</v>
      </c>
      <c r="AC991" s="24">
        <f t="shared" si="379"/>
        <v>7.9640637253616836E-2</v>
      </c>
      <c r="AE991" s="5">
        <f t="shared" si="380"/>
        <v>77001.659874397461</v>
      </c>
      <c r="AF991" s="6">
        <f t="shared" si="381"/>
        <v>136855.886010555</v>
      </c>
      <c r="AH991" s="1">
        <f t="shared" si="382"/>
        <v>45618</v>
      </c>
      <c r="AI991">
        <f t="shared" si="383"/>
        <v>0.56264777583960635</v>
      </c>
      <c r="AJ991">
        <f t="shared" ca="1" si="384"/>
        <v>0.61196417858380248</v>
      </c>
      <c r="AK991">
        <f t="shared" ca="1" si="385"/>
        <v>0.71482260254667107</v>
      </c>
      <c r="AL991">
        <f t="shared" ca="1" si="386"/>
        <v>0.81954047955399556</v>
      </c>
      <c r="AM991">
        <f t="shared" ca="1" si="387"/>
        <v>1.0070035573232752</v>
      </c>
      <c r="AN991">
        <f t="shared" ca="1" si="388"/>
        <v>1.1560974807450013</v>
      </c>
    </row>
    <row r="992" spans="2:40" x14ac:dyDescent="0.25">
      <c r="B992" s="1">
        <v>45625</v>
      </c>
      <c r="C992">
        <v>944.89200000000005</v>
      </c>
      <c r="D992">
        <v>925.053</v>
      </c>
      <c r="E992">
        <v>2665</v>
      </c>
      <c r="G992">
        <v>2258295</v>
      </c>
      <c r="I992" s="14">
        <f t="shared" si="371"/>
        <v>3.2609040132101752E-2</v>
      </c>
      <c r="J992" s="15">
        <f t="shared" si="372"/>
        <v>2.3404189410752174E-2</v>
      </c>
      <c r="K992" s="15">
        <f t="shared" si="373"/>
        <v>0.12684989429175486</v>
      </c>
      <c r="L992" s="15"/>
      <c r="M992" s="16">
        <f t="shared" si="374"/>
        <v>2.0934562031982074E-2</v>
      </c>
      <c r="O992" s="13">
        <f t="shared" si="375"/>
        <v>6.0954374611536265E-2</v>
      </c>
      <c r="Q992" s="5">
        <f t="shared" si="376"/>
        <v>118622.94243607308</v>
      </c>
      <c r="R992" s="6">
        <f t="shared" si="377"/>
        <v>139720.90404568482</v>
      </c>
      <c r="T992" s="11">
        <f t="shared" si="378"/>
        <v>0.84899924779535285</v>
      </c>
      <c r="V992" s="9">
        <v>45625</v>
      </c>
      <c r="W992">
        <v>2660000</v>
      </c>
      <c r="X992">
        <v>4345444.4501</v>
      </c>
      <c r="Y992">
        <v>1554982.5974000001</v>
      </c>
      <c r="AC992" s="24">
        <f t="shared" si="379"/>
        <v>4.369926330945121E-2</v>
      </c>
      <c r="AE992" s="5">
        <f t="shared" si="380"/>
        <v>80366.575684513562</v>
      </c>
      <c r="AF992" s="6">
        <f t="shared" si="381"/>
        <v>139720.90404568482</v>
      </c>
      <c r="AH992" s="1">
        <f t="shared" si="382"/>
        <v>45625</v>
      </c>
      <c r="AI992">
        <f t="shared" si="383"/>
        <v>0.57519364216421009</v>
      </c>
      <c r="AJ992">
        <f t="shared" ca="1" si="384"/>
        <v>0.59641901939873043</v>
      </c>
      <c r="AK992">
        <f t="shared" ca="1" si="385"/>
        <v>0.69823880217448964</v>
      </c>
      <c r="AL992">
        <f t="shared" ca="1" si="386"/>
        <v>0.81690313638493006</v>
      </c>
      <c r="AM992">
        <f t="shared" ca="1" si="387"/>
        <v>0.99529194414911049</v>
      </c>
      <c r="AN992">
        <f t="shared" ca="1" si="388"/>
        <v>1.1463432722271909</v>
      </c>
    </row>
    <row r="993" spans="2:40" x14ac:dyDescent="0.25">
      <c r="B993" s="1">
        <v>45632</v>
      </c>
      <c r="C993">
        <v>900.13400000000001</v>
      </c>
      <c r="D993">
        <v>889.47400000000005</v>
      </c>
      <c r="E993">
        <v>2595</v>
      </c>
      <c r="G993">
        <v>2202444</v>
      </c>
      <c r="I993" s="14">
        <f t="shared" si="371"/>
        <v>-4.7368376491704889E-2</v>
      </c>
      <c r="J993" s="15">
        <f t="shared" si="372"/>
        <v>-3.8461580039197751E-2</v>
      </c>
      <c r="K993" s="15">
        <f t="shared" si="373"/>
        <v>-2.6266416510318913E-2</v>
      </c>
      <c r="L993" s="15"/>
      <c r="M993" s="16">
        <f t="shared" si="374"/>
        <v>-2.4731489907208748E-2</v>
      </c>
      <c r="O993" s="13">
        <f t="shared" si="375"/>
        <v>-3.7365457680407187E-2</v>
      </c>
      <c r="Q993" s="5">
        <f t="shared" si="376"/>
        <v>114190.54190055261</v>
      </c>
      <c r="R993" s="6">
        <f t="shared" si="377"/>
        <v>136265.39791745288</v>
      </c>
      <c r="T993" s="11">
        <f t="shared" si="378"/>
        <v>0.83800101600060772</v>
      </c>
      <c r="V993" s="9">
        <v>45632</v>
      </c>
      <c r="W993">
        <v>2534000</v>
      </c>
      <c r="X993">
        <v>4178311.9712999999</v>
      </c>
      <c r="Y993">
        <v>1514138.7768000001</v>
      </c>
      <c r="AC993" s="24">
        <f t="shared" si="379"/>
        <v>-3.9013983730926689E-2</v>
      </c>
      <c r="AE993" s="5">
        <f t="shared" si="380"/>
        <v>77231.155408247665</v>
      </c>
      <c r="AF993" s="6">
        <f t="shared" si="381"/>
        <v>136265.39791745288</v>
      </c>
      <c r="AH993" s="1">
        <f t="shared" si="382"/>
        <v>45632</v>
      </c>
      <c r="AI993">
        <f t="shared" si="383"/>
        <v>0.56677011617456186</v>
      </c>
      <c r="AJ993">
        <f t="shared" ca="1" si="384"/>
        <v>0.58912171179207984</v>
      </c>
      <c r="AK993">
        <f t="shared" ca="1" si="385"/>
        <v>0.65788590541728764</v>
      </c>
      <c r="AL993">
        <f t="shared" ca="1" si="386"/>
        <v>0.81420586532173089</v>
      </c>
      <c r="AM993">
        <f t="shared" ca="1" si="387"/>
        <v>0.9563104512619387</v>
      </c>
      <c r="AN993">
        <f t="shared" ca="1" si="388"/>
        <v>1.1075400549940309</v>
      </c>
    </row>
    <row r="994" spans="2:40" x14ac:dyDescent="0.25">
      <c r="B994" s="1">
        <v>45639</v>
      </c>
      <c r="C994">
        <v>915.053</v>
      </c>
      <c r="D994">
        <v>887.55100000000004</v>
      </c>
      <c r="E994">
        <v>2870</v>
      </c>
      <c r="G994">
        <v>2370662</v>
      </c>
      <c r="I994" s="14">
        <f t="shared" si="371"/>
        <v>1.6574198952600261E-2</v>
      </c>
      <c r="J994" s="15">
        <f t="shared" si="372"/>
        <v>-2.161951895164993E-3</v>
      </c>
      <c r="K994" s="15">
        <f t="shared" si="373"/>
        <v>0.10597302504816963</v>
      </c>
      <c r="L994" s="15"/>
      <c r="M994" s="16">
        <f t="shared" si="374"/>
        <v>7.6377878393275811E-2</v>
      </c>
      <c r="O994" s="13">
        <f t="shared" si="375"/>
        <v>4.0128424035201636E-2</v>
      </c>
      <c r="Q994" s="5">
        <f t="shared" si="376"/>
        <v>118772.82838674744</v>
      </c>
      <c r="R994" s="6">
        <f t="shared" si="377"/>
        <v>146673.05990880344</v>
      </c>
      <c r="T994" s="11">
        <f t="shared" si="378"/>
        <v>0.8097794404820936</v>
      </c>
      <c r="V994" s="9">
        <v>45639</v>
      </c>
      <c r="W994">
        <v>2576000</v>
      </c>
      <c r="X994">
        <v>4169277.7831999999</v>
      </c>
      <c r="Y994">
        <v>1674596.6433999999</v>
      </c>
      <c r="AC994" s="24">
        <f t="shared" si="379"/>
        <v>2.3512397156921085E-2</v>
      </c>
      <c r="AE994" s="5">
        <f t="shared" si="380"/>
        <v>79047.045007094275</v>
      </c>
      <c r="AF994" s="6">
        <f t="shared" si="381"/>
        <v>146673.05990880344</v>
      </c>
      <c r="AH994" s="1">
        <f t="shared" si="382"/>
        <v>45639</v>
      </c>
      <c r="AI994">
        <f t="shared" si="383"/>
        <v>0.53893363277648376</v>
      </c>
      <c r="AJ994">
        <f t="shared" ca="1" si="384"/>
        <v>0.5772685260304613</v>
      </c>
      <c r="AK994">
        <f t="shared" ca="1" si="385"/>
        <v>0.65019161377434309</v>
      </c>
      <c r="AL994">
        <f t="shared" ca="1" si="386"/>
        <v>0.81131259042283732</v>
      </c>
      <c r="AM994">
        <f t="shared" ca="1" si="387"/>
        <v>0.93005365127401429</v>
      </c>
      <c r="AN994">
        <f t="shared" ca="1" si="388"/>
        <v>1.0569291002086254</v>
      </c>
    </row>
    <row r="995" spans="2:40" x14ac:dyDescent="0.25">
      <c r="B995" s="1">
        <v>45646</v>
      </c>
      <c r="C995">
        <v>909.08600000000001</v>
      </c>
      <c r="D995">
        <v>876.97400000000005</v>
      </c>
      <c r="E995">
        <v>2750</v>
      </c>
      <c r="G995">
        <v>2467562</v>
      </c>
      <c r="I995" s="14">
        <f t="shared" si="371"/>
        <v>-6.5209337601209727E-3</v>
      </c>
      <c r="J995" s="15">
        <f t="shared" si="372"/>
        <v>-1.1917061667442219E-2</v>
      </c>
      <c r="K995" s="15">
        <f t="shared" si="373"/>
        <v>-4.181184668989546E-2</v>
      </c>
      <c r="L995" s="15"/>
      <c r="M995" s="16">
        <f t="shared" si="374"/>
        <v>4.0874658639654227E-2</v>
      </c>
      <c r="O995" s="13">
        <f t="shared" si="375"/>
        <v>-2.0083280705819551E-2</v>
      </c>
      <c r="Q995" s="5">
        <f t="shared" si="376"/>
        <v>116387.48033403225</v>
      </c>
      <c r="R995" s="6">
        <f t="shared" si="377"/>
        <v>152668.27116420932</v>
      </c>
      <c r="T995" s="11">
        <f t="shared" si="378"/>
        <v>0.76235539609174185</v>
      </c>
      <c r="V995" s="9">
        <v>45646</v>
      </c>
      <c r="W995">
        <v>2559200</v>
      </c>
      <c r="X995">
        <v>4119589.7489999998</v>
      </c>
      <c r="Y995">
        <v>1604578.6653</v>
      </c>
      <c r="AC995" s="24">
        <f t="shared" si="379"/>
        <v>-1.621181469253067E-2</v>
      </c>
      <c r="AE995" s="5">
        <f t="shared" si="380"/>
        <v>77765.54896144713</v>
      </c>
      <c r="AF995" s="6">
        <f t="shared" si="381"/>
        <v>152668.27116420932</v>
      </c>
      <c r="AH995" s="1">
        <f t="shared" si="382"/>
        <v>45646</v>
      </c>
      <c r="AI995">
        <f t="shared" si="383"/>
        <v>0.50937597163069237</v>
      </c>
      <c r="AJ995">
        <f t="shared" ca="1" si="384"/>
        <v>0.57527649403183256</v>
      </c>
      <c r="AK995">
        <f t="shared" ca="1" si="385"/>
        <v>0.64075866261026637</v>
      </c>
      <c r="AL995">
        <f t="shared" ca="1" si="386"/>
        <v>0.8055631467090516</v>
      </c>
      <c r="AM995">
        <f t="shared" ca="1" si="387"/>
        <v>0.91746150034162177</v>
      </c>
      <c r="AN995">
        <f t="shared" ca="1" si="388"/>
        <v>1.053510512640724</v>
      </c>
    </row>
    <row r="996" spans="2:40" x14ac:dyDescent="0.25">
      <c r="B996" s="1">
        <v>45653</v>
      </c>
      <c r="C996">
        <v>898.14499999999998</v>
      </c>
      <c r="D996">
        <v>861.58799999999997</v>
      </c>
      <c r="E996">
        <v>2985</v>
      </c>
      <c r="G996">
        <v>2577546</v>
      </c>
      <c r="I996" s="14">
        <f t="shared" si="371"/>
        <v>-1.203516498989099E-2</v>
      </c>
      <c r="J996" s="15">
        <f t="shared" si="372"/>
        <v>-1.7544419788956156E-2</v>
      </c>
      <c r="K996" s="15">
        <f t="shared" si="373"/>
        <v>8.545454545454545E-2</v>
      </c>
      <c r="L996" s="15"/>
      <c r="M996" s="16">
        <f t="shared" si="374"/>
        <v>4.4571929702272861E-2</v>
      </c>
      <c r="O996" s="13">
        <f t="shared" si="375"/>
        <v>1.8624986891899436E-2</v>
      </c>
      <c r="Q996" s="5">
        <f t="shared" si="376"/>
        <v>118555.19562963482</v>
      </c>
      <c r="R996" s="6">
        <f t="shared" si="377"/>
        <v>159472.99061430799</v>
      </c>
      <c r="T996" s="11">
        <f t="shared" si="378"/>
        <v>0.74341865147788855</v>
      </c>
      <c r="V996" s="9">
        <v>45653</v>
      </c>
      <c r="W996">
        <v>2528400</v>
      </c>
      <c r="X996">
        <v>4047316.2445999999</v>
      </c>
      <c r="Y996">
        <v>1741697.2057</v>
      </c>
      <c r="AC996" s="24">
        <f t="shared" si="379"/>
        <v>4.1097211460060313E-3</v>
      </c>
      <c r="AE996" s="5">
        <f t="shared" si="380"/>
        <v>78085.143682444745</v>
      </c>
      <c r="AF996" s="6">
        <f t="shared" si="381"/>
        <v>159472.99061430799</v>
      </c>
      <c r="AH996" s="1">
        <f t="shared" si="382"/>
        <v>45653</v>
      </c>
      <c r="AI996">
        <f t="shared" si="383"/>
        <v>0.48964494477498627</v>
      </c>
      <c r="AJ996">
        <f t="shared" ca="1" si="384"/>
        <v>0.56761246877352667</v>
      </c>
      <c r="AK996">
        <f t="shared" ca="1" si="385"/>
        <v>0.62962083453651907</v>
      </c>
      <c r="AL996">
        <f t="shared" ca="1" si="386"/>
        <v>0.80140697531585381</v>
      </c>
      <c r="AM996">
        <f t="shared" ca="1" si="387"/>
        <v>0.91133745307915126</v>
      </c>
      <c r="AN996">
        <f t="shared" ca="1" si="388"/>
        <v>1.0431195941047411</v>
      </c>
    </row>
    <row r="997" spans="2:40" x14ac:dyDescent="0.25">
      <c r="B997" s="1">
        <v>45660</v>
      </c>
      <c r="C997">
        <v>887.298</v>
      </c>
      <c r="D997">
        <v>848.12599999999998</v>
      </c>
      <c r="E997">
        <v>3005</v>
      </c>
      <c r="G997">
        <v>2728911</v>
      </c>
      <c r="I997" s="14">
        <f t="shared" si="371"/>
        <v>-1.2077114497102359E-2</v>
      </c>
      <c r="J997" s="15">
        <f t="shared" si="372"/>
        <v>-1.5624637297641075E-2</v>
      </c>
      <c r="K997" s="15">
        <f t="shared" si="373"/>
        <v>6.7001675041875597E-3</v>
      </c>
      <c r="L997" s="15"/>
      <c r="M997" s="16">
        <f t="shared" si="374"/>
        <v>5.8724461173534914E-2</v>
      </c>
      <c r="O997" s="13">
        <f t="shared" si="375"/>
        <v>-7.0005280968519585E-3</v>
      </c>
      <c r="Q997" s="5">
        <f t="shared" si="376"/>
        <v>117725.24665160179</v>
      </c>
      <c r="R997" s="6">
        <f t="shared" si="377"/>
        <v>168837.95605986542</v>
      </c>
      <c r="T997" s="11">
        <f t="shared" si="378"/>
        <v>0.69726766065480894</v>
      </c>
      <c r="V997" s="9">
        <v>45660</v>
      </c>
      <c r="W997">
        <v>2492000</v>
      </c>
      <c r="X997">
        <v>3984076.9282999998</v>
      </c>
      <c r="Y997">
        <v>1753366.8688000001</v>
      </c>
      <c r="AC997" s="24">
        <f t="shared" si="379"/>
        <v>-9.8713334519245962E-3</v>
      </c>
      <c r="AE997" s="5">
        <f t="shared" si="380"/>
        <v>77314.339191513893</v>
      </c>
      <c r="AF997" s="6">
        <f t="shared" si="381"/>
        <v>168837.95605986542</v>
      </c>
      <c r="AH997" s="1">
        <f t="shared" si="382"/>
        <v>45660</v>
      </c>
      <c r="AI997">
        <f t="shared" si="383"/>
        <v>0.45792036930428309</v>
      </c>
      <c r="AJ997">
        <f t="shared" ca="1" si="384"/>
        <v>0.5630600098731019</v>
      </c>
      <c r="AK997">
        <f t="shared" ca="1" si="385"/>
        <v>0.62823437354615908</v>
      </c>
      <c r="AL997">
        <f t="shared" ca="1" si="386"/>
        <v>0.80004050508886282</v>
      </c>
      <c r="AM997">
        <f t="shared" ca="1" si="387"/>
        <v>0.88862601712529288</v>
      </c>
      <c r="AN997">
        <f t="shared" ca="1" si="388"/>
        <v>1.0409813194767534</v>
      </c>
    </row>
    <row r="998" spans="2:40" x14ac:dyDescent="0.25">
      <c r="B998" s="1">
        <v>45667</v>
      </c>
      <c r="C998">
        <v>928.173</v>
      </c>
      <c r="D998">
        <v>866.39599999999996</v>
      </c>
      <c r="E998">
        <v>3040</v>
      </c>
      <c r="G998">
        <v>2805140</v>
      </c>
      <c r="I998" s="14">
        <f t="shared" si="371"/>
        <v>4.6066823096637233E-2</v>
      </c>
      <c r="J998" s="15">
        <f t="shared" si="372"/>
        <v>2.1541610562581415E-2</v>
      </c>
      <c r="K998" s="15">
        <f t="shared" si="373"/>
        <v>1.1647254575707144E-2</v>
      </c>
      <c r="L998" s="15"/>
      <c r="M998" s="16">
        <f t="shared" si="374"/>
        <v>2.7933853467555281E-2</v>
      </c>
      <c r="O998" s="13">
        <f t="shared" si="375"/>
        <v>2.6418562744975265E-2</v>
      </c>
      <c r="Q998" s="5">
        <f t="shared" si="376"/>
        <v>120835.37846693482</v>
      </c>
      <c r="R998" s="6">
        <f t="shared" si="377"/>
        <v>173554.25078420324</v>
      </c>
      <c r="T998" s="11">
        <f t="shared" si="378"/>
        <v>0.69623980928695961</v>
      </c>
      <c r="V998" s="9">
        <v>45667</v>
      </c>
      <c r="W998">
        <v>2606800</v>
      </c>
      <c r="X998">
        <v>4069901.7146999999</v>
      </c>
      <c r="Y998">
        <v>1773788.7790000001</v>
      </c>
      <c r="AC998" s="24">
        <f t="shared" si="379"/>
        <v>2.6860122328199461E-2</v>
      </c>
      <c r="AE998" s="5">
        <f t="shared" si="380"/>
        <v>79391.011799921864</v>
      </c>
      <c r="AF998" s="6">
        <f t="shared" si="381"/>
        <v>173554.25078420324</v>
      </c>
      <c r="AH998" s="1">
        <f t="shared" si="382"/>
        <v>45667</v>
      </c>
      <c r="AI998">
        <f t="shared" si="383"/>
        <v>0.45744204732061777</v>
      </c>
      <c r="AJ998">
        <f t="shared" ca="1" si="384"/>
        <v>0.55821429678588497</v>
      </c>
      <c r="AK998">
        <f t="shared" ca="1" si="385"/>
        <v>0.62091606884974804</v>
      </c>
      <c r="AL998">
        <f t="shared" ca="1" si="386"/>
        <v>0.792081854665454</v>
      </c>
      <c r="AM998">
        <f t="shared" ca="1" si="387"/>
        <v>0.88036795150684044</v>
      </c>
      <c r="AN998">
        <f t="shared" ca="1" si="388"/>
        <v>1.0239971681738458</v>
      </c>
    </row>
    <row r="999" spans="2:40" x14ac:dyDescent="0.25">
      <c r="B999" s="1">
        <v>45674</v>
      </c>
      <c r="C999">
        <v>808.53800000000001</v>
      </c>
      <c r="D999">
        <v>765.42899999999997</v>
      </c>
      <c r="E999">
        <v>2525</v>
      </c>
      <c r="G999">
        <v>2510886</v>
      </c>
      <c r="I999" s="14">
        <f t="shared" si="371"/>
        <v>-0.12889299731838788</v>
      </c>
      <c r="J999" s="15">
        <f t="shared" si="372"/>
        <v>-0.11653677994819922</v>
      </c>
      <c r="K999" s="15">
        <f t="shared" si="373"/>
        <v>-0.16940789473684215</v>
      </c>
      <c r="L999" s="15"/>
      <c r="M999" s="16">
        <f t="shared" si="374"/>
        <v>-0.10489815125091795</v>
      </c>
      <c r="O999" s="13">
        <f t="shared" si="375"/>
        <v>-0.13827922400114309</v>
      </c>
      <c r="Q999" s="5">
        <f t="shared" si="376"/>
        <v>104126.35610064263</v>
      </c>
      <c r="R999" s="6">
        <f t="shared" si="377"/>
        <v>155348.73073520215</v>
      </c>
      <c r="T999" s="11">
        <f t="shared" si="378"/>
        <v>0.67027490735106154</v>
      </c>
      <c r="V999" s="9">
        <v>45674</v>
      </c>
      <c r="W999">
        <v>2270800</v>
      </c>
      <c r="X999">
        <v>3595606.8423000001</v>
      </c>
      <c r="Y999">
        <v>1473294.9563</v>
      </c>
      <c r="AC999" s="24">
        <f t="shared" si="379"/>
        <v>-0.13144625504669832</v>
      </c>
      <c r="AE999" s="5">
        <f t="shared" si="380"/>
        <v>68955.360614453894</v>
      </c>
      <c r="AF999" s="6">
        <f t="shared" si="381"/>
        <v>155348.73073520215</v>
      </c>
      <c r="AH999" s="1">
        <f t="shared" si="382"/>
        <v>45674</v>
      </c>
      <c r="AI999">
        <f t="shared" si="383"/>
        <v>0.44387463153458873</v>
      </c>
      <c r="AJ999">
        <f t="shared" ca="1" si="384"/>
        <v>0.54902185984767893</v>
      </c>
      <c r="AK999">
        <f t="shared" ca="1" si="385"/>
        <v>0.60665142433617736</v>
      </c>
      <c r="AL999">
        <f t="shared" ca="1" si="386"/>
        <v>0.78069722087441007</v>
      </c>
      <c r="AM999">
        <f t="shared" ca="1" si="387"/>
        <v>0.864502112148402</v>
      </c>
      <c r="AN999">
        <f t="shared" ca="1" si="388"/>
        <v>0.99977747194986311</v>
      </c>
    </row>
    <row r="1000" spans="2:40" x14ac:dyDescent="0.25">
      <c r="B1000" s="1">
        <v>45681</v>
      </c>
      <c r="C1000">
        <v>873.34</v>
      </c>
      <c r="D1000">
        <v>784.66099999999994</v>
      </c>
      <c r="E1000">
        <v>2745</v>
      </c>
      <c r="G1000">
        <v>2566082</v>
      </c>
      <c r="I1000" s="14">
        <f t="shared" si="371"/>
        <v>8.0147129757661473E-2</v>
      </c>
      <c r="J1000" s="15">
        <f t="shared" si="372"/>
        <v>2.5125779138234883E-2</v>
      </c>
      <c r="K1000" s="15">
        <f t="shared" si="373"/>
        <v>8.7128712871287206E-2</v>
      </c>
      <c r="L1000" s="15"/>
      <c r="M1000" s="16">
        <f t="shared" si="374"/>
        <v>2.1982678624198781E-2</v>
      </c>
      <c r="O1000" s="13">
        <f t="shared" si="375"/>
        <v>6.4133873922394516E-2</v>
      </c>
      <c r="Q1000" s="5">
        <f t="shared" si="376"/>
        <v>110804.3826947996</v>
      </c>
      <c r="R1000" s="6">
        <f t="shared" si="377"/>
        <v>158763.71195763128</v>
      </c>
      <c r="T1000" s="11">
        <f t="shared" si="378"/>
        <v>0.69792008090847346</v>
      </c>
      <c r="V1000" s="9">
        <v>45681</v>
      </c>
      <c r="W1000">
        <v>2452800</v>
      </c>
      <c r="X1000">
        <v>3685948.7228000001</v>
      </c>
      <c r="Y1000">
        <v>1601661.2494999999</v>
      </c>
      <c r="AC1000" s="24">
        <f t="shared" si="379"/>
        <v>5.4594427656429335E-2</v>
      </c>
      <c r="AE1000" s="5">
        <f t="shared" si="380"/>
        <v>72719.939061042693</v>
      </c>
      <c r="AF1000" s="6">
        <f t="shared" si="381"/>
        <v>158763.71195763128</v>
      </c>
      <c r="AH1000" s="1">
        <f t="shared" si="382"/>
        <v>45681</v>
      </c>
      <c r="AI1000">
        <f t="shared" si="383"/>
        <v>0.45803879340166348</v>
      </c>
      <c r="AJ1000">
        <f t="shared" ca="1" si="384"/>
        <v>0.53984579072633154</v>
      </c>
      <c r="AK1000">
        <f t="shared" ca="1" si="385"/>
        <v>0.59325505562605563</v>
      </c>
      <c r="AL1000">
        <f t="shared" ca="1" si="386"/>
        <v>0.7627205948277157</v>
      </c>
      <c r="AM1000">
        <f t="shared" ca="1" si="387"/>
        <v>0.84837662374612699</v>
      </c>
      <c r="AN1000">
        <f t="shared" ca="1" si="388"/>
        <v>0.98859923583056997</v>
      </c>
    </row>
    <row r="1001" spans="2:40" x14ac:dyDescent="0.25">
      <c r="B1001" s="1">
        <v>45688</v>
      </c>
      <c r="C1001">
        <v>864.36800000000005</v>
      </c>
      <c r="D1001">
        <v>821.20100000000002</v>
      </c>
      <c r="E1001">
        <v>2845</v>
      </c>
      <c r="G1001">
        <v>2564659</v>
      </c>
      <c r="I1001" s="14">
        <f t="shared" si="371"/>
        <v>-1.0273204021343352E-2</v>
      </c>
      <c r="J1001" s="15">
        <f t="shared" si="372"/>
        <v>4.6567880906531745E-2</v>
      </c>
      <c r="K1001" s="15">
        <f t="shared" si="373"/>
        <v>3.6429872495446158E-2</v>
      </c>
      <c r="L1001" s="15"/>
      <c r="M1001" s="16">
        <f t="shared" si="374"/>
        <v>-5.5454190474035769E-4</v>
      </c>
      <c r="O1001" s="13">
        <f t="shared" si="375"/>
        <v>2.4241516460211516E-2</v>
      </c>
      <c r="Q1001" s="5">
        <f t="shared" si="376"/>
        <v>113490.44896175915</v>
      </c>
      <c r="R1001" s="6">
        <f t="shared" si="377"/>
        <v>158675.67082639865</v>
      </c>
      <c r="T1001" s="11">
        <f t="shared" si="378"/>
        <v>0.71523535001106109</v>
      </c>
      <c r="V1001" s="9">
        <v>45688</v>
      </c>
      <c r="W1001">
        <v>2427600</v>
      </c>
      <c r="X1001">
        <v>3857598.2955999998</v>
      </c>
      <c r="Y1001">
        <v>1660009.5645999999</v>
      </c>
      <c r="AC1001" s="24">
        <f t="shared" si="379"/>
        <v>2.6458162056073938E-2</v>
      </c>
      <c r="AE1001" s="5">
        <f t="shared" si="380"/>
        <v>74643.97499342759</v>
      </c>
      <c r="AF1001" s="6">
        <f t="shared" si="381"/>
        <v>158675.67082639865</v>
      </c>
      <c r="AH1001" s="1">
        <f t="shared" si="382"/>
        <v>45688</v>
      </c>
      <c r="AI1001">
        <f t="shared" si="383"/>
        <v>0.47041852481022683</v>
      </c>
      <c r="AJ1001">
        <f t="shared" ca="1" si="384"/>
        <v>0.51233173774527152</v>
      </c>
      <c r="AK1001">
        <f t="shared" ca="1" si="385"/>
        <v>0.58536989976563292</v>
      </c>
      <c r="AL1001">
        <f t="shared" ca="1" si="386"/>
        <v>0.74145990477772017</v>
      </c>
      <c r="AM1001">
        <f t="shared" ca="1" si="387"/>
        <v>0.83937760004104867</v>
      </c>
      <c r="AN1001">
        <f t="shared" ca="1" si="388"/>
        <v>0.94204661640733822</v>
      </c>
    </row>
    <row r="1002" spans="2:40" x14ac:dyDescent="0.25">
      <c r="B1002" s="1">
        <v>45695</v>
      </c>
      <c r="C1002">
        <v>825.48599999999999</v>
      </c>
      <c r="D1002">
        <v>773.12199999999996</v>
      </c>
      <c r="E1002">
        <v>2885</v>
      </c>
      <c r="G1002">
        <v>2416382</v>
      </c>
      <c r="I1002" s="14">
        <f t="shared" si="371"/>
        <v>-4.4983155322733004E-2</v>
      </c>
      <c r="J1002" s="15">
        <f t="shared" si="372"/>
        <v>-5.8547176635196596E-2</v>
      </c>
      <c r="K1002" s="15">
        <f t="shared" si="373"/>
        <v>1.4059753954305698E-2</v>
      </c>
      <c r="L1002" s="15"/>
      <c r="M1002" s="16">
        <f t="shared" si="374"/>
        <v>-5.7815483461933881E-2</v>
      </c>
      <c r="O1002" s="13">
        <f t="shared" si="375"/>
        <v>-2.9823526001207967E-2</v>
      </c>
      <c r="Q1002" s="5">
        <f t="shared" si="376"/>
        <v>110105.76360625935</v>
      </c>
      <c r="R1002" s="6">
        <f t="shared" si="377"/>
        <v>149501.76020392374</v>
      </c>
      <c r="T1002" s="11">
        <f t="shared" si="378"/>
        <v>0.73648473072205056</v>
      </c>
      <c r="V1002" s="9">
        <v>45695</v>
      </c>
      <c r="W1002">
        <v>2318400</v>
      </c>
      <c r="X1002">
        <v>3631743.5945000001</v>
      </c>
      <c r="Y1002">
        <v>1683348.8906</v>
      </c>
      <c r="AC1002" s="24">
        <f t="shared" si="379"/>
        <v>-3.9232865408467293E-2</v>
      </c>
      <c r="AE1002" s="5">
        <f t="shared" si="380"/>
        <v>71715.47796895745</v>
      </c>
      <c r="AF1002" s="6">
        <f t="shared" si="381"/>
        <v>149501.76020392374</v>
      </c>
      <c r="AH1002" s="1">
        <f t="shared" si="382"/>
        <v>45695</v>
      </c>
      <c r="AI1002">
        <f t="shared" si="383"/>
        <v>0.47969654585428256</v>
      </c>
      <c r="AJ1002">
        <f t="shared" ca="1" si="384"/>
        <v>0.49161804746055687</v>
      </c>
      <c r="AK1002">
        <f t="shared" ca="1" si="385"/>
        <v>0.57581503117137867</v>
      </c>
      <c r="AL1002">
        <f t="shared" ca="1" si="386"/>
        <v>0.72560781840499256</v>
      </c>
      <c r="AM1002">
        <f t="shared" ca="1" si="387"/>
        <v>0.8305966569950739</v>
      </c>
      <c r="AN1002">
        <f t="shared" ca="1" si="388"/>
        <v>0.92437704277192068</v>
      </c>
    </row>
    <row r="1003" spans="2:40" x14ac:dyDescent="0.25">
      <c r="B1003" s="1">
        <v>45702</v>
      </c>
      <c r="C1003">
        <v>817.51</v>
      </c>
      <c r="D1003">
        <v>787.54499999999996</v>
      </c>
      <c r="E1003">
        <v>2850</v>
      </c>
      <c r="G1003">
        <v>2387386</v>
      </c>
      <c r="I1003" s="14">
        <f t="shared" si="371"/>
        <v>-9.6621868814249501E-3</v>
      </c>
      <c r="J1003" s="15">
        <f t="shared" si="372"/>
        <v>1.8655529140291005E-2</v>
      </c>
      <c r="K1003" s="15">
        <f t="shared" si="373"/>
        <v>-1.2131715771230511E-2</v>
      </c>
      <c r="L1003" s="15"/>
      <c r="M1003" s="16">
        <f t="shared" si="374"/>
        <v>-1.1999758316358911E-2</v>
      </c>
      <c r="O1003" s="13">
        <f t="shared" si="375"/>
        <v>-1.0461245041214855E-3</v>
      </c>
      <c r="Q1003" s="5">
        <f t="shared" si="376"/>
        <v>109990.57926890584</v>
      </c>
      <c r="R1003" s="6">
        <f t="shared" si="377"/>
        <v>147707.77521360642</v>
      </c>
      <c r="T1003" s="11">
        <f t="shared" si="378"/>
        <v>0.74464989476582288</v>
      </c>
      <c r="V1003" s="9">
        <v>45702</v>
      </c>
      <c r="W1003">
        <v>2296000</v>
      </c>
      <c r="X1003">
        <v>3699500.0048000002</v>
      </c>
      <c r="Y1003">
        <v>1662926.9804</v>
      </c>
      <c r="AC1003" s="24">
        <f t="shared" si="379"/>
        <v>3.2657887795722864E-3</v>
      </c>
      <c r="AE1003" s="5">
        <f t="shared" si="380"/>
        <v>71949.685572230126</v>
      </c>
      <c r="AF1003" s="6">
        <f t="shared" si="381"/>
        <v>147707.77521360642</v>
      </c>
      <c r="AH1003" s="1">
        <f t="shared" si="382"/>
        <v>45702</v>
      </c>
      <c r="AI1003">
        <f t="shared" si="383"/>
        <v>0.48710831551135786</v>
      </c>
      <c r="AJ1003">
        <f t="shared" ca="1" si="384"/>
        <v>0.48069138574635295</v>
      </c>
      <c r="AK1003">
        <f t="shared" ca="1" si="385"/>
        <v>0.57308776066679801</v>
      </c>
      <c r="AL1003">
        <f t="shared" ca="1" si="386"/>
        <v>0.71642506899398672</v>
      </c>
      <c r="AM1003">
        <f t="shared" ca="1" si="387"/>
        <v>0.8218539516192932</v>
      </c>
      <c r="AN1003">
        <f t="shared" ca="1" si="388"/>
        <v>0.91433977989652604</v>
      </c>
    </row>
    <row r="1004" spans="2:40" x14ac:dyDescent="0.25">
      <c r="B1004" s="1">
        <v>45709</v>
      </c>
      <c r="C1004">
        <v>821.49800000000005</v>
      </c>
      <c r="D1004">
        <v>764.46699999999998</v>
      </c>
      <c r="E1004">
        <v>2740</v>
      </c>
      <c r="G1004">
        <v>2364530</v>
      </c>
      <c r="I1004" s="14">
        <f t="shared" si="371"/>
        <v>4.8782277892625014E-3</v>
      </c>
      <c r="J1004" s="15">
        <f t="shared" si="372"/>
        <v>-2.9303722326978088E-2</v>
      </c>
      <c r="K1004" s="15">
        <f t="shared" si="373"/>
        <v>-3.8596491228070184E-2</v>
      </c>
      <c r="L1004" s="15"/>
      <c r="M1004" s="16">
        <f t="shared" si="374"/>
        <v>-9.5736508465744663E-3</v>
      </c>
      <c r="O1004" s="13">
        <f t="shared" si="375"/>
        <v>-2.1007328588595258E-2</v>
      </c>
      <c r="Q1004" s="5">
        <f t="shared" si="376"/>
        <v>107679.97102855401</v>
      </c>
      <c r="R1004" s="6">
        <f t="shared" si="377"/>
        <v>146293.67254638704</v>
      </c>
      <c r="T1004" s="11">
        <f t="shared" si="378"/>
        <v>0.73605350904298794</v>
      </c>
      <c r="V1004" s="9">
        <v>45709</v>
      </c>
      <c r="W1004">
        <v>2307200</v>
      </c>
      <c r="X1004">
        <v>3591089.7483000001</v>
      </c>
      <c r="Y1004">
        <v>1598743.8337000001</v>
      </c>
      <c r="AC1004" s="24">
        <f t="shared" si="379"/>
        <v>-2.1073760552785592E-2</v>
      </c>
      <c r="AE1004" s="5">
        <f t="shared" si="380"/>
        <v>70433.435126632743</v>
      </c>
      <c r="AF1004" s="6">
        <f t="shared" si="381"/>
        <v>146293.67254638704</v>
      </c>
      <c r="AH1004" s="1">
        <f t="shared" si="382"/>
        <v>45709</v>
      </c>
      <c r="AI1004">
        <f t="shared" si="383"/>
        <v>0.48145236838113825</v>
      </c>
      <c r="AJ1004">
        <f t="shared" ca="1" si="384"/>
        <v>0.48043772281999009</v>
      </c>
      <c r="AK1004">
        <f t="shared" ca="1" si="385"/>
        <v>0.56573953109082298</v>
      </c>
      <c r="AL1004">
        <f t="shared" ca="1" si="386"/>
        <v>0.71356410193366693</v>
      </c>
      <c r="AM1004">
        <f t="shared" ca="1" si="387"/>
        <v>0.81945204961285645</v>
      </c>
      <c r="AN1004">
        <f t="shared" ca="1" si="388"/>
        <v>0.90730848601284519</v>
      </c>
    </row>
    <row r="1005" spans="2:40" x14ac:dyDescent="0.25">
      <c r="B1005" s="1">
        <v>45716</v>
      </c>
      <c r="C1005">
        <v>756.69600000000003</v>
      </c>
      <c r="D1005">
        <v>692.34799999999996</v>
      </c>
      <c r="E1005">
        <v>2515</v>
      </c>
      <c r="G1005">
        <v>2205801</v>
      </c>
      <c r="I1005" s="14">
        <f t="shared" si="371"/>
        <v>-7.8882723999328053E-2</v>
      </c>
      <c r="J1005" s="15">
        <f t="shared" si="372"/>
        <v>-9.4338931569315609E-2</v>
      </c>
      <c r="K1005" s="15">
        <f t="shared" si="373"/>
        <v>-8.2116788321167866E-2</v>
      </c>
      <c r="L1005" s="15"/>
      <c r="M1005" s="16">
        <f t="shared" si="374"/>
        <v>-6.7129196922855683E-2</v>
      </c>
      <c r="O1005" s="13">
        <f t="shared" si="375"/>
        <v>-8.5112814629937181E-2</v>
      </c>
      <c r="Q1005" s="5">
        <f t="shared" si="376"/>
        <v>98515.025615043691</v>
      </c>
      <c r="R1005" s="6">
        <f t="shared" si="377"/>
        <v>136473.09579345287</v>
      </c>
      <c r="T1005" s="11">
        <f t="shared" si="378"/>
        <v>0.72186407908664019</v>
      </c>
      <c r="V1005" s="9">
        <v>45716</v>
      </c>
      <c r="W1005">
        <v>2125200</v>
      </c>
      <c r="X1005">
        <v>3252307.6965999999</v>
      </c>
      <c r="Y1005">
        <v>1467460.1248000001</v>
      </c>
      <c r="AC1005" s="24">
        <f t="shared" si="379"/>
        <v>-8.6975934237866606E-2</v>
      </c>
      <c r="AE1005" s="5">
        <f t="shared" si="380"/>
        <v>64307.421304911688</v>
      </c>
      <c r="AF1005" s="6">
        <f t="shared" si="381"/>
        <v>136473.09579345287</v>
      </c>
      <c r="AH1005" s="1">
        <f t="shared" si="382"/>
        <v>45716</v>
      </c>
      <c r="AI1005">
        <f t="shared" si="383"/>
        <v>0.47120951518707144</v>
      </c>
      <c r="AJ1005">
        <f t="shared" ca="1" si="384"/>
        <v>0.47987212810696811</v>
      </c>
      <c r="AK1005">
        <f t="shared" ca="1" si="385"/>
        <v>0.5614162538802393</v>
      </c>
      <c r="AL1005">
        <f t="shared" ca="1" si="386"/>
        <v>0.68543050364132063</v>
      </c>
      <c r="AM1005">
        <f t="shared" ca="1" si="387"/>
        <v>0.81567289474153648</v>
      </c>
      <c r="AN1005">
        <f t="shared" ca="1" si="388"/>
        <v>0.88129745208031507</v>
      </c>
    </row>
    <row r="1006" spans="2:40" x14ac:dyDescent="0.25">
      <c r="B1006" s="1">
        <v>45723</v>
      </c>
      <c r="C1006">
        <v>807.54100000000005</v>
      </c>
      <c r="D1006">
        <v>730.81100000000004</v>
      </c>
      <c r="E1006">
        <v>2645</v>
      </c>
      <c r="G1006">
        <v>2262289</v>
      </c>
      <c r="I1006" s="14">
        <f t="shared" si="371"/>
        <v>6.7193430386839559E-2</v>
      </c>
      <c r="J1006" s="15">
        <f t="shared" si="372"/>
        <v>5.5554432164171885E-2</v>
      </c>
      <c r="K1006" s="15">
        <f t="shared" si="373"/>
        <v>5.1689860834990053E-2</v>
      </c>
      <c r="L1006" s="15"/>
      <c r="M1006" s="16">
        <f t="shared" si="374"/>
        <v>2.5608837787270966E-2</v>
      </c>
      <c r="O1006" s="13">
        <f t="shared" si="375"/>
        <v>5.814590779533383E-2</v>
      </c>
      <c r="Q1006" s="5">
        <f t="shared" si="376"/>
        <v>104243.27121091099</v>
      </c>
      <c r="R1006" s="6">
        <f t="shared" si="377"/>
        <v>139968.01316595409</v>
      </c>
      <c r="T1006" s="11">
        <f t="shared" si="378"/>
        <v>0.74476495631408435</v>
      </c>
      <c r="V1006" s="9">
        <v>45723</v>
      </c>
      <c r="W1006">
        <v>2268000</v>
      </c>
      <c r="X1006">
        <v>3432991.4575</v>
      </c>
      <c r="Y1006">
        <v>1543312.9343999999</v>
      </c>
      <c r="AC1006" s="24">
        <f t="shared" si="379"/>
        <v>5.8339557703870108E-2</v>
      </c>
      <c r="AE1006" s="5">
        <f t="shared" si="380"/>
        <v>68059.087820916669</v>
      </c>
      <c r="AF1006" s="6">
        <f t="shared" si="381"/>
        <v>139968.01316595409</v>
      </c>
      <c r="AH1006" s="1">
        <f t="shared" si="382"/>
        <v>45723</v>
      </c>
      <c r="AI1006">
        <f t="shared" si="383"/>
        <v>0.48624743812160798</v>
      </c>
      <c r="AJ1006">
        <f t="shared" ca="1" si="384"/>
        <v>0.47205821825379257</v>
      </c>
      <c r="AK1006">
        <f t="shared" ca="1" si="385"/>
        <v>0.55530506907034394</v>
      </c>
      <c r="AL1006">
        <f t="shared" ca="1" si="386"/>
        <v>0.65595790425959288</v>
      </c>
      <c r="AM1006">
        <f t="shared" ca="1" si="387"/>
        <v>0.81408747143352489</v>
      </c>
      <c r="AN1006">
        <f t="shared" ca="1" si="388"/>
        <v>0.87794267273455706</v>
      </c>
    </row>
    <row r="1007" spans="2:40" x14ac:dyDescent="0.25">
      <c r="B1007" s="1">
        <v>45730</v>
      </c>
      <c r="C1007">
        <v>802.55600000000004</v>
      </c>
      <c r="D1007">
        <v>720.23400000000004</v>
      </c>
      <c r="E1007">
        <v>2690</v>
      </c>
      <c r="G1007">
        <v>2335575</v>
      </c>
      <c r="I1007" s="14">
        <f t="shared" si="371"/>
        <v>-6.1730611820328685E-3</v>
      </c>
      <c r="J1007" s="15">
        <f t="shared" si="372"/>
        <v>-1.4472962229632569E-2</v>
      </c>
      <c r="K1007" s="15">
        <f t="shared" si="373"/>
        <v>1.7013232514177634E-2</v>
      </c>
      <c r="L1007" s="15"/>
      <c r="M1007" s="16">
        <f t="shared" si="374"/>
        <v>3.2394623321777116E-2</v>
      </c>
      <c r="O1007" s="13">
        <f t="shared" si="375"/>
        <v>-1.210930299162601E-3</v>
      </c>
      <c r="Q1007" s="5">
        <f t="shared" si="376"/>
        <v>104117.03987531786</v>
      </c>
      <c r="R1007" s="6">
        <f t="shared" si="377"/>
        <v>144502.22422956271</v>
      </c>
      <c r="T1007" s="11">
        <f t="shared" si="378"/>
        <v>0.72052205722392804</v>
      </c>
      <c r="V1007" s="9">
        <v>45730</v>
      </c>
      <c r="W1007">
        <v>2254000</v>
      </c>
      <c r="X1007">
        <v>3383303.4232000001</v>
      </c>
      <c r="Y1007">
        <v>1569569.6762000001</v>
      </c>
      <c r="AC1007" s="24">
        <f t="shared" si="379"/>
        <v>-5.1667233511977773E-3</v>
      </c>
      <c r="AE1007" s="5">
        <f t="shared" si="380"/>
        <v>67707.445342611114</v>
      </c>
      <c r="AF1007" s="6">
        <f t="shared" si="381"/>
        <v>144502.22422956271</v>
      </c>
      <c r="AH1007" s="1">
        <f t="shared" si="382"/>
        <v>45730</v>
      </c>
      <c r="AI1007">
        <f t="shared" si="383"/>
        <v>0.46855642329109087</v>
      </c>
      <c r="AJ1007">
        <f t="shared" ca="1" si="384"/>
        <v>0.47205821825379257</v>
      </c>
      <c r="AK1007">
        <f t="shared" ca="1" si="385"/>
        <v>0.54577481740034184</v>
      </c>
      <c r="AL1007">
        <f t="shared" ca="1" si="386"/>
        <v>0.64828132560448282</v>
      </c>
      <c r="AM1007">
        <f t="shared" ca="1" si="387"/>
        <v>0.80998434686159648</v>
      </c>
      <c r="AN1007">
        <f t="shared" ca="1" si="388"/>
        <v>0.85787186016604688</v>
      </c>
    </row>
    <row r="1008" spans="2:40" x14ac:dyDescent="0.25">
      <c r="B1008" s="1">
        <v>45737</v>
      </c>
      <c r="C1008">
        <v>848.41600000000005</v>
      </c>
      <c r="D1008">
        <v>788.50699999999995</v>
      </c>
      <c r="E1008">
        <v>2910</v>
      </c>
      <c r="G1008">
        <v>2433538</v>
      </c>
      <c r="I1008" s="14">
        <f t="shared" si="371"/>
        <v>5.7142429936353434E-2</v>
      </c>
      <c r="J1008" s="15">
        <f t="shared" si="372"/>
        <v>9.4792803449989638E-2</v>
      </c>
      <c r="K1008" s="15">
        <f t="shared" si="373"/>
        <v>8.1784386617100413E-2</v>
      </c>
      <c r="L1008" s="15"/>
      <c r="M1008" s="16">
        <f t="shared" si="374"/>
        <v>4.1943846804320062E-2</v>
      </c>
      <c r="O1008" s="13">
        <f t="shared" si="375"/>
        <v>7.7906540001147828E-2</v>
      </c>
      <c r="Q1008" s="5">
        <f t="shared" si="376"/>
        <v>112228.43820716541</v>
      </c>
      <c r="R1008" s="6">
        <f t="shared" si="377"/>
        <v>150563.203385531</v>
      </c>
      <c r="T1008" s="11">
        <f t="shared" si="378"/>
        <v>0.74539087694484107</v>
      </c>
      <c r="V1008" s="9">
        <v>45737</v>
      </c>
      <c r="W1008">
        <v>2382800</v>
      </c>
      <c r="X1008">
        <v>3704017.0989000001</v>
      </c>
      <c r="Y1008">
        <v>1697935.9694000001</v>
      </c>
      <c r="AC1008" s="24">
        <f t="shared" si="379"/>
        <v>8.0184309996043049E-2</v>
      </c>
      <c r="AE1008" s="5">
        <f t="shared" si="380"/>
        <v>73136.520129003184</v>
      </c>
      <c r="AF1008" s="6">
        <f t="shared" si="381"/>
        <v>150563.203385531</v>
      </c>
      <c r="AH1008" s="1">
        <f t="shared" si="382"/>
        <v>45737</v>
      </c>
      <c r="AI1008">
        <f t="shared" si="383"/>
        <v>0.4857529494887961</v>
      </c>
      <c r="AJ1008">
        <f t="shared" ca="1" si="384"/>
        <v>0.47049762384791127</v>
      </c>
      <c r="AK1008">
        <f t="shared" ca="1" si="385"/>
        <v>0.53154421749003589</v>
      </c>
      <c r="AL1008">
        <f t="shared" ca="1" si="386"/>
        <v>0.6370565759557707</v>
      </c>
      <c r="AM1008">
        <f t="shared" ca="1" si="387"/>
        <v>0.80401666841339947</v>
      </c>
      <c r="AN1008">
        <f t="shared" ca="1" si="388"/>
        <v>0.84401167511214314</v>
      </c>
    </row>
    <row r="1009" spans="2:40" x14ac:dyDescent="0.25">
      <c r="B1009" s="1">
        <v>45744</v>
      </c>
      <c r="C1009">
        <v>870.35</v>
      </c>
      <c r="D1009">
        <v>769.27499999999998</v>
      </c>
      <c r="E1009">
        <v>2845</v>
      </c>
      <c r="G1009">
        <v>2378563</v>
      </c>
      <c r="I1009" s="14">
        <f t="shared" si="371"/>
        <v>2.5852883491117584E-2</v>
      </c>
      <c r="J1009" s="15">
        <f t="shared" si="372"/>
        <v>-2.4390398563360893E-2</v>
      </c>
      <c r="K1009" s="15">
        <f t="shared" si="373"/>
        <v>-2.2336769759450203E-2</v>
      </c>
      <c r="L1009" s="15"/>
      <c r="M1009" s="16">
        <f t="shared" si="374"/>
        <v>-2.2590565670229878E-2</v>
      </c>
      <c r="O1009" s="13">
        <f t="shared" si="375"/>
        <v>-6.9580949438978372E-3</v>
      </c>
      <c r="Q1009" s="5">
        <f t="shared" si="376"/>
        <v>111447.54207871458</v>
      </c>
      <c r="R1009" s="6">
        <f t="shared" si="377"/>
        <v>147161.89545192997</v>
      </c>
      <c r="T1009" s="11">
        <f t="shared" si="378"/>
        <v>0.7573124940832161</v>
      </c>
      <c r="V1009" s="9">
        <v>45744</v>
      </c>
      <c r="W1009">
        <v>2444400</v>
      </c>
      <c r="X1009">
        <v>3613675.2184000001</v>
      </c>
      <c r="Y1009">
        <v>1660009.5645999999</v>
      </c>
      <c r="AC1009" s="24">
        <f t="shared" si="379"/>
        <v>-8.5637407859842155E-3</v>
      </c>
      <c r="AE1009" s="5">
        <f t="shared" si="380"/>
        <v>72510.197928629481</v>
      </c>
      <c r="AF1009" s="6">
        <f t="shared" si="381"/>
        <v>147161.89545192997</v>
      </c>
      <c r="AH1009" s="1">
        <f t="shared" si="382"/>
        <v>45744</v>
      </c>
      <c r="AI1009">
        <f t="shared" si="383"/>
        <v>0.49272400104628133</v>
      </c>
      <c r="AJ1009">
        <f t="shared" ca="1" si="384"/>
        <v>0.47049762384791127</v>
      </c>
      <c r="AK1009">
        <f t="shared" ca="1" si="385"/>
        <v>0.5044432149167658</v>
      </c>
      <c r="AL1009">
        <f t="shared" ca="1" si="386"/>
        <v>0.62958926642625901</v>
      </c>
      <c r="AM1009">
        <f t="shared" ca="1" si="387"/>
        <v>0.80087536791490699</v>
      </c>
      <c r="AN1009">
        <f t="shared" ca="1" si="388"/>
        <v>0.83666211594455386</v>
      </c>
    </row>
    <row r="1010" spans="2:40" x14ac:dyDescent="0.25">
      <c r="B1010" s="1">
        <v>45751</v>
      </c>
      <c r="C1010">
        <v>790.59199999999998</v>
      </c>
      <c r="D1010">
        <v>711.58</v>
      </c>
      <c r="E1010">
        <v>2640</v>
      </c>
      <c r="G1010">
        <v>2107816</v>
      </c>
      <c r="I1010" s="14">
        <f t="shared" si="371"/>
        <v>-9.1638995806284873E-2</v>
      </c>
      <c r="J1010" s="15">
        <f t="shared" si="372"/>
        <v>-7.4999187546715973E-2</v>
      </c>
      <c r="K1010" s="15">
        <f t="shared" si="373"/>
        <v>-7.2056239015817258E-2</v>
      </c>
      <c r="L1010" s="15"/>
      <c r="M1010" s="16">
        <f t="shared" si="374"/>
        <v>-0.11382797092193897</v>
      </c>
      <c r="O1010" s="13">
        <f t="shared" si="375"/>
        <v>-7.9564807456272701E-2</v>
      </c>
      <c r="Q1010" s="5">
        <f t="shared" si="376"/>
        <v>102580.23985174681</v>
      </c>
      <c r="R1010" s="6">
        <f t="shared" si="377"/>
        <v>130410.75549561027</v>
      </c>
      <c r="T1010" s="11">
        <f t="shared" si="378"/>
        <v>0.78659340222286911</v>
      </c>
      <c r="V1010" s="9">
        <v>45751</v>
      </c>
      <c r="W1010">
        <v>2220400</v>
      </c>
      <c r="X1010">
        <v>3342649.577</v>
      </c>
      <c r="Y1010">
        <v>1540395.5186000001</v>
      </c>
      <c r="AC1010" s="24">
        <f t="shared" si="379"/>
        <v>-7.96362219414537E-2</v>
      </c>
      <c r="AE1010" s="5">
        <f t="shared" si="380"/>
        <v>66735.759713366409</v>
      </c>
      <c r="AF1010" s="6">
        <f t="shared" si="381"/>
        <v>130410.75549561027</v>
      </c>
      <c r="AH1010" s="1">
        <f t="shared" si="382"/>
        <v>45751</v>
      </c>
      <c r="AI1010">
        <f t="shared" si="383"/>
        <v>0.51173509009855245</v>
      </c>
      <c r="AJ1010">
        <f t="shared" ca="1" si="384"/>
        <v>0.47049762384791127</v>
      </c>
      <c r="AK1010">
        <f t="shared" ca="1" si="385"/>
        <v>0.49195423697845758</v>
      </c>
      <c r="AL1010">
        <f t="shared" ca="1" si="386"/>
        <v>0.62694261688657926</v>
      </c>
      <c r="AM1010">
        <f t="shared" ca="1" si="387"/>
        <v>0.7998888773763142</v>
      </c>
      <c r="AN1010">
        <f t="shared" ca="1" si="388"/>
        <v>0.82740914329514303</v>
      </c>
    </row>
    <row r="1011" spans="2:40" x14ac:dyDescent="0.25">
      <c r="B1011" s="1">
        <v>45758</v>
      </c>
      <c r="C1011">
        <v>816.51400000000001</v>
      </c>
      <c r="D1011">
        <v>737.54300000000001</v>
      </c>
      <c r="E1011">
        <v>2670</v>
      </c>
      <c r="G1011">
        <v>2248803</v>
      </c>
      <c r="I1011" s="14">
        <f t="shared" si="371"/>
        <v>3.2788087913867114E-2</v>
      </c>
      <c r="J1011" s="15">
        <f t="shared" si="372"/>
        <v>3.6486410523061341E-2</v>
      </c>
      <c r="K1011" s="15">
        <f t="shared" si="373"/>
        <v>1.1363636363636465E-2</v>
      </c>
      <c r="L1011" s="15"/>
      <c r="M1011" s="16">
        <f t="shared" si="374"/>
        <v>6.6887716954421084E-2</v>
      </c>
      <c r="O1011" s="13">
        <f t="shared" si="375"/>
        <v>2.6879378266854975E-2</v>
      </c>
      <c r="Q1011" s="5">
        <f t="shared" si="376"/>
        <v>105337.53292142664</v>
      </c>
      <c r="R1011" s="6">
        <f t="shared" si="377"/>
        <v>139133.63319701285</v>
      </c>
      <c r="T1011" s="11">
        <f t="shared" si="378"/>
        <v>0.75709611329037152</v>
      </c>
      <c r="V1011" s="9">
        <v>45758</v>
      </c>
      <c r="W1011">
        <v>2293200</v>
      </c>
      <c r="X1011">
        <v>3464611.1156000001</v>
      </c>
      <c r="Y1011">
        <v>1557900.0131999999</v>
      </c>
      <c r="AC1011" s="24">
        <f t="shared" si="379"/>
        <v>2.9882465026179812E-2</v>
      </c>
      <c r="AE1011" s="5">
        <f t="shared" si="380"/>
        <v>68729.98871899661</v>
      </c>
      <c r="AF1011" s="6">
        <f t="shared" si="381"/>
        <v>139133.63319701285</v>
      </c>
      <c r="AH1011" s="1">
        <f t="shared" si="382"/>
        <v>45758</v>
      </c>
      <c r="AI1011">
        <f t="shared" si="383"/>
        <v>0.49398543788240712</v>
      </c>
      <c r="AJ1011">
        <f t="shared" ca="1" si="384"/>
        <v>0.47049762384791127</v>
      </c>
      <c r="AK1011">
        <f t="shared" ca="1" si="385"/>
        <v>0.49195423697845758</v>
      </c>
      <c r="AL1011">
        <f t="shared" ca="1" si="386"/>
        <v>0.61747303413207666</v>
      </c>
      <c r="AM1011">
        <f t="shared" ca="1" si="387"/>
        <v>0.7882541571662981</v>
      </c>
      <c r="AN1011">
        <f t="shared" ca="1" si="388"/>
        <v>0.82740914329514303</v>
      </c>
    </row>
    <row r="1012" spans="2:40" x14ac:dyDescent="0.25">
      <c r="B1012" s="1">
        <v>45765</v>
      </c>
      <c r="C1012">
        <v>758.69</v>
      </c>
      <c r="D1012">
        <v>661.577</v>
      </c>
      <c r="E1012">
        <v>2555</v>
      </c>
      <c r="G1012">
        <v>2177975</v>
      </c>
      <c r="I1012" s="14">
        <f t="shared" si="371"/>
        <v>-7.0818136614926308E-2</v>
      </c>
      <c r="J1012" s="15">
        <f t="shared" si="372"/>
        <v>-0.10299874041242341</v>
      </c>
      <c r="K1012" s="15">
        <f t="shared" si="373"/>
        <v>-4.3071161048689133E-2</v>
      </c>
      <c r="L1012" s="15"/>
      <c r="M1012" s="16">
        <f t="shared" si="374"/>
        <v>-3.1495866912308434E-2</v>
      </c>
      <c r="O1012" s="13">
        <f t="shared" si="375"/>
        <v>-7.2296012692012954E-2</v>
      </c>
      <c r="Q1012" s="5">
        <f t="shared" si="376"/>
        <v>97722.049304393848</v>
      </c>
      <c r="R1012" s="6">
        <f t="shared" si="377"/>
        <v>134751.49880281379</v>
      </c>
      <c r="T1012" s="11">
        <f t="shared" si="378"/>
        <v>0.72520194708478658</v>
      </c>
      <c r="V1012" s="9">
        <v>45765</v>
      </c>
      <c r="W1012">
        <v>2130800</v>
      </c>
      <c r="X1012">
        <v>3107760.6878</v>
      </c>
      <c r="Y1012">
        <v>1490799.4508</v>
      </c>
      <c r="AC1012" s="24">
        <f t="shared" si="379"/>
        <v>-8.0149596376080781E-2</v>
      </c>
      <c r="AE1012" s="5">
        <f t="shared" si="380"/>
        <v>63221.307864236449</v>
      </c>
      <c r="AF1012" s="6">
        <f t="shared" si="381"/>
        <v>134751.49880281379</v>
      </c>
      <c r="AH1012" s="1">
        <f t="shared" si="382"/>
        <v>45765</v>
      </c>
      <c r="AI1012">
        <f t="shared" si="383"/>
        <v>0.46916960795182122</v>
      </c>
      <c r="AJ1012">
        <f t="shared" ca="1" si="384"/>
        <v>0.47049762384791127</v>
      </c>
      <c r="AK1012">
        <f t="shared" ca="1" si="385"/>
        <v>0.49195423697845758</v>
      </c>
      <c r="AL1012">
        <f t="shared" ca="1" si="386"/>
        <v>0.60271588397562081</v>
      </c>
      <c r="AM1012">
        <f t="shared" ca="1" si="387"/>
        <v>0.77883260147804401</v>
      </c>
      <c r="AN1012">
        <f t="shared" ca="1" si="388"/>
        <v>0.81918987080246086</v>
      </c>
    </row>
    <row r="1013" spans="2:40" x14ac:dyDescent="0.25">
      <c r="B1013" s="1">
        <v>45772</v>
      </c>
      <c r="C1013">
        <v>691.89300000000003</v>
      </c>
      <c r="D1013">
        <v>619.26700000000005</v>
      </c>
      <c r="E1013">
        <v>2775</v>
      </c>
      <c r="G1013">
        <v>2225243</v>
      </c>
      <c r="I1013" s="14">
        <f t="shared" si="371"/>
        <v>-8.8042547021840334E-2</v>
      </c>
      <c r="J1013" s="15">
        <f t="shared" si="372"/>
        <v>-6.3953251095488439E-2</v>
      </c>
      <c r="K1013" s="15">
        <f t="shared" si="373"/>
        <v>8.6105675146771032E-2</v>
      </c>
      <c r="L1013" s="15"/>
      <c r="M1013" s="16">
        <f t="shared" si="374"/>
        <v>2.1702728451887587E-2</v>
      </c>
      <c r="O1013" s="13">
        <f t="shared" si="375"/>
        <v>-2.1963374323519247E-2</v>
      </c>
      <c r="Q1013" s="5">
        <f t="shared" si="376"/>
        <v>95575.743355860046</v>
      </c>
      <c r="R1013" s="6">
        <f t="shared" si="377"/>
        <v>137675.97398981612</v>
      </c>
      <c r="T1013" s="11">
        <f t="shared" si="378"/>
        <v>0.69420786057362327</v>
      </c>
      <c r="V1013" s="9">
        <v>45772</v>
      </c>
      <c r="W1013">
        <v>1943200</v>
      </c>
      <c r="X1013">
        <v>2909008.5507999999</v>
      </c>
      <c r="Y1013">
        <v>1619165.7439999999</v>
      </c>
      <c r="AC1013" s="24">
        <f t="shared" si="379"/>
        <v>-3.8337399139378135E-2</v>
      </c>
      <c r="AE1013" s="5">
        <f t="shared" si="380"/>
        <v>60797.56735053171</v>
      </c>
      <c r="AF1013" s="6">
        <f t="shared" si="381"/>
        <v>137675.97398981612</v>
      </c>
      <c r="AH1013" s="1">
        <f t="shared" si="382"/>
        <v>45772</v>
      </c>
      <c r="AI1013">
        <f t="shared" si="383"/>
        <v>0.44159896304803992</v>
      </c>
      <c r="AJ1013">
        <f t="shared" ca="1" si="384"/>
        <v>0.46929449963766179</v>
      </c>
      <c r="AK1013">
        <f t="shared" ca="1" si="385"/>
        <v>0.48901078745907917</v>
      </c>
      <c r="AL1013">
        <f t="shared" ca="1" si="386"/>
        <v>0.59166530799760331</v>
      </c>
      <c r="AM1013">
        <f t="shared" ca="1" si="387"/>
        <v>0.75559690120073464</v>
      </c>
      <c r="AN1013">
        <f t="shared" ca="1" si="388"/>
        <v>0.8143952955428605</v>
      </c>
    </row>
    <row r="1014" spans="2:40" x14ac:dyDescent="0.25">
      <c r="B1014" s="1">
        <v>45779</v>
      </c>
      <c r="C1014">
        <v>656.99900000000002</v>
      </c>
      <c r="D1014">
        <v>579.84100000000001</v>
      </c>
      <c r="E1014">
        <v>2670</v>
      </c>
      <c r="G1014">
        <v>2100844</v>
      </c>
      <c r="I1014" s="14">
        <f t="shared" si="371"/>
        <v>-5.0432653603953215E-2</v>
      </c>
      <c r="J1014" s="15">
        <f t="shared" si="372"/>
        <v>-6.3665591739911931E-2</v>
      </c>
      <c r="K1014" s="15">
        <f t="shared" si="373"/>
        <v>-3.7837837837837784E-2</v>
      </c>
      <c r="L1014" s="15"/>
      <c r="M1014" s="16">
        <f t="shared" si="374"/>
        <v>-5.5903557499113576E-2</v>
      </c>
      <c r="O1014" s="13">
        <f t="shared" si="375"/>
        <v>-5.0645361060567641E-2</v>
      </c>
      <c r="Q1014" s="5">
        <f t="shared" si="376"/>
        <v>90735.275324970367</v>
      </c>
      <c r="R1014" s="6">
        <f t="shared" si="377"/>
        <v>129979.39726162997</v>
      </c>
      <c r="T1014" s="11">
        <f t="shared" si="378"/>
        <v>0.69807428897622303</v>
      </c>
      <c r="V1014" s="9">
        <v>45779</v>
      </c>
      <c r="W1014">
        <v>1845200</v>
      </c>
      <c r="X1014">
        <v>2723807.6959000002</v>
      </c>
      <c r="Y1014">
        <v>1557900.0131999999</v>
      </c>
      <c r="AC1014" s="24">
        <f t="shared" si="379"/>
        <v>-5.3229839352237233E-2</v>
      </c>
      <c r="AE1014" s="5">
        <f t="shared" si="380"/>
        <v>57561.322607456081</v>
      </c>
      <c r="AF1014" s="6">
        <f t="shared" si="381"/>
        <v>129979.39726162997</v>
      </c>
      <c r="AH1014" s="1">
        <f t="shared" si="382"/>
        <v>45779</v>
      </c>
      <c r="AI1014">
        <f t="shared" si="383"/>
        <v>0.44284958862821433</v>
      </c>
      <c r="AJ1014">
        <f t="shared" ca="1" si="384"/>
        <v>0.46861774175716392</v>
      </c>
      <c r="AK1014">
        <f t="shared" ca="1" si="385"/>
        <v>0.4868930961639204</v>
      </c>
      <c r="AL1014">
        <f t="shared" ca="1" si="386"/>
        <v>0.58225398679056695</v>
      </c>
      <c r="AM1014">
        <f t="shared" ca="1" si="387"/>
        <v>0.73795325337970341</v>
      </c>
      <c r="AN1014">
        <f t="shared" ca="1" si="388"/>
        <v>0.81343778012082257</v>
      </c>
    </row>
    <row r="1015" spans="2:40" x14ac:dyDescent="0.25">
      <c r="B1015" s="1">
        <v>45786</v>
      </c>
      <c r="C1015">
        <v>629.08399999999995</v>
      </c>
      <c r="D1015">
        <v>568.30200000000002</v>
      </c>
      <c r="E1015">
        <v>2660</v>
      </c>
      <c r="G1015">
        <v>2114386</v>
      </c>
      <c r="I1015" s="14">
        <f t="shared" si="371"/>
        <v>-4.2488649145584811E-2</v>
      </c>
      <c r="J1015" s="15">
        <f t="shared" si="372"/>
        <v>-1.9900283008617903E-2</v>
      </c>
      <c r="K1015" s="15">
        <f t="shared" si="373"/>
        <v>-3.7453183520599342E-3</v>
      </c>
      <c r="L1015" s="15"/>
      <c r="M1015" s="16">
        <f t="shared" si="374"/>
        <v>6.4459807582095685E-3</v>
      </c>
      <c r="O1015" s="13">
        <f t="shared" si="375"/>
        <v>-2.2044750168754217E-2</v>
      </c>
      <c r="Q1015" s="5">
        <f t="shared" si="376"/>
        <v>88735.038848938275</v>
      </c>
      <c r="R1015" s="6">
        <f t="shared" si="377"/>
        <v>130817.24195534212</v>
      </c>
      <c r="T1015" s="11">
        <f t="shared" si="378"/>
        <v>0.67831302298232443</v>
      </c>
      <c r="V1015" s="9">
        <v>45786</v>
      </c>
      <c r="W1015">
        <v>1766800</v>
      </c>
      <c r="X1015">
        <v>2669602.5676000002</v>
      </c>
      <c r="Y1015">
        <v>1552065.1817000001</v>
      </c>
      <c r="AC1015" s="24">
        <f t="shared" si="379"/>
        <v>-2.2595318469933779E-2</v>
      </c>
      <c r="AE1015" s="5">
        <f t="shared" si="380"/>
        <v>56260.706191590012</v>
      </c>
      <c r="AF1015" s="6">
        <f t="shared" si="381"/>
        <v>130817.24195534212</v>
      </c>
      <c r="AH1015" s="1">
        <f t="shared" si="382"/>
        <v>45786</v>
      </c>
      <c r="AI1015">
        <f t="shared" si="383"/>
        <v>0.43007103154487902</v>
      </c>
      <c r="AJ1015">
        <f t="shared" ca="1" si="384"/>
        <v>0.45909055639060625</v>
      </c>
      <c r="AK1015">
        <f t="shared" ca="1" si="385"/>
        <v>0.48612381596340504</v>
      </c>
      <c r="AL1015">
        <f t="shared" ca="1" si="386"/>
        <v>0.57560790150232255</v>
      </c>
      <c r="AM1015">
        <f t="shared" ca="1" si="387"/>
        <v>0.72118842661664539</v>
      </c>
      <c r="AN1015">
        <f t="shared" ca="1" si="388"/>
        <v>0.80803751198209484</v>
      </c>
    </row>
    <row r="1016" spans="2:40" x14ac:dyDescent="0.25">
      <c r="B1016" s="1">
        <v>45793</v>
      </c>
      <c r="C1016">
        <v>728.78099999999995</v>
      </c>
      <c r="D1016">
        <v>627.92100000000005</v>
      </c>
      <c r="E1016">
        <v>2885</v>
      </c>
      <c r="G1016">
        <v>2318360</v>
      </c>
      <c r="I1016" s="14">
        <f t="shared" si="371"/>
        <v>0.15847963070114646</v>
      </c>
      <c r="J1016" s="15">
        <f t="shared" si="372"/>
        <v>0.10490725001847623</v>
      </c>
      <c r="K1016" s="15">
        <f t="shared" si="373"/>
        <v>8.4586466165413432E-2</v>
      </c>
      <c r="L1016" s="15"/>
      <c r="M1016" s="16">
        <f t="shared" si="374"/>
        <v>9.6469613400769871E-2</v>
      </c>
      <c r="O1016" s="13">
        <f t="shared" si="375"/>
        <v>0.11599111562834537</v>
      </c>
      <c r="Q1016" s="5">
        <f t="shared" si="376"/>
        <v>99027.515000351181</v>
      </c>
      <c r="R1016" s="6">
        <f t="shared" si="377"/>
        <v>143437.13071292895</v>
      </c>
      <c r="T1016" s="11">
        <f t="shared" si="378"/>
        <v>0.69038968158490333</v>
      </c>
      <c r="V1016" s="9">
        <v>45793</v>
      </c>
      <c r="W1016">
        <v>2046800</v>
      </c>
      <c r="X1016">
        <v>2949662.3969999999</v>
      </c>
      <c r="Y1016">
        <v>1683348.8906</v>
      </c>
      <c r="AC1016" s="24">
        <f t="shared" si="379"/>
        <v>0.11544625661399953</v>
      </c>
      <c r="AE1016" s="5">
        <f t="shared" si="380"/>
        <v>62755.794115869146</v>
      </c>
      <c r="AF1016" s="6">
        <f t="shared" si="381"/>
        <v>143437.13071292895</v>
      </c>
      <c r="AH1016" s="1">
        <f t="shared" si="382"/>
        <v>45793</v>
      </c>
      <c r="AI1016">
        <f t="shared" si="383"/>
        <v>0.43751428799469527</v>
      </c>
      <c r="AJ1016">
        <f t="shared" ca="1" si="384"/>
        <v>0.45793221171402115</v>
      </c>
      <c r="AK1016">
        <f t="shared" ca="1" si="385"/>
        <v>0.48467780421188167</v>
      </c>
      <c r="AL1016">
        <f t="shared" ca="1" si="386"/>
        <v>0.57098187916938592</v>
      </c>
      <c r="AM1016">
        <f t="shared" ca="1" si="387"/>
        <v>0.71625308607683102</v>
      </c>
      <c r="AN1016">
        <f t="shared" ca="1" si="388"/>
        <v>0.80225754715736874</v>
      </c>
    </row>
    <row r="1017" spans="2:40" x14ac:dyDescent="0.25">
      <c r="B1017" s="1">
        <v>45800</v>
      </c>
      <c r="C1017">
        <v>786.60500000000002</v>
      </c>
      <c r="D1017">
        <v>652.92200000000003</v>
      </c>
      <c r="E1017">
        <v>3195</v>
      </c>
      <c r="G1017">
        <v>2345902</v>
      </c>
      <c r="I1017" s="14">
        <f t="shared" si="371"/>
        <v>7.9343451599314552E-2</v>
      </c>
      <c r="J1017" s="15">
        <f t="shared" si="372"/>
        <v>3.9815518194167732E-2</v>
      </c>
      <c r="K1017" s="15">
        <f t="shared" si="373"/>
        <v>0.10745233968804158</v>
      </c>
      <c r="L1017" s="15"/>
      <c r="M1017" s="16">
        <f t="shared" si="374"/>
        <v>1.1879949619558738E-2</v>
      </c>
      <c r="O1017" s="13">
        <f t="shared" si="375"/>
        <v>7.5537103160507948E-2</v>
      </c>
      <c r="Q1017" s="5">
        <f t="shared" si="376"/>
        <v>106507.76661666145</v>
      </c>
      <c r="R1017" s="6">
        <f t="shared" si="377"/>
        <v>145141.1565993726</v>
      </c>
      <c r="T1017" s="11">
        <f t="shared" si="378"/>
        <v>0.73382195038345077</v>
      </c>
      <c r="V1017" s="9">
        <v>45800</v>
      </c>
      <c r="W1017">
        <v>2209200</v>
      </c>
      <c r="X1017">
        <v>3067106.8415999999</v>
      </c>
      <c r="Y1017">
        <v>1864228.6673999999</v>
      </c>
      <c r="AC1017" s="24">
        <f t="shared" si="379"/>
        <v>6.8972351244320218E-2</v>
      </c>
      <c r="AE1017" s="5">
        <f t="shared" si="380"/>
        <v>67084.208790245131</v>
      </c>
      <c r="AF1017" s="6">
        <f t="shared" si="381"/>
        <v>145141.1565993726</v>
      </c>
      <c r="AH1017" s="1">
        <f t="shared" si="382"/>
        <v>45800</v>
      </c>
      <c r="AI1017">
        <f t="shared" si="383"/>
        <v>0.46219976719225836</v>
      </c>
      <c r="AJ1017">
        <f t="shared" ca="1" si="384"/>
        <v>0.45748987951898429</v>
      </c>
      <c r="AK1017">
        <f t="shared" ca="1" si="385"/>
        <v>0.48101341274942433</v>
      </c>
      <c r="AL1017">
        <f t="shared" ca="1" si="386"/>
        <v>0.5647089460070841</v>
      </c>
      <c r="AM1017">
        <f t="shared" ca="1" si="387"/>
        <v>0.7123056013206629</v>
      </c>
      <c r="AN1017">
        <f t="shared" ca="1" si="388"/>
        <v>0.80028310942894065</v>
      </c>
    </row>
    <row r="1018" spans="2:40" x14ac:dyDescent="0.25">
      <c r="B1018" s="1">
        <v>45807</v>
      </c>
      <c r="C1018">
        <v>794.58</v>
      </c>
      <c r="D1018">
        <v>674.077</v>
      </c>
      <c r="E1018">
        <v>3045</v>
      </c>
      <c r="G1018">
        <v>2278992</v>
      </c>
      <c r="I1018" s="14">
        <f t="shared" si="371"/>
        <v>1.0138506620222421E-2</v>
      </c>
      <c r="J1018" s="15">
        <f t="shared" si="372"/>
        <v>3.2400501131834902E-2</v>
      </c>
      <c r="K1018" s="15">
        <f t="shared" si="373"/>
        <v>-4.6948356807511749E-2</v>
      </c>
      <c r="L1018" s="15"/>
      <c r="M1018" s="16">
        <f t="shared" si="374"/>
        <v>-2.8522078074872725E-2</v>
      </c>
      <c r="O1018" s="13">
        <f t="shared" si="375"/>
        <v>-1.4697830184848086E-3</v>
      </c>
      <c r="Q1018" s="5">
        <f t="shared" si="376"/>
        <v>106351.22330995154</v>
      </c>
      <c r="R1018" s="6">
        <f t="shared" si="377"/>
        <v>141001.42919896796</v>
      </c>
      <c r="T1018" s="11">
        <f t="shared" si="378"/>
        <v>0.75425634984081402</v>
      </c>
      <c r="V1018" s="9">
        <v>45807</v>
      </c>
      <c r="W1018">
        <v>2231600</v>
      </c>
      <c r="X1018">
        <v>3166482.9101</v>
      </c>
      <c r="Y1018">
        <v>1776706.1947999999</v>
      </c>
      <c r="AC1018" s="24">
        <f t="shared" si="379"/>
        <v>4.7967431612176313E-3</v>
      </c>
      <c r="AE1018" s="5">
        <f t="shared" si="380"/>
        <v>67405.994509985438</v>
      </c>
      <c r="AF1018" s="6">
        <f t="shared" si="381"/>
        <v>141001.42919896796</v>
      </c>
      <c r="AH1018" s="1">
        <f t="shared" si="382"/>
        <v>45807</v>
      </c>
      <c r="AI1018">
        <f t="shared" si="383"/>
        <v>0.47805185304092512</v>
      </c>
      <c r="AJ1018">
        <f t="shared" ca="1" si="384"/>
        <v>0.45748987951898429</v>
      </c>
      <c r="AK1018">
        <f t="shared" ca="1" si="385"/>
        <v>0.47757478818747978</v>
      </c>
      <c r="AL1018">
        <f t="shared" ca="1" si="386"/>
        <v>0.56018473192087226</v>
      </c>
      <c r="AM1018">
        <f t="shared" ca="1" si="387"/>
        <v>0.67262220510815152</v>
      </c>
      <c r="AN1018">
        <f t="shared" ca="1" si="388"/>
        <v>0.79820617066410327</v>
      </c>
    </row>
    <row r="1019" spans="2:40" x14ac:dyDescent="0.25">
      <c r="B1019" s="1">
        <v>45814</v>
      </c>
      <c r="C1019">
        <v>704.85400000000004</v>
      </c>
      <c r="D1019">
        <v>620.22799999999995</v>
      </c>
      <c r="E1019">
        <v>2880</v>
      </c>
      <c r="G1019">
        <v>2156779</v>
      </c>
      <c r="I1019" s="14">
        <f t="shared" si="371"/>
        <v>-0.11292255027813436</v>
      </c>
      <c r="J1019" s="15">
        <f t="shared" si="372"/>
        <v>-7.9885532364996958E-2</v>
      </c>
      <c r="K1019" s="15">
        <f t="shared" si="373"/>
        <v>-5.4187192118226646E-2</v>
      </c>
      <c r="L1019" s="15"/>
      <c r="M1019" s="16">
        <f t="shared" si="374"/>
        <v>-5.36259012756517E-2</v>
      </c>
      <c r="O1019" s="13">
        <f t="shared" si="375"/>
        <v>-8.2331758253785983E-2</v>
      </c>
      <c r="Q1019" s="5">
        <f t="shared" si="376"/>
        <v>97595.140102402205</v>
      </c>
      <c r="R1019" s="6">
        <f t="shared" si="377"/>
        <v>133440.10047701831</v>
      </c>
      <c r="T1019" s="11">
        <f t="shared" si="378"/>
        <v>0.73137789730014857</v>
      </c>
      <c r="V1019" s="9">
        <v>45814</v>
      </c>
      <c r="W1019">
        <v>1979600</v>
      </c>
      <c r="X1019">
        <v>2913525.6447999999</v>
      </c>
      <c r="Y1019">
        <v>1680431.4749</v>
      </c>
      <c r="AC1019" s="24">
        <f t="shared" si="379"/>
        <v>-8.3797425586119551E-2</v>
      </c>
      <c r="AE1019" s="5">
        <f t="shared" si="380"/>
        <v>61757.545700976545</v>
      </c>
      <c r="AF1019" s="6">
        <f t="shared" si="381"/>
        <v>133440.10047701831</v>
      </c>
      <c r="AH1019" s="1">
        <f t="shared" si="382"/>
        <v>45814</v>
      </c>
      <c r="AI1019">
        <f t="shared" si="383"/>
        <v>0.46281099519715008</v>
      </c>
      <c r="AJ1019">
        <f t="shared" ca="1" si="384"/>
        <v>0.45748987951898429</v>
      </c>
      <c r="AK1019">
        <f t="shared" ca="1" si="385"/>
        <v>0.47634126857746173</v>
      </c>
      <c r="AL1019">
        <f t="shared" ca="1" si="386"/>
        <v>0.5528884501385497</v>
      </c>
      <c r="AM1019">
        <f t="shared" ca="1" si="387"/>
        <v>0.65402990310189812</v>
      </c>
      <c r="AN1019">
        <f t="shared" ca="1" si="388"/>
        <v>0.7974603229055568</v>
      </c>
    </row>
    <row r="1020" spans="2:40" x14ac:dyDescent="0.25">
      <c r="B1020" s="1">
        <v>45821</v>
      </c>
      <c r="C1020">
        <v>656.00199999999995</v>
      </c>
      <c r="D1020">
        <v>597.15</v>
      </c>
      <c r="E1020">
        <v>2770</v>
      </c>
      <c r="G1020">
        <v>2127156</v>
      </c>
      <c r="I1020" s="14">
        <f t="shared" si="371"/>
        <v>-6.9307970161196608E-2</v>
      </c>
      <c r="J1020" s="15">
        <f t="shared" si="372"/>
        <v>-3.720889737322397E-2</v>
      </c>
      <c r="K1020" s="15">
        <f t="shared" si="373"/>
        <v>-3.819444444444442E-2</v>
      </c>
      <c r="L1020" s="15"/>
      <c r="M1020" s="16">
        <f t="shared" si="374"/>
        <v>-1.3734833286117909E-2</v>
      </c>
      <c r="O1020" s="13">
        <f t="shared" si="375"/>
        <v>-4.8237103992954999E-2</v>
      </c>
      <c r="Q1020" s="5">
        <f t="shared" si="376"/>
        <v>92887.433180075619</v>
      </c>
      <c r="R1020" s="6">
        <f t="shared" si="377"/>
        <v>131607.32294328362</v>
      </c>
      <c r="T1020" s="11">
        <f t="shared" si="378"/>
        <v>0.70579228497874391</v>
      </c>
      <c r="V1020" s="9">
        <v>45821</v>
      </c>
      <c r="W1020">
        <v>1842400</v>
      </c>
      <c r="X1020">
        <v>2805115.3883000002</v>
      </c>
      <c r="Y1020">
        <v>1616248.3282999999</v>
      </c>
      <c r="AC1020" s="24">
        <f t="shared" si="379"/>
        <v>-4.7127342991373632E-2</v>
      </c>
      <c r="AE1020" s="5">
        <f t="shared" si="380"/>
        <v>58847.07666242119</v>
      </c>
      <c r="AF1020" s="6">
        <f t="shared" si="381"/>
        <v>131607.32294328362</v>
      </c>
      <c r="AH1020" s="1">
        <f t="shared" si="382"/>
        <v>45821</v>
      </c>
      <c r="AI1020">
        <f t="shared" si="383"/>
        <v>0.44714135464773053</v>
      </c>
      <c r="AJ1020">
        <f t="shared" ca="1" si="384"/>
        <v>0.45748987951898429</v>
      </c>
      <c r="AK1020">
        <f t="shared" ca="1" si="385"/>
        <v>0.47101176759286029</v>
      </c>
      <c r="AL1020">
        <f t="shared" ca="1" si="386"/>
        <v>0.54349442252572255</v>
      </c>
      <c r="AM1020">
        <f t="shared" ca="1" si="387"/>
        <v>0.64637103743462243</v>
      </c>
      <c r="AN1020">
        <f t="shared" ca="1" si="388"/>
        <v>0.7741185046308855</v>
      </c>
    </row>
    <row r="1021" spans="2:40" x14ac:dyDescent="0.25">
      <c r="B1021" s="1">
        <v>45828</v>
      </c>
      <c r="C1021">
        <v>620.11199999999997</v>
      </c>
      <c r="D1021">
        <v>568.30200000000002</v>
      </c>
      <c r="E1021">
        <v>2770</v>
      </c>
      <c r="G1021">
        <v>2064099</v>
      </c>
      <c r="I1021" s="14">
        <f t="shared" si="371"/>
        <v>-5.4710199054271214E-2</v>
      </c>
      <c r="J1021" s="15">
        <f t="shared" si="372"/>
        <v>-4.8309469982416364E-2</v>
      </c>
      <c r="K1021" s="15">
        <f t="shared" si="373"/>
        <v>0</v>
      </c>
      <c r="L1021" s="15"/>
      <c r="M1021" s="16">
        <f t="shared" si="374"/>
        <v>-2.9643806096026792E-2</v>
      </c>
      <c r="O1021" s="13">
        <f t="shared" si="375"/>
        <v>-3.4339889678895862E-2</v>
      </c>
      <c r="Q1021" s="5">
        <f t="shared" si="376"/>
        <v>89697.688972116011</v>
      </c>
      <c r="R1021" s="6">
        <f t="shared" si="377"/>
        <v>127705.98098113574</v>
      </c>
      <c r="T1021" s="11">
        <f t="shared" si="378"/>
        <v>0.70237657064288805</v>
      </c>
      <c r="V1021" s="9">
        <v>45828</v>
      </c>
      <c r="W1021">
        <v>1741600</v>
      </c>
      <c r="X1021">
        <v>2669602.5676000002</v>
      </c>
      <c r="Y1021">
        <v>1616248.3282999999</v>
      </c>
      <c r="AC1021" s="24">
        <f t="shared" si="379"/>
        <v>-3.7726791602885279E-2</v>
      </c>
      <c r="AE1021" s="5">
        <f t="shared" si="380"/>
        <v>56626.96526473901</v>
      </c>
      <c r="AF1021" s="6">
        <f t="shared" si="381"/>
        <v>127705.98098113574</v>
      </c>
      <c r="AH1021" s="1">
        <f t="shared" si="382"/>
        <v>45828</v>
      </c>
      <c r="AI1021">
        <f t="shared" si="383"/>
        <v>0.44341670475953465</v>
      </c>
      <c r="AJ1021">
        <f t="shared" ca="1" si="384"/>
        <v>0.44817142391501924</v>
      </c>
      <c r="AK1021">
        <f t="shared" ca="1" si="385"/>
        <v>0.47010629559562545</v>
      </c>
      <c r="AL1021">
        <f t="shared" ca="1" si="386"/>
        <v>0.5253343614375181</v>
      </c>
      <c r="AM1021">
        <f t="shared" ca="1" si="387"/>
        <v>0.63335448930127491</v>
      </c>
      <c r="AN1021">
        <f t="shared" ca="1" si="388"/>
        <v>0.7741185046308855</v>
      </c>
    </row>
    <row r="1022" spans="2:40" x14ac:dyDescent="0.25">
      <c r="B1022" s="1">
        <v>45835</v>
      </c>
      <c r="C1022">
        <v>703.85699999999997</v>
      </c>
      <c r="D1022">
        <v>605.80399999999997</v>
      </c>
      <c r="E1022">
        <v>2720</v>
      </c>
      <c r="G1022">
        <v>2041078</v>
      </c>
      <c r="I1022" s="14">
        <f t="shared" si="371"/>
        <v>0.13504818484402814</v>
      </c>
      <c r="J1022" s="15">
        <f t="shared" si="372"/>
        <v>6.5989561887869419E-2</v>
      </c>
      <c r="K1022" s="15">
        <f t="shared" si="373"/>
        <v>-1.8050541516245522E-2</v>
      </c>
      <c r="L1022" s="15"/>
      <c r="M1022" s="16">
        <f t="shared" si="374"/>
        <v>-1.1153050313962631E-2</v>
      </c>
      <c r="O1022" s="13">
        <f t="shared" si="375"/>
        <v>6.0995735071884015E-2</v>
      </c>
      <c r="Q1022" s="5">
        <f t="shared" si="376"/>
        <v>95168.865445219446</v>
      </c>
      <c r="R1022" s="6">
        <f t="shared" si="377"/>
        <v>126281.66974985918</v>
      </c>
      <c r="T1022" s="11">
        <f t="shared" si="378"/>
        <v>0.75362374946206767</v>
      </c>
      <c r="V1022" s="9">
        <v>45835</v>
      </c>
      <c r="W1022">
        <v>1976800</v>
      </c>
      <c r="X1022">
        <v>2845769.2344999998</v>
      </c>
      <c r="Y1022">
        <v>1587074.1706999999</v>
      </c>
      <c r="AC1022" s="24">
        <f t="shared" si="379"/>
        <v>6.3408507447891116E-2</v>
      </c>
      <c r="AE1022" s="5">
        <f t="shared" si="380"/>
        <v>60217.596613479691</v>
      </c>
      <c r="AF1022" s="6">
        <f t="shared" si="381"/>
        <v>126281.66974985918</v>
      </c>
      <c r="AH1022" s="1">
        <f t="shared" si="382"/>
        <v>45835</v>
      </c>
      <c r="AI1022">
        <f t="shared" si="383"/>
        <v>0.47685144433677273</v>
      </c>
      <c r="AJ1022">
        <f t="shared" ca="1" si="384"/>
        <v>0.4442013038459029</v>
      </c>
      <c r="AK1022">
        <f t="shared" ca="1" si="385"/>
        <v>0.46901631178663861</v>
      </c>
      <c r="AL1022">
        <f t="shared" ca="1" si="386"/>
        <v>0.51055553086462235</v>
      </c>
      <c r="AM1022">
        <f t="shared" ca="1" si="387"/>
        <v>0.62955769831599906</v>
      </c>
      <c r="AN1022">
        <f t="shared" ca="1" si="388"/>
        <v>0.7741185046308855</v>
      </c>
    </row>
    <row r="1023" spans="2:40" x14ac:dyDescent="0.25">
      <c r="B1023" s="1">
        <v>45842</v>
      </c>
      <c r="C1023">
        <v>722.79899999999998</v>
      </c>
      <c r="D1023">
        <v>622.15099999999995</v>
      </c>
      <c r="E1023">
        <v>2820</v>
      </c>
      <c r="G1023">
        <v>2078697</v>
      </c>
      <c r="I1023" s="14">
        <f t="shared" si="371"/>
        <v>2.6911716442402422E-2</v>
      </c>
      <c r="J1023" s="15">
        <f t="shared" si="372"/>
        <v>2.6983975015021366E-2</v>
      </c>
      <c r="K1023" s="15">
        <f t="shared" si="373"/>
        <v>3.6764705882353033E-2</v>
      </c>
      <c r="L1023" s="15"/>
      <c r="M1023" s="16">
        <f t="shared" si="374"/>
        <v>1.8430946784003366E-2</v>
      </c>
      <c r="O1023" s="13">
        <f t="shared" si="375"/>
        <v>3.0220132446592274E-2</v>
      </c>
      <c r="Q1023" s="5">
        <f t="shared" si="376"/>
        <v>98044.881163765895</v>
      </c>
      <c r="R1023" s="6">
        <f t="shared" si="377"/>
        <v>128609.16048481392</v>
      </c>
      <c r="T1023" s="11">
        <f t="shared" si="378"/>
        <v>0.762347571465121</v>
      </c>
      <c r="V1023" s="9">
        <v>45842</v>
      </c>
      <c r="W1023">
        <v>2030000</v>
      </c>
      <c r="X1023">
        <v>2922559.8328999998</v>
      </c>
      <c r="Y1023">
        <v>1645422.4857999999</v>
      </c>
      <c r="AC1023" s="24">
        <f t="shared" si="379"/>
        <v>2.9383469590847505E-2</v>
      </c>
      <c r="AE1023" s="5">
        <f t="shared" si="380"/>
        <v>61986.998532405793</v>
      </c>
      <c r="AF1023" s="6">
        <f t="shared" si="381"/>
        <v>128609.16048481392</v>
      </c>
      <c r="AH1023" s="1">
        <f t="shared" si="382"/>
        <v>45842</v>
      </c>
      <c r="AI1023">
        <f t="shared" si="383"/>
        <v>0.48197965291690997</v>
      </c>
      <c r="AJ1023">
        <f t="shared" ca="1" si="384"/>
        <v>0.4442013038459029</v>
      </c>
      <c r="AK1023">
        <f t="shared" ca="1" si="385"/>
        <v>0.46901631178663861</v>
      </c>
      <c r="AL1023">
        <f t="shared" ca="1" si="386"/>
        <v>0.50168070475654969</v>
      </c>
      <c r="AM1023">
        <f t="shared" ca="1" si="387"/>
        <v>0.62565086022699934</v>
      </c>
      <c r="AN1023">
        <f t="shared" ca="1" si="388"/>
        <v>0.74523399713234562</v>
      </c>
    </row>
    <row r="1024" spans="2:40" x14ac:dyDescent="0.25">
      <c r="B1024" s="1">
        <v>45849</v>
      </c>
      <c r="C1024">
        <v>680.92600000000004</v>
      </c>
      <c r="D1024">
        <v>598.11099999999999</v>
      </c>
      <c r="E1024">
        <v>2700</v>
      </c>
      <c r="G1024">
        <v>2007433</v>
      </c>
      <c r="I1024" s="14">
        <f t="shared" ref="I1024:I1085" si="389">+C1024/C1023-1</f>
        <v>-5.7931734825310999E-2</v>
      </c>
      <c r="J1024" s="15">
        <f t="shared" ref="J1024:J1085" si="390">+D1024/D1023-1</f>
        <v>-3.86401372014189E-2</v>
      </c>
      <c r="K1024" s="15">
        <f t="shared" ref="K1024:K1085" si="391">+E1024/E1023-1</f>
        <v>-4.2553191489361653E-2</v>
      </c>
      <c r="L1024" s="15"/>
      <c r="M1024" s="16">
        <f t="shared" ref="M1024:M1085" si="392">+G1024/G1023-1</f>
        <v>-3.428301479243967E-2</v>
      </c>
      <c r="O1024" s="13">
        <f t="shared" ref="O1024:O1085" si="393">+AVERAGE(I1024:L1024)</f>
        <v>-4.6375021172030517E-2</v>
      </c>
      <c r="Q1024" s="5">
        <f t="shared" ref="Q1024:Q1085" si="394">+Q1023*(1+O1024)</f>
        <v>93498.047723987038</v>
      </c>
      <c r="R1024" s="6">
        <f t="shared" ref="R1024:R1085" si="395">+R1023*(1+M1024)</f>
        <v>124200.0507334698</v>
      </c>
      <c r="T1024" s="11">
        <f t="shared" ref="T1024:T1085" si="396">+Q1024/R1024</f>
        <v>0.75280200911215012</v>
      </c>
      <c r="V1024" s="9">
        <v>45849</v>
      </c>
      <c r="W1024">
        <v>1912400</v>
      </c>
      <c r="X1024">
        <v>2809632.4822999998</v>
      </c>
      <c r="Y1024">
        <v>1575404.5077</v>
      </c>
      <c r="AC1024" s="24">
        <f t="shared" ref="AC1024:AC1085" si="397">+SUMPRODUCT(I1024:L1024,W1023:Z1023)/SUM(W1023:AA1023)</f>
        <v>-4.5551427424309753E-2</v>
      </c>
      <c r="AE1024" s="5">
        <f t="shared" ref="AE1024:AE1085" si="398">+AE1023*(1+AC1024)</f>
        <v>59163.402267506113</v>
      </c>
      <c r="AF1024" s="6">
        <f t="shared" ref="AF1024:AF1085" si="399">+AF1023*(1+M1024)</f>
        <v>124200.0507334698</v>
      </c>
      <c r="AH1024" s="1">
        <f t="shared" ref="AH1024:AH1085" si="400">+B1024</f>
        <v>45849</v>
      </c>
      <c r="AI1024">
        <f t="shared" ref="AI1024:AI1085" si="401">+(AE1024/$AE$6)/(AF1024/$AF$6)</f>
        <v>0.47635570129088989</v>
      </c>
      <c r="AJ1024">
        <f t="shared" ref="AJ1024:AJ1085" ca="1" si="402">+_xlfn.PERCENTILE.INC(OFFSET(AI1024,-52,0,52,1),0.1)</f>
        <v>0.4442013038459029</v>
      </c>
      <c r="AK1024">
        <f t="shared" ref="AK1024:AK1085" ca="1" si="403">+_xlfn.PERCENTILE.INC(OFFSET(AI1024,-52,0,52,1),0.25)</f>
        <v>0.46901631178663861</v>
      </c>
      <c r="AL1024">
        <f t="shared" ref="AL1024:AL1085" ca="1" si="404">+_xlfn.PERCENTILE.INC(OFFSET(AI1024,-52,0,52,1),0.5)</f>
        <v>0.49335471946434423</v>
      </c>
      <c r="AM1024">
        <f t="shared" ref="AM1024:AM1085" ca="1" si="405">+_xlfn.PERCENTILE.INC(OFFSET(AI1024,-52,0,52,1),0.75)</f>
        <v>0.61402999941440528</v>
      </c>
      <c r="AN1024">
        <f t="shared" ref="AN1024:AN1085" ca="1" si="406">+_xlfn.PERCENTILE.INC(OFFSET(AI1024,-52,0,52,1),0.9)</f>
        <v>0.71557770291447353</v>
      </c>
    </row>
    <row r="1025" spans="2:40" x14ac:dyDescent="0.25">
      <c r="B1025" s="1">
        <v>45856</v>
      </c>
      <c r="C1025">
        <v>720.80499999999995</v>
      </c>
      <c r="D1025">
        <v>631.76700000000005</v>
      </c>
      <c r="E1025">
        <v>2735</v>
      </c>
      <c r="G1025">
        <v>2075286</v>
      </c>
      <c r="I1025" s="14">
        <f t="shared" si="389"/>
        <v>5.8565835347746953E-2</v>
      </c>
      <c r="J1025" s="15">
        <f t="shared" si="390"/>
        <v>5.6270491597713468E-2</v>
      </c>
      <c r="K1025" s="15">
        <f t="shared" si="391"/>
        <v>1.2962962962963065E-2</v>
      </c>
      <c r="L1025" s="15"/>
      <c r="M1025" s="16">
        <f t="shared" si="392"/>
        <v>3.3800879033073494E-2</v>
      </c>
      <c r="O1025" s="13">
        <f t="shared" si="393"/>
        <v>4.2599763302807826E-2</v>
      </c>
      <c r="Q1025" s="5">
        <f t="shared" si="394"/>
        <v>97481.042426303524</v>
      </c>
      <c r="R1025" s="6">
        <f t="shared" si="395"/>
        <v>128398.12162421341</v>
      </c>
      <c r="T1025" s="11">
        <f t="shared" si="396"/>
        <v>0.75920925628183389</v>
      </c>
      <c r="V1025" s="9">
        <v>45856</v>
      </c>
      <c r="W1025">
        <v>2024400</v>
      </c>
      <c r="X1025">
        <v>2967730.7730999999</v>
      </c>
      <c r="Y1025">
        <v>1595826.4180000001</v>
      </c>
      <c r="AC1025" s="24">
        <f t="shared" si="397"/>
        <v>4.6133469100729567E-2</v>
      </c>
      <c r="AE1025" s="5">
        <f t="shared" si="398"/>
        <v>61892.815257908143</v>
      </c>
      <c r="AF1025" s="6">
        <f t="shared" si="399"/>
        <v>128398.12162421341</v>
      </c>
      <c r="AH1025" s="1">
        <f t="shared" si="400"/>
        <v>45856</v>
      </c>
      <c r="AI1025">
        <f t="shared" si="401"/>
        <v>0.48203832326341728</v>
      </c>
      <c r="AJ1025">
        <f t="shared" ca="1" si="402"/>
        <v>0.4442013038459029</v>
      </c>
      <c r="AK1025">
        <f t="shared" ca="1" si="403"/>
        <v>0.46901631178663861</v>
      </c>
      <c r="AL1025">
        <f t="shared" ca="1" si="404"/>
        <v>0.49118447291063383</v>
      </c>
      <c r="AM1025">
        <f t="shared" ca="1" si="405"/>
        <v>0.59878034361506438</v>
      </c>
      <c r="AN1025">
        <f t="shared" ca="1" si="406"/>
        <v>0.70592378129439104</v>
      </c>
    </row>
    <row r="1026" spans="2:40" x14ac:dyDescent="0.25">
      <c r="B1026" s="1">
        <v>45863</v>
      </c>
      <c r="C1026">
        <v>708.84100000000001</v>
      </c>
      <c r="D1026">
        <v>634.65200000000004</v>
      </c>
      <c r="E1026">
        <v>3010</v>
      </c>
      <c r="G1026">
        <v>2197099</v>
      </c>
      <c r="I1026" s="14">
        <f t="shared" si="389"/>
        <v>-1.6598109058621913E-2</v>
      </c>
      <c r="J1026" s="15">
        <f t="shared" si="390"/>
        <v>4.566556974327618E-3</v>
      </c>
      <c r="K1026" s="15">
        <f t="shared" si="391"/>
        <v>0.10054844606946989</v>
      </c>
      <c r="L1026" s="15"/>
      <c r="M1026" s="16">
        <f t="shared" si="392"/>
        <v>5.8696969959803225E-2</v>
      </c>
      <c r="O1026" s="13">
        <f t="shared" si="393"/>
        <v>2.9505631328391863E-2</v>
      </c>
      <c r="Q1026" s="5">
        <f t="shared" si="394"/>
        <v>100357.28212564136</v>
      </c>
      <c r="R1026" s="6">
        <f t="shared" si="395"/>
        <v>135934.70231208502</v>
      </c>
      <c r="T1026" s="11">
        <f t="shared" si="396"/>
        <v>0.7382756604361157</v>
      </c>
      <c r="V1026" s="9">
        <v>45863</v>
      </c>
      <c r="W1026">
        <v>1990800</v>
      </c>
      <c r="X1026">
        <v>2981282.0551999998</v>
      </c>
      <c r="Y1026">
        <v>1756284.2845000001</v>
      </c>
      <c r="AC1026" s="24">
        <f t="shared" si="397"/>
        <v>2.1312974892694524E-2</v>
      </c>
      <c r="AE1026" s="5">
        <f t="shared" si="398"/>
        <v>63211.935275538126</v>
      </c>
      <c r="AF1026" s="6">
        <f t="shared" si="399"/>
        <v>135934.70231208502</v>
      </c>
      <c r="AH1026" s="1">
        <f t="shared" si="400"/>
        <v>45863</v>
      </c>
      <c r="AI1026">
        <f t="shared" si="401"/>
        <v>0.46501691032811698</v>
      </c>
      <c r="AJ1026">
        <f t="shared" ca="1" si="402"/>
        <v>0.4442013038459029</v>
      </c>
      <c r="AK1026">
        <f t="shared" ca="1" si="403"/>
        <v>0.46901631178663861</v>
      </c>
      <c r="AL1026">
        <f t="shared" ca="1" si="404"/>
        <v>0.48837663014317206</v>
      </c>
      <c r="AM1026">
        <f t="shared" ca="1" si="405"/>
        <v>0.5900755603691511</v>
      </c>
      <c r="AN1026">
        <f t="shared" ca="1" si="406"/>
        <v>0.65904270611190452</v>
      </c>
    </row>
    <row r="1027" spans="2:40" x14ac:dyDescent="0.25">
      <c r="B1027" s="1">
        <v>45870</v>
      </c>
      <c r="C1027">
        <v>771.65</v>
      </c>
      <c r="D1027">
        <v>649.07600000000002</v>
      </c>
      <c r="E1027">
        <v>3185</v>
      </c>
      <c r="G1027">
        <v>2278849</v>
      </c>
      <c r="I1027" s="14">
        <f t="shared" si="389"/>
        <v>8.8608023520084123E-2</v>
      </c>
      <c r="J1027" s="15">
        <f t="shared" si="390"/>
        <v>2.2727415969696851E-2</v>
      </c>
      <c r="K1027" s="15">
        <f t="shared" si="391"/>
        <v>5.8139534883721034E-2</v>
      </c>
      <c r="L1027" s="15"/>
      <c r="M1027" s="16">
        <f t="shared" si="392"/>
        <v>3.7208154935212345E-2</v>
      </c>
      <c r="O1027" s="13">
        <f t="shared" si="393"/>
        <v>5.6491658124500667E-2</v>
      </c>
      <c r="Q1027" s="5">
        <f t="shared" si="394"/>
        <v>106026.63139778716</v>
      </c>
      <c r="R1027" s="6">
        <f t="shared" si="395"/>
        <v>140992.58177678505</v>
      </c>
      <c r="T1027" s="11">
        <f t="shared" si="396"/>
        <v>0.75200148874247252</v>
      </c>
      <c r="V1027" s="9">
        <v>45870</v>
      </c>
      <c r="W1027">
        <v>2167200</v>
      </c>
      <c r="X1027">
        <v>3049038.4654999999</v>
      </c>
      <c r="Y1027">
        <v>1858393.8359000001</v>
      </c>
      <c r="AC1027" s="24">
        <f t="shared" si="397"/>
        <v>5.1463791440221215E-2</v>
      </c>
      <c r="AE1027" s="5">
        <f t="shared" si="398"/>
        <v>66465.061129091177</v>
      </c>
      <c r="AF1027" s="6">
        <f t="shared" si="399"/>
        <v>140992.58177678505</v>
      </c>
      <c r="AH1027" s="1">
        <f t="shared" si="400"/>
        <v>45870</v>
      </c>
      <c r="AI1027">
        <f t="shared" si="401"/>
        <v>0.47140821376202996</v>
      </c>
      <c r="AJ1027">
        <f t="shared" ca="1" si="402"/>
        <v>0.4442013038459029</v>
      </c>
      <c r="AK1027">
        <f t="shared" ca="1" si="403"/>
        <v>0.46767154505034741</v>
      </c>
      <c r="AL1027">
        <f t="shared" ca="1" si="404"/>
        <v>0.48667787681648289</v>
      </c>
      <c r="AM1027">
        <f t="shared" ca="1" si="405"/>
        <v>0.57913807381550086</v>
      </c>
      <c r="AN1027">
        <f t="shared" ca="1" si="406"/>
        <v>0.65133778667625919</v>
      </c>
    </row>
    <row r="1028" spans="2:40" x14ac:dyDescent="0.25">
      <c r="B1028" s="1">
        <v>45877</v>
      </c>
      <c r="C1028">
        <v>727.78399999999999</v>
      </c>
      <c r="D1028">
        <v>608.68899999999996</v>
      </c>
      <c r="E1028">
        <v>3035</v>
      </c>
      <c r="G1028">
        <v>2300926</v>
      </c>
      <c r="I1028" s="14">
        <f t="shared" si="389"/>
        <v>-5.6847016134257689E-2</v>
      </c>
      <c r="J1028" s="15">
        <f t="shared" si="390"/>
        <v>-6.2222297542968819E-2</v>
      </c>
      <c r="K1028" s="15">
        <f t="shared" si="391"/>
        <v>-4.7095761381475643E-2</v>
      </c>
      <c r="L1028" s="15"/>
      <c r="M1028" s="16">
        <f t="shared" si="392"/>
        <v>9.6877853688419613E-3</v>
      </c>
      <c r="O1028" s="13">
        <f t="shared" si="393"/>
        <v>-5.5388358352900714E-2</v>
      </c>
      <c r="Q1028" s="5">
        <f t="shared" si="394"/>
        <v>100153.99034297561</v>
      </c>
      <c r="R1028" s="6">
        <f t="shared" si="395"/>
        <v>142358.48764763743</v>
      </c>
      <c r="T1028" s="11">
        <f t="shared" si="396"/>
        <v>0.70353367753438445</v>
      </c>
      <c r="V1028" s="9">
        <v>45877</v>
      </c>
      <c r="W1028">
        <v>2044000</v>
      </c>
      <c r="X1028">
        <v>2859320.5166000002</v>
      </c>
      <c r="Y1028">
        <v>1770871.3633000001</v>
      </c>
      <c r="AC1028" s="24">
        <f t="shared" si="397"/>
        <v>-5.6602164971255101E-2</v>
      </c>
      <c r="AE1028" s="5">
        <f t="shared" si="398"/>
        <v>62702.994774237799</v>
      </c>
      <c r="AF1028" s="6">
        <f t="shared" si="399"/>
        <v>142358.48764763743</v>
      </c>
      <c r="AH1028" s="1">
        <f t="shared" si="400"/>
        <v>45877</v>
      </c>
      <c r="AI1028">
        <f t="shared" si="401"/>
        <v>0.44045842162526239</v>
      </c>
      <c r="AJ1028">
        <f t="shared" ca="1" si="402"/>
        <v>0.4442013038459029</v>
      </c>
      <c r="AK1028">
        <f t="shared" ca="1" si="403"/>
        <v>0.46767154505034741</v>
      </c>
      <c r="AL1028">
        <f t="shared" ca="1" si="404"/>
        <v>0.48600019380520204</v>
      </c>
      <c r="AM1028">
        <f t="shared" ca="1" si="405"/>
        <v>0.57540077183326632</v>
      </c>
      <c r="AN1028">
        <f t="shared" ca="1" si="406"/>
        <v>0.64297991460296389</v>
      </c>
    </row>
    <row r="1029" spans="2:40" x14ac:dyDescent="0.25">
      <c r="B1029" s="1">
        <v>45884</v>
      </c>
      <c r="C1029">
        <v>705.851</v>
      </c>
      <c r="D1029">
        <v>585.61099999999999</v>
      </c>
      <c r="E1029">
        <v>2815</v>
      </c>
      <c r="G1029">
        <v>2188543</v>
      </c>
      <c r="I1029" s="14">
        <f t="shared" si="389"/>
        <v>-3.0136688907697828E-2</v>
      </c>
      <c r="J1029" s="15">
        <f t="shared" si="390"/>
        <v>-3.7914271491681251E-2</v>
      </c>
      <c r="K1029" s="15">
        <f t="shared" si="391"/>
        <v>-7.2487644151565056E-2</v>
      </c>
      <c r="L1029" s="15"/>
      <c r="M1029" s="16">
        <f t="shared" si="392"/>
        <v>-4.8842509494003705E-2</v>
      </c>
      <c r="O1029" s="13">
        <f t="shared" si="393"/>
        <v>-4.6846201516981378E-2</v>
      </c>
      <c r="Q1029" s="5">
        <f t="shared" si="394"/>
        <v>95462.156328638768</v>
      </c>
      <c r="R1029" s="6">
        <f t="shared" si="395"/>
        <v>135405.34186315569</v>
      </c>
      <c r="T1029" s="11">
        <f t="shared" si="396"/>
        <v>0.70501026780106957</v>
      </c>
      <c r="V1029" s="9">
        <v>45884</v>
      </c>
      <c r="W1029">
        <v>1982400</v>
      </c>
      <c r="X1029">
        <v>2750910.26</v>
      </c>
      <c r="Y1029">
        <v>1642505.0700999999</v>
      </c>
      <c r="AC1029" s="24">
        <f t="shared" si="397"/>
        <v>-4.4705747911610666E-2</v>
      </c>
      <c r="AE1029" s="5">
        <f t="shared" si="398"/>
        <v>59899.810496557686</v>
      </c>
      <c r="AF1029" s="6">
        <f t="shared" si="399"/>
        <v>135405.34186315569</v>
      </c>
      <c r="AH1029" s="1">
        <f t="shared" si="400"/>
        <v>45884</v>
      </c>
      <c r="AI1029">
        <f t="shared" si="401"/>
        <v>0.44237405756926534</v>
      </c>
      <c r="AJ1029">
        <f t="shared" ca="1" si="402"/>
        <v>0.44346249743704008</v>
      </c>
      <c r="AK1029">
        <f t="shared" ca="1" si="403"/>
        <v>0.46446543154537523</v>
      </c>
      <c r="AL1029">
        <f t="shared" ca="1" si="404"/>
        <v>0.48389563637610666</v>
      </c>
      <c r="AM1029">
        <f t="shared" ca="1" si="405"/>
        <v>0.56887599767197394</v>
      </c>
      <c r="AN1029">
        <f t="shared" ca="1" si="406"/>
        <v>0.62963977540267513</v>
      </c>
    </row>
    <row r="1030" spans="2:40" x14ac:dyDescent="0.25">
      <c r="B1030" s="1">
        <v>45891</v>
      </c>
      <c r="C1030">
        <v>689.899</v>
      </c>
      <c r="D1030">
        <v>576.95600000000002</v>
      </c>
      <c r="E1030">
        <v>2705</v>
      </c>
      <c r="G1030">
        <v>2106200</v>
      </c>
      <c r="I1030" s="14">
        <f t="shared" si="389"/>
        <v>-2.2599670468696598E-2</v>
      </c>
      <c r="J1030" s="15">
        <f t="shared" si="390"/>
        <v>-1.4779435495576365E-2</v>
      </c>
      <c r="K1030" s="15">
        <f t="shared" si="391"/>
        <v>-3.9076376554174064E-2</v>
      </c>
      <c r="L1030" s="15"/>
      <c r="M1030" s="16">
        <f t="shared" si="392"/>
        <v>-3.7624574888407536E-2</v>
      </c>
      <c r="O1030" s="13">
        <f t="shared" si="393"/>
        <v>-2.5485160839482341E-2</v>
      </c>
      <c r="Q1030" s="5">
        <f t="shared" si="394"/>
        <v>93029.287920519593</v>
      </c>
      <c r="R1030" s="6">
        <f t="shared" si="395"/>
        <v>130310.77343793496</v>
      </c>
      <c r="T1030" s="11">
        <f t="shared" si="396"/>
        <v>0.71390327496466</v>
      </c>
      <c r="V1030" s="9">
        <v>45891</v>
      </c>
      <c r="W1030">
        <v>1937600</v>
      </c>
      <c r="X1030">
        <v>2710256.4138000002</v>
      </c>
      <c r="Y1030">
        <v>1578321.9235</v>
      </c>
      <c r="AC1030" s="24">
        <f t="shared" si="397"/>
        <v>-2.3470195785603783E-2</v>
      </c>
      <c r="AE1030" s="5">
        <f t="shared" si="398"/>
        <v>58493.950216682912</v>
      </c>
      <c r="AF1030" s="6">
        <f t="shared" si="399"/>
        <v>130310.77343793496</v>
      </c>
      <c r="AH1030" s="1">
        <f t="shared" si="400"/>
        <v>45891</v>
      </c>
      <c r="AI1030">
        <f t="shared" si="401"/>
        <v>0.44888038550813064</v>
      </c>
      <c r="AJ1030">
        <f t="shared" ca="1" si="402"/>
        <v>0.44290630024134636</v>
      </c>
      <c r="AK1030">
        <f t="shared" ca="1" si="403"/>
        <v>0.46265818819592713</v>
      </c>
      <c r="AL1030">
        <f t="shared" ca="1" si="404"/>
        <v>0.48200898809016363</v>
      </c>
      <c r="AM1030">
        <f t="shared" ca="1" si="405"/>
        <v>0.56367836092334522</v>
      </c>
      <c r="AN1030">
        <f t="shared" ca="1" si="406"/>
        <v>0.62900942754190703</v>
      </c>
    </row>
    <row r="1031" spans="2:40" x14ac:dyDescent="0.25">
      <c r="B1031" s="1">
        <v>45898</v>
      </c>
      <c r="C1031">
        <v>720.80499999999995</v>
      </c>
      <c r="D1031">
        <v>548.10900000000004</v>
      </c>
      <c r="E1031">
        <v>2530</v>
      </c>
      <c r="G1031">
        <v>1984845</v>
      </c>
      <c r="I1031" s="14">
        <f t="shared" si="389"/>
        <v>4.4797861715990317E-2</v>
      </c>
      <c r="J1031" s="15">
        <f t="shared" si="390"/>
        <v>-4.9998613412461257E-2</v>
      </c>
      <c r="K1031" s="15">
        <f t="shared" si="391"/>
        <v>-6.4695009242144219E-2</v>
      </c>
      <c r="L1031" s="15"/>
      <c r="M1031" s="16">
        <f t="shared" si="392"/>
        <v>-5.7617984996676475E-2</v>
      </c>
      <c r="O1031" s="13">
        <f t="shared" si="393"/>
        <v>-2.3298586979538388E-2</v>
      </c>
      <c r="Q1031" s="5">
        <f t="shared" si="394"/>
        <v>90861.836964258851</v>
      </c>
      <c r="R1031" s="6">
        <f t="shared" si="395"/>
        <v>122802.52924908271</v>
      </c>
      <c r="T1031" s="11">
        <f t="shared" si="396"/>
        <v>0.73990199973782345</v>
      </c>
      <c r="V1031" s="9">
        <v>45898</v>
      </c>
      <c r="W1031">
        <v>2024400</v>
      </c>
      <c r="X1031">
        <v>2574743.5931000002</v>
      </c>
      <c r="Y1031">
        <v>1476212.372</v>
      </c>
      <c r="AC1031" s="24">
        <f t="shared" si="397"/>
        <v>-2.4223250456176477E-2</v>
      </c>
      <c r="AE1031" s="5">
        <f t="shared" si="398"/>
        <v>57077.036610413081</v>
      </c>
      <c r="AF1031" s="6">
        <f t="shared" si="399"/>
        <v>122802.52924908271</v>
      </c>
      <c r="AH1031" s="1">
        <f t="shared" si="400"/>
        <v>45898</v>
      </c>
      <c r="AI1031">
        <f t="shared" si="401"/>
        <v>0.46478714208436739</v>
      </c>
      <c r="AJ1031">
        <f t="shared" ca="1" si="402"/>
        <v>0.44290630024134636</v>
      </c>
      <c r="AK1031">
        <f t="shared" ca="1" si="403"/>
        <v>0.46115952374460967</v>
      </c>
      <c r="AL1031">
        <f t="shared" ca="1" si="404"/>
        <v>0.48171601064902414</v>
      </c>
      <c r="AM1031">
        <f t="shared" ca="1" si="405"/>
        <v>0.55895320996150522</v>
      </c>
      <c r="AN1031">
        <f t="shared" ca="1" si="406"/>
        <v>0.62298188968035084</v>
      </c>
    </row>
    <row r="1032" spans="2:40" x14ac:dyDescent="0.25">
      <c r="B1032" s="1">
        <v>45905</v>
      </c>
      <c r="C1032">
        <v>683.91700000000003</v>
      </c>
      <c r="D1032">
        <v>490.41300000000001</v>
      </c>
      <c r="E1032">
        <v>2490</v>
      </c>
      <c r="G1032">
        <v>1997624</v>
      </c>
      <c r="I1032" s="14">
        <f t="shared" si="389"/>
        <v>-5.117611559298274E-2</v>
      </c>
      <c r="J1032" s="15">
        <f t="shared" si="390"/>
        <v>-0.10526373403830269</v>
      </c>
      <c r="K1032" s="15">
        <f t="shared" si="391"/>
        <v>-1.5810276679841917E-2</v>
      </c>
      <c r="L1032" s="15"/>
      <c r="M1032" s="16">
        <f t="shared" si="392"/>
        <v>6.4382861130214408E-3</v>
      </c>
      <c r="O1032" s="13">
        <f t="shared" si="393"/>
        <v>-5.7416708770375781E-2</v>
      </c>
      <c r="Q1032" s="5">
        <f t="shared" si="394"/>
        <v>85644.849332940634</v>
      </c>
      <c r="R1032" s="6">
        <f t="shared" si="395"/>
        <v>123593.16706779099</v>
      </c>
      <c r="T1032" s="11">
        <f t="shared" si="396"/>
        <v>0.69295780150988717</v>
      </c>
      <c r="V1032" s="9">
        <v>45905</v>
      </c>
      <c r="W1032">
        <v>1920800</v>
      </c>
      <c r="X1032">
        <v>2303717.9517000001</v>
      </c>
      <c r="Y1032">
        <v>1452873.0460000001</v>
      </c>
      <c r="AC1032" s="24">
        <f t="shared" si="397"/>
        <v>-6.550519533884E-2</v>
      </c>
      <c r="AE1032" s="5">
        <f t="shared" si="398"/>
        <v>53338.194177885845</v>
      </c>
      <c r="AF1032" s="6">
        <f t="shared" si="399"/>
        <v>123593.16706779099</v>
      </c>
      <c r="AH1032" s="1">
        <f t="shared" si="400"/>
        <v>45905</v>
      </c>
      <c r="AI1032">
        <f t="shared" si="401"/>
        <v>0.43156264576204117</v>
      </c>
      <c r="AJ1032">
        <f t="shared" ca="1" si="402"/>
        <v>0.44290630024134636</v>
      </c>
      <c r="AK1032">
        <f t="shared" ca="1" si="403"/>
        <v>0.46115952374460967</v>
      </c>
      <c r="AL1032">
        <f t="shared" ca="1" si="404"/>
        <v>0.48057445711771041</v>
      </c>
      <c r="AM1032">
        <f t="shared" ca="1" si="405"/>
        <v>0.55047183120675547</v>
      </c>
      <c r="AN1032">
        <f t="shared" ca="1" si="406"/>
        <v>0.60901274855251131</v>
      </c>
    </row>
    <row r="1033" spans="2:40" x14ac:dyDescent="0.25">
      <c r="B1033" s="1">
        <v>45912</v>
      </c>
      <c r="C1033">
        <v>663.97799999999995</v>
      </c>
      <c r="D1033">
        <v>519.26099999999997</v>
      </c>
      <c r="E1033">
        <v>2240</v>
      </c>
      <c r="G1033">
        <v>1759874</v>
      </c>
      <c r="I1033" s="14">
        <f t="shared" si="389"/>
        <v>-2.91541225031694E-2</v>
      </c>
      <c r="J1033" s="15">
        <f t="shared" si="390"/>
        <v>5.8823889252527906E-2</v>
      </c>
      <c r="K1033" s="15">
        <f t="shared" si="391"/>
        <v>-0.10040160642570284</v>
      </c>
      <c r="L1033" s="15"/>
      <c r="M1033" s="16">
        <f t="shared" si="392"/>
        <v>-0.11901639147306997</v>
      </c>
      <c r="O1033" s="13">
        <f t="shared" si="393"/>
        <v>-2.3577279892114777E-2</v>
      </c>
      <c r="Q1033" s="5">
        <f t="shared" si="394"/>
        <v>83625.576748899897</v>
      </c>
      <c r="R1033" s="6">
        <f t="shared" si="395"/>
        <v>108883.55431265423</v>
      </c>
      <c r="T1033" s="11">
        <f t="shared" si="396"/>
        <v>0.7680276169968957</v>
      </c>
      <c r="V1033" s="9">
        <v>45912</v>
      </c>
      <c r="W1033">
        <v>1864800</v>
      </c>
      <c r="X1033">
        <v>2439230.7724000001</v>
      </c>
      <c r="Y1033">
        <v>1307002.2582</v>
      </c>
      <c r="AC1033" s="24">
        <f t="shared" si="397"/>
        <v>-1.1687829255042083E-2</v>
      </c>
      <c r="AE1033" s="5">
        <f t="shared" si="398"/>
        <v>52714.786471562438</v>
      </c>
      <c r="AF1033" s="6">
        <f t="shared" si="399"/>
        <v>108883.55431265423</v>
      </c>
      <c r="AH1033" s="1">
        <f t="shared" si="400"/>
        <v>45912</v>
      </c>
      <c r="AI1033">
        <f t="shared" si="401"/>
        <v>0.4841391044252128</v>
      </c>
      <c r="AJ1033">
        <f t="shared" ca="1" si="402"/>
        <v>0.44242161067516023</v>
      </c>
      <c r="AK1033">
        <f t="shared" ca="1" si="403"/>
        <v>0.45800918737731838</v>
      </c>
      <c r="AL1033">
        <f t="shared" ca="1" si="404"/>
        <v>0.47887419944760384</v>
      </c>
      <c r="AM1033">
        <f t="shared" ca="1" si="405"/>
        <v>0.54121402765110316</v>
      </c>
      <c r="AN1033">
        <f t="shared" ca="1" si="406"/>
        <v>0.59420890420312689</v>
      </c>
    </row>
    <row r="1034" spans="2:40" x14ac:dyDescent="0.25">
      <c r="B1034" s="1">
        <v>45919</v>
      </c>
      <c r="C1034">
        <v>651.01700000000005</v>
      </c>
      <c r="D1034">
        <v>529.83799999999997</v>
      </c>
      <c r="E1034">
        <v>2229</v>
      </c>
      <c r="G1034">
        <v>1683960</v>
      </c>
      <c r="I1034" s="14">
        <f t="shared" si="389"/>
        <v>-1.9520225067697905E-2</v>
      </c>
      <c r="J1034" s="15">
        <f t="shared" si="390"/>
        <v>2.0369332570711052E-2</v>
      </c>
      <c r="K1034" s="15">
        <f t="shared" si="391"/>
        <v>-4.9107142857143238E-3</v>
      </c>
      <c r="L1034" s="15"/>
      <c r="M1034" s="16">
        <f t="shared" si="392"/>
        <v>-4.3136042693965537E-2</v>
      </c>
      <c r="O1034" s="13">
        <f t="shared" si="393"/>
        <v>-1.353868927567059E-3</v>
      </c>
      <c r="Q1034" s="5">
        <f t="shared" si="394"/>
        <v>83512.358678989694</v>
      </c>
      <c r="R1034" s="6">
        <f t="shared" si="395"/>
        <v>104186.74866515286</v>
      </c>
      <c r="T1034" s="11">
        <f t="shared" si="396"/>
        <v>0.80156411202917122</v>
      </c>
      <c r="V1034" s="9">
        <v>45919</v>
      </c>
      <c r="W1034">
        <v>1828400</v>
      </c>
      <c r="X1034">
        <v>2488918.8067000001</v>
      </c>
      <c r="Y1034">
        <v>1300583.9436000001</v>
      </c>
      <c r="AC1034" s="24">
        <f t="shared" si="397"/>
        <v>1.223637860486296E-3</v>
      </c>
      <c r="AE1034" s="5">
        <f t="shared" si="398"/>
        <v>52779.290280096502</v>
      </c>
      <c r="AF1034" s="6">
        <f t="shared" si="399"/>
        <v>104186.74866515286</v>
      </c>
      <c r="AH1034" s="1">
        <f t="shared" si="400"/>
        <v>45919</v>
      </c>
      <c r="AI1034">
        <f t="shared" si="401"/>
        <v>0.506583523877154</v>
      </c>
      <c r="AJ1034">
        <f t="shared" ca="1" si="402"/>
        <v>0.44242161067516023</v>
      </c>
      <c r="AK1034">
        <f t="shared" ca="1" si="403"/>
        <v>0.45800918737731838</v>
      </c>
      <c r="AL1034">
        <f t="shared" ca="1" si="404"/>
        <v>0.47887419944760384</v>
      </c>
      <c r="AM1034">
        <f t="shared" ca="1" si="405"/>
        <v>0.51853472576803528</v>
      </c>
      <c r="AN1034">
        <f t="shared" ca="1" si="406"/>
        <v>0.58723944755067248</v>
      </c>
    </row>
    <row r="1035" spans="2:40" x14ac:dyDescent="0.25">
      <c r="B1035" s="1">
        <v>45926</v>
      </c>
      <c r="C1035">
        <v>660.48900000000003</v>
      </c>
      <c r="D1035">
        <v>545.22400000000005</v>
      </c>
      <c r="E1035">
        <v>2243</v>
      </c>
      <c r="G1035">
        <v>1791046</v>
      </c>
      <c r="I1035" s="14">
        <f t="shared" si="389"/>
        <v>1.4549543253094654E-2</v>
      </c>
      <c r="J1035" s="15">
        <f t="shared" si="390"/>
        <v>2.9039064770741474E-2</v>
      </c>
      <c r="K1035" s="15">
        <f t="shared" si="391"/>
        <v>6.28084342754609E-3</v>
      </c>
      <c r="L1035" s="15"/>
      <c r="M1035" s="16">
        <f t="shared" si="392"/>
        <v>6.3591771776051687E-2</v>
      </c>
      <c r="O1035" s="13">
        <f t="shared" si="393"/>
        <v>1.6623150483794074E-2</v>
      </c>
      <c r="Q1035" s="5">
        <f t="shared" si="394"/>
        <v>84900.59718456713</v>
      </c>
      <c r="R1035" s="6">
        <f t="shared" si="395"/>
        <v>110812.16860835612</v>
      </c>
      <c r="T1035" s="11">
        <f t="shared" si="396"/>
        <v>0.76616673286696191</v>
      </c>
      <c r="V1035" s="9">
        <v>45926</v>
      </c>
      <c r="W1035">
        <v>1855000</v>
      </c>
      <c r="X1035">
        <v>2561192.3110000002</v>
      </c>
      <c r="Y1035">
        <v>1308752.7076999999</v>
      </c>
      <c r="AC1035" s="24">
        <f t="shared" si="397"/>
        <v>1.905462379697687E-2</v>
      </c>
      <c r="AE1035" s="5">
        <f t="shared" si="398"/>
        <v>53784.979800655179</v>
      </c>
      <c r="AF1035" s="6">
        <f t="shared" si="399"/>
        <v>110812.16860835612</v>
      </c>
      <c r="AH1035" s="1">
        <f t="shared" si="400"/>
        <v>45926</v>
      </c>
      <c r="AI1035">
        <f t="shared" si="401"/>
        <v>0.48537069959119417</v>
      </c>
      <c r="AJ1035">
        <f t="shared" ca="1" si="402"/>
        <v>0.44242161067516023</v>
      </c>
      <c r="AK1035">
        <f t="shared" ca="1" si="403"/>
        <v>0.45800918737731838</v>
      </c>
      <c r="AL1035">
        <f t="shared" ca="1" si="404"/>
        <v>0.47887419944760384</v>
      </c>
      <c r="AM1035">
        <f t="shared" ca="1" si="405"/>
        <v>0.50996575124765742</v>
      </c>
      <c r="AN1035">
        <f t="shared" ca="1" si="406"/>
        <v>0.57593930897281242</v>
      </c>
    </row>
    <row r="1036" spans="2:40" x14ac:dyDescent="0.25">
      <c r="B1036" s="1">
        <v>45933</v>
      </c>
      <c r="C1036">
        <v>756.69600000000003</v>
      </c>
      <c r="D1036">
        <v>632.24800000000005</v>
      </c>
      <c r="E1036">
        <v>2273</v>
      </c>
      <c r="G1036">
        <v>1805024</v>
      </c>
      <c r="I1036" s="14">
        <f t="shared" si="389"/>
        <v>0.14566026080676586</v>
      </c>
      <c r="J1036" s="15">
        <f t="shared" si="390"/>
        <v>0.1596114624447933</v>
      </c>
      <c r="K1036" s="15">
        <f t="shared" si="391"/>
        <v>1.3374944271065559E-2</v>
      </c>
      <c r="L1036" s="15"/>
      <c r="M1036" s="16">
        <f t="shared" si="392"/>
        <v>7.8043780003416163E-3</v>
      </c>
      <c r="O1036" s="13">
        <f t="shared" si="393"/>
        <v>0.1062155558408749</v>
      </c>
      <c r="Q1036" s="5">
        <f t="shared" si="394"/>
        <v>93918.361305748142</v>
      </c>
      <c r="R1036" s="6">
        <f t="shared" si="395"/>
        <v>111676.98865921333</v>
      </c>
      <c r="T1036" s="11">
        <f t="shared" si="396"/>
        <v>0.84098221516648941</v>
      </c>
      <c r="V1036" s="9">
        <v>45933</v>
      </c>
      <c r="W1036">
        <v>2125200</v>
      </c>
      <c r="X1036">
        <v>2969989.3201000001</v>
      </c>
      <c r="Y1036">
        <v>1326257.2021999999</v>
      </c>
      <c r="AC1036" s="24">
        <f t="shared" si="397"/>
        <v>0.1216605445838627</v>
      </c>
      <c r="AE1036" s="5">
        <f t="shared" si="398"/>
        <v>60328.489733634946</v>
      </c>
      <c r="AF1036" s="6">
        <f t="shared" si="399"/>
        <v>111676.98865921333</v>
      </c>
      <c r="AH1036" s="1">
        <f t="shared" si="400"/>
        <v>45933</v>
      </c>
      <c r="AI1036">
        <f t="shared" si="401"/>
        <v>0.54020519766815778</v>
      </c>
      <c r="AJ1036">
        <f t="shared" ca="1" si="402"/>
        <v>0.44242161067516023</v>
      </c>
      <c r="AK1036">
        <f t="shared" ca="1" si="403"/>
        <v>0.45800918737731838</v>
      </c>
      <c r="AL1036">
        <f t="shared" ca="1" si="404"/>
        <v>0.47887419944760384</v>
      </c>
      <c r="AM1036">
        <f t="shared" ca="1" si="405"/>
        <v>0.50728163581553853</v>
      </c>
      <c r="AN1036">
        <f t="shared" ca="1" si="406"/>
        <v>0.57435128956524528</v>
      </c>
    </row>
    <row r="1037" spans="2:40" x14ac:dyDescent="0.25">
      <c r="B1037" s="1">
        <v>45940</v>
      </c>
      <c r="C1037">
        <v>715.82</v>
      </c>
      <c r="D1037">
        <v>601.95799999999997</v>
      </c>
      <c r="E1037">
        <v>2418</v>
      </c>
      <c r="G1037">
        <v>1924930</v>
      </c>
      <c r="I1037" s="14">
        <f t="shared" si="389"/>
        <v>-5.4019051243828442E-2</v>
      </c>
      <c r="J1037" s="15">
        <f t="shared" si="390"/>
        <v>-4.7908415684984496E-2</v>
      </c>
      <c r="K1037" s="15">
        <f t="shared" si="391"/>
        <v>6.3792344918609745E-2</v>
      </c>
      <c r="L1037" s="15"/>
      <c r="M1037" s="16">
        <f t="shared" si="392"/>
        <v>6.6429033630577727E-2</v>
      </c>
      <c r="O1037" s="13">
        <f t="shared" si="393"/>
        <v>-1.2711707336734398E-2</v>
      </c>
      <c r="Q1037" s="5">
        <f t="shared" si="394"/>
        <v>92724.498583283785</v>
      </c>
      <c r="R1037" s="6">
        <f t="shared" si="395"/>
        <v>119095.58309461786</v>
      </c>
      <c r="T1037" s="11">
        <f t="shared" si="396"/>
        <v>0.7785721029605015</v>
      </c>
      <c r="V1037" s="9">
        <v>45940</v>
      </c>
      <c r="W1037">
        <v>2010400</v>
      </c>
      <c r="X1037">
        <v>2827700.8583999998</v>
      </c>
      <c r="Y1037">
        <v>1410862.2590999999</v>
      </c>
      <c r="AC1037" s="24">
        <f t="shared" si="397"/>
        <v>-2.6860569988113432E-2</v>
      </c>
      <c r="AE1037" s="5">
        <f t="shared" si="398"/>
        <v>58708.032112867462</v>
      </c>
      <c r="AF1037" s="6">
        <f t="shared" si="399"/>
        <v>119095.58309461786</v>
      </c>
      <c r="AH1037" s="1">
        <f t="shared" si="400"/>
        <v>45940</v>
      </c>
      <c r="AI1037">
        <f t="shared" si="401"/>
        <v>0.49294886164019786</v>
      </c>
      <c r="AJ1037">
        <f t="shared" ca="1" si="402"/>
        <v>0.44242161067516023</v>
      </c>
      <c r="AK1037">
        <f t="shared" ca="1" si="403"/>
        <v>0.45800918737731838</v>
      </c>
      <c r="AL1037">
        <f t="shared" ca="1" si="404"/>
        <v>0.47887419944760384</v>
      </c>
      <c r="AM1037">
        <f t="shared" ca="1" si="405"/>
        <v>0.50728163581553853</v>
      </c>
      <c r="AN1037">
        <f t="shared" ca="1" si="406"/>
        <v>0.5663578821410663</v>
      </c>
    </row>
    <row r="1038" spans="2:40" x14ac:dyDescent="0.25">
      <c r="B1038" s="1">
        <v>45947</v>
      </c>
      <c r="C1038">
        <v>794.08199999999999</v>
      </c>
      <c r="D1038">
        <v>615.41999999999996</v>
      </c>
      <c r="E1038">
        <v>2402</v>
      </c>
      <c r="G1038">
        <v>1989555</v>
      </c>
      <c r="I1038" s="14">
        <f t="shared" si="389"/>
        <v>0.10933195496074433</v>
      </c>
      <c r="J1038" s="15">
        <f t="shared" si="390"/>
        <v>2.2363686503044988E-2</v>
      </c>
      <c r="K1038" s="15">
        <f t="shared" si="391"/>
        <v>-6.6170388751033427E-3</v>
      </c>
      <c r="L1038" s="15"/>
      <c r="M1038" s="16">
        <f t="shared" si="392"/>
        <v>3.3572649395043008E-2</v>
      </c>
      <c r="O1038" s="13">
        <f t="shared" si="393"/>
        <v>4.1692867529561993E-2</v>
      </c>
      <c r="Q1038" s="5">
        <f t="shared" si="394"/>
        <v>96590.448819461701</v>
      </c>
      <c r="R1038" s="6">
        <f t="shared" si="395"/>
        <v>123093.93735035168</v>
      </c>
      <c r="T1038" s="11">
        <f t="shared" si="396"/>
        <v>0.78468892049934691</v>
      </c>
      <c r="V1038" s="9">
        <v>45947</v>
      </c>
      <c r="W1038">
        <v>2230200</v>
      </c>
      <c r="X1038">
        <v>2890940.1746999999</v>
      </c>
      <c r="Y1038">
        <v>1401526.5286999999</v>
      </c>
      <c r="AC1038" s="24">
        <f t="shared" si="397"/>
        <v>4.3799754009165567E-2</v>
      </c>
      <c r="AE1038" s="5">
        <f t="shared" si="398"/>
        <v>61279.429477773243</v>
      </c>
      <c r="AF1038" s="6">
        <f t="shared" si="399"/>
        <v>123093.93735035168</v>
      </c>
      <c r="AH1038" s="1">
        <f t="shared" si="400"/>
        <v>45947</v>
      </c>
      <c r="AI1038">
        <f t="shared" si="401"/>
        <v>0.49782654448170643</v>
      </c>
      <c r="AJ1038">
        <f t="shared" ca="1" si="402"/>
        <v>0.44242161067516023</v>
      </c>
      <c r="AK1038">
        <f t="shared" ca="1" si="403"/>
        <v>0.45800918737731838</v>
      </c>
      <c r="AL1038">
        <f t="shared" ca="1" si="404"/>
        <v>0.47887419944760384</v>
      </c>
      <c r="AM1038">
        <f t="shared" ca="1" si="405"/>
        <v>0.49713495938109387</v>
      </c>
      <c r="AN1038">
        <f t="shared" ca="1" si="406"/>
        <v>0.56215516705585955</v>
      </c>
    </row>
    <row r="1039" spans="2:40" x14ac:dyDescent="0.25">
      <c r="B1039" s="1">
        <v>45954</v>
      </c>
      <c r="C1039">
        <v>800.06399999999996</v>
      </c>
      <c r="D1039">
        <v>566.86</v>
      </c>
      <c r="E1039">
        <v>2505</v>
      </c>
      <c r="G1039">
        <v>2076859</v>
      </c>
      <c r="I1039" s="14">
        <f t="shared" si="389"/>
        <v>7.5332270470807039E-3</v>
      </c>
      <c r="J1039" s="15">
        <f t="shared" si="390"/>
        <v>-7.8905462935881077E-2</v>
      </c>
      <c r="K1039" s="15">
        <f t="shared" si="391"/>
        <v>4.2880932556203177E-2</v>
      </c>
      <c r="L1039" s="15"/>
      <c r="M1039" s="16">
        <f t="shared" si="392"/>
        <v>4.3881169407229192E-2</v>
      </c>
      <c r="O1039" s="13">
        <f t="shared" si="393"/>
        <v>-9.4971011108657324E-3</v>
      </c>
      <c r="Q1039" s="5">
        <f t="shared" si="394"/>
        <v>95673.119560679363</v>
      </c>
      <c r="R1039" s="6">
        <f t="shared" si="395"/>
        <v>128495.44326822532</v>
      </c>
      <c r="T1039" s="11">
        <f t="shared" si="396"/>
        <v>0.74456429836946325</v>
      </c>
      <c r="V1039" s="9">
        <v>45954</v>
      </c>
      <c r="W1039">
        <v>2247000</v>
      </c>
      <c r="X1039">
        <v>2662826.9265999999</v>
      </c>
      <c r="Y1039">
        <v>1461625.2933</v>
      </c>
      <c r="AC1039" s="24">
        <f t="shared" si="397"/>
        <v>-2.318248228328244E-2</v>
      </c>
      <c r="AE1039" s="5">
        <f t="shared" si="398"/>
        <v>59858.820189575104</v>
      </c>
      <c r="AF1039" s="6">
        <f t="shared" si="399"/>
        <v>128495.44326822532</v>
      </c>
      <c r="AH1039" s="1">
        <f t="shared" si="400"/>
        <v>45954</v>
      </c>
      <c r="AI1039">
        <f t="shared" si="401"/>
        <v>0.46584391373804562</v>
      </c>
      <c r="AJ1039">
        <f t="shared" ca="1" si="402"/>
        <v>0.44242161067516023</v>
      </c>
      <c r="AK1039">
        <f t="shared" ca="1" si="403"/>
        <v>0.45800918737731838</v>
      </c>
      <c r="AL1039">
        <f t="shared" ca="1" si="404"/>
        <v>0.47887419944760384</v>
      </c>
      <c r="AM1039">
        <f t="shared" ca="1" si="405"/>
        <v>0.49494571453223196</v>
      </c>
      <c r="AN1039">
        <f t="shared" ca="1" si="406"/>
        <v>0.55675504042942048</v>
      </c>
    </row>
    <row r="1040" spans="2:40" x14ac:dyDescent="0.25">
      <c r="B1040" s="1">
        <v>45961</v>
      </c>
      <c r="C1040">
        <v>983.505</v>
      </c>
      <c r="D1040">
        <v>701.00199999999995</v>
      </c>
      <c r="E1040">
        <v>3322.5</v>
      </c>
      <c r="G1040">
        <v>3002607</v>
      </c>
      <c r="I1040" s="14">
        <f t="shared" si="389"/>
        <v>0.22928290736741075</v>
      </c>
      <c r="J1040" s="15">
        <f t="shared" si="390"/>
        <v>0.23664044032036124</v>
      </c>
      <c r="K1040" s="15">
        <f t="shared" si="391"/>
        <v>0.32634730538922163</v>
      </c>
      <c r="L1040" s="15"/>
      <c r="M1040" s="16">
        <f t="shared" si="392"/>
        <v>0.44574427055471744</v>
      </c>
      <c r="O1040" s="13">
        <f t="shared" si="393"/>
        <v>0.26409021769233121</v>
      </c>
      <c r="Q1040" s="5">
        <f t="shared" si="394"/>
        <v>120939.4545327636</v>
      </c>
      <c r="R1040" s="6">
        <f t="shared" si="395"/>
        <v>185771.55089742551</v>
      </c>
      <c r="T1040" s="11">
        <f t="shared" si="396"/>
        <v>0.65101170738215342</v>
      </c>
      <c r="V1040" s="9">
        <v>45961</v>
      </c>
      <c r="W1040">
        <v>2762200</v>
      </c>
      <c r="X1040">
        <v>3292961.5427999999</v>
      </c>
      <c r="Y1040">
        <v>1938622.7692</v>
      </c>
      <c r="AC1040" s="24">
        <f t="shared" si="397"/>
        <v>0.25462463646078454</v>
      </c>
      <c r="AE1040" s="5">
        <f t="shared" si="398"/>
        <v>75100.35051931713</v>
      </c>
      <c r="AF1040" s="6">
        <f t="shared" si="399"/>
        <v>185771.55089742551</v>
      </c>
      <c r="AH1040" s="1">
        <f t="shared" si="400"/>
        <v>45961</v>
      </c>
      <c r="AI1040">
        <f t="shared" si="401"/>
        <v>0.40426184825675537</v>
      </c>
      <c r="AJ1040">
        <f t="shared" ca="1" si="402"/>
        <v>0.44242161067516023</v>
      </c>
      <c r="AK1040">
        <f t="shared" ca="1" si="403"/>
        <v>0.45800918737731838</v>
      </c>
      <c r="AL1040">
        <f t="shared" ca="1" si="404"/>
        <v>0.47745164868884893</v>
      </c>
      <c r="AM1040">
        <f t="shared" ca="1" si="405"/>
        <v>0.49320800570075018</v>
      </c>
      <c r="AN1040">
        <f t="shared" ca="1" si="406"/>
        <v>0.54727021081428084</v>
      </c>
    </row>
    <row r="1041" spans="2:40" x14ac:dyDescent="0.25">
      <c r="B1041" s="1">
        <v>45968</v>
      </c>
      <c r="C1041">
        <v>981.51099999999997</v>
      </c>
      <c r="D1041">
        <v>715.90700000000004</v>
      </c>
      <c r="E1041">
        <v>3200</v>
      </c>
      <c r="G1041">
        <v>2864647</v>
      </c>
      <c r="I1041" s="14">
        <f t="shared" si="389"/>
        <v>-2.0274426667886702E-3</v>
      </c>
      <c r="J1041" s="15">
        <f t="shared" si="390"/>
        <v>2.1262421505216844E-2</v>
      </c>
      <c r="K1041" s="15">
        <f t="shared" si="391"/>
        <v>-3.6869826937547034E-2</v>
      </c>
      <c r="L1041" s="15"/>
      <c r="M1041" s="16">
        <f t="shared" si="392"/>
        <v>-4.5946738950518706E-2</v>
      </c>
      <c r="O1041" s="13">
        <f t="shared" si="393"/>
        <v>-5.8782826997062871E-3</v>
      </c>
      <c r="Q1041" s="5">
        <f t="shared" si="394"/>
        <v>120228.53822947174</v>
      </c>
      <c r="R1041" s="6">
        <f t="shared" si="395"/>
        <v>177235.95394390851</v>
      </c>
      <c r="T1041" s="11">
        <f t="shared" si="396"/>
        <v>0.67835298399737542</v>
      </c>
      <c r="V1041" s="9">
        <v>45968</v>
      </c>
      <c r="W1041">
        <v>2756600</v>
      </c>
      <c r="X1041">
        <v>3362976.5000999998</v>
      </c>
      <c r="Y1041">
        <v>1867146.0832</v>
      </c>
      <c r="AC1041" s="24">
        <f t="shared" si="397"/>
        <v>-8.8325523090659734E-4</v>
      </c>
      <c r="AE1041" s="5">
        <f t="shared" si="398"/>
        <v>75034.017741878022</v>
      </c>
      <c r="AF1041" s="6">
        <f t="shared" si="399"/>
        <v>177235.95394390851</v>
      </c>
      <c r="AH1041" s="1">
        <f t="shared" si="400"/>
        <v>45968</v>
      </c>
      <c r="AI1041">
        <f t="shared" si="401"/>
        <v>0.42335663883200991</v>
      </c>
      <c r="AJ1041">
        <f t="shared" ca="1" si="402"/>
        <v>0.44167647250016245</v>
      </c>
      <c r="AK1041">
        <f t="shared" ca="1" si="403"/>
        <v>0.45780078880836678</v>
      </c>
      <c r="AL1041">
        <f t="shared" ca="1" si="404"/>
        <v>0.47660357281383131</v>
      </c>
      <c r="AM1041">
        <f t="shared" ca="1" si="405"/>
        <v>0.49278021619476048</v>
      </c>
      <c r="AN1041">
        <f t="shared" ca="1" si="406"/>
        <v>0.54007804117899039</v>
      </c>
    </row>
    <row r="1042" spans="2:40" x14ac:dyDescent="0.25">
      <c r="B1042" s="1">
        <v>45975</v>
      </c>
      <c r="C1042">
        <v>1117.597</v>
      </c>
      <c r="D1042">
        <v>793.79600000000005</v>
      </c>
      <c r="E1042">
        <v>3562.5</v>
      </c>
      <c r="G1042">
        <v>2992809</v>
      </c>
      <c r="I1042" s="14">
        <f t="shared" si="389"/>
        <v>0.13864949042853314</v>
      </c>
      <c r="J1042" s="15">
        <f t="shared" si="390"/>
        <v>0.10879765109155248</v>
      </c>
      <c r="K1042" s="15">
        <f t="shared" si="391"/>
        <v>0.11328125</v>
      </c>
      <c r="L1042" s="15"/>
      <c r="M1042" s="16">
        <f t="shared" si="392"/>
        <v>4.4739194741969968E-2</v>
      </c>
      <c r="O1042" s="13">
        <f t="shared" si="393"/>
        <v>0.12024279717336188</v>
      </c>
      <c r="Q1042" s="5">
        <f t="shared" si="394"/>
        <v>134685.15396624792</v>
      </c>
      <c r="R1042" s="6">
        <f t="shared" si="395"/>
        <v>185165.34780268386</v>
      </c>
      <c r="T1042" s="11">
        <f t="shared" si="396"/>
        <v>0.72737774947919143</v>
      </c>
      <c r="V1042" s="9">
        <v>45975</v>
      </c>
      <c r="W1042">
        <v>3138800</v>
      </c>
      <c r="X1042">
        <v>3728861.1159999999</v>
      </c>
      <c r="Y1042">
        <v>2078658.7254000001</v>
      </c>
      <c r="AC1042" s="24">
        <f t="shared" si="397"/>
        <v>0.12014913018842736</v>
      </c>
      <c r="AE1042" s="5">
        <f t="shared" si="398"/>
        <v>84049.289708107695</v>
      </c>
      <c r="AF1042" s="6">
        <f t="shared" si="399"/>
        <v>185165.34780268386</v>
      </c>
      <c r="AH1042" s="1">
        <f t="shared" si="400"/>
        <v>45975</v>
      </c>
      <c r="AI1042">
        <f t="shared" si="401"/>
        <v>0.45391478862272017</v>
      </c>
      <c r="AJ1042">
        <f t="shared" ca="1" si="402"/>
        <v>0.44057247576754016</v>
      </c>
      <c r="AK1042">
        <f t="shared" ca="1" si="403"/>
        <v>0.455301631867496</v>
      </c>
      <c r="AL1042">
        <f t="shared" ca="1" si="404"/>
        <v>0.4738819575264599</v>
      </c>
      <c r="AM1042">
        <f t="shared" ca="1" si="405"/>
        <v>0.49041470884281002</v>
      </c>
      <c r="AN1042">
        <f t="shared" ca="1" si="406"/>
        <v>0.53621377850869056</v>
      </c>
    </row>
    <row r="1043" spans="2:40" x14ac:dyDescent="0.25">
      <c r="B1043" s="1">
        <v>45982</v>
      </c>
      <c r="C1043">
        <v>1006.934</v>
      </c>
      <c r="D1043">
        <v>761.58199999999999</v>
      </c>
      <c r="E1043">
        <v>3347.5</v>
      </c>
      <c r="G1043">
        <v>2761615</v>
      </c>
      <c r="I1043" s="14">
        <f t="shared" si="389"/>
        <v>-9.9018698153269913E-2</v>
      </c>
      <c r="J1043" s="15">
        <f t="shared" si="390"/>
        <v>-4.0582215077929362E-2</v>
      </c>
      <c r="K1043" s="15">
        <f t="shared" si="391"/>
        <v>-6.0350877192982488E-2</v>
      </c>
      <c r="L1043" s="15"/>
      <c r="M1043" s="16">
        <f t="shared" si="392"/>
        <v>-7.7249834520011107E-2</v>
      </c>
      <c r="O1043" s="13">
        <f t="shared" si="393"/>
        <v>-6.6650596808060583E-2</v>
      </c>
      <c r="Q1043" s="5">
        <f t="shared" si="394"/>
        <v>125708.30807321196</v>
      </c>
      <c r="R1043" s="6">
        <f t="shared" si="395"/>
        <v>170861.35532608622</v>
      </c>
      <c r="T1043" s="11">
        <f t="shared" si="396"/>
        <v>0.73573282755073321</v>
      </c>
      <c r="V1043" s="9">
        <v>45982</v>
      </c>
      <c r="W1043">
        <v>2828000</v>
      </c>
      <c r="X1043">
        <v>3577538.4662000001</v>
      </c>
      <c r="Y1043">
        <v>1953209.848</v>
      </c>
      <c r="AC1043" s="24">
        <f t="shared" si="397"/>
        <v>-6.567775593181914E-2</v>
      </c>
      <c r="AE1043" s="5">
        <f t="shared" si="398"/>
        <v>78529.12097241584</v>
      </c>
      <c r="AF1043" s="6">
        <f t="shared" si="399"/>
        <v>170861.35532608622</v>
      </c>
      <c r="AH1043" s="1">
        <f t="shared" si="400"/>
        <v>45982</v>
      </c>
      <c r="AI1043">
        <f t="shared" si="401"/>
        <v>0.45960726942932323</v>
      </c>
      <c r="AJ1043">
        <f t="shared" ca="1" si="402"/>
        <v>0.44057247576754016</v>
      </c>
      <c r="AK1043">
        <f t="shared" ca="1" si="403"/>
        <v>0.4526561878440728</v>
      </c>
      <c r="AL1043">
        <f t="shared" ca="1" si="404"/>
        <v>0.47130886447455067</v>
      </c>
      <c r="AM1043">
        <f t="shared" ca="1" si="405"/>
        <v>0.48774247282726496</v>
      </c>
      <c r="AN1043">
        <f t="shared" ca="1" si="406"/>
        <v>0.51149917825176638</v>
      </c>
    </row>
    <row r="1044" spans="2:40" x14ac:dyDescent="0.25">
      <c r="B1044" s="1">
        <v>45989</v>
      </c>
      <c r="C1044">
        <v>1046.8119999999999</v>
      </c>
      <c r="D1044">
        <v>774.08299999999997</v>
      </c>
      <c r="E1044">
        <v>3750</v>
      </c>
      <c r="G1044">
        <v>3026470</v>
      </c>
      <c r="I1044" s="14">
        <f t="shared" si="389"/>
        <v>3.9603390093094326E-2</v>
      </c>
      <c r="J1044" s="15">
        <f t="shared" si="390"/>
        <v>1.6414516099382492E-2</v>
      </c>
      <c r="K1044" s="15">
        <f t="shared" si="391"/>
        <v>0.12023898431665425</v>
      </c>
      <c r="L1044" s="15"/>
      <c r="M1044" s="16">
        <f t="shared" si="392"/>
        <v>9.590583770728367E-2</v>
      </c>
      <c r="O1044" s="13">
        <f t="shared" si="393"/>
        <v>5.8752296836377026E-2</v>
      </c>
      <c r="Q1044" s="5">
        <f t="shared" si="394"/>
        <v>133093.95990392801</v>
      </c>
      <c r="R1044" s="6">
        <f t="shared" si="395"/>
        <v>187247.95674043638</v>
      </c>
      <c r="T1044" s="11">
        <f t="shared" si="396"/>
        <v>0.71078991846315964</v>
      </c>
      <c r="V1044" s="9">
        <v>45989</v>
      </c>
      <c r="W1044">
        <v>2940000</v>
      </c>
      <c r="X1044">
        <v>3636260.6885000002</v>
      </c>
      <c r="Y1044">
        <v>2188061.8163000001</v>
      </c>
      <c r="AC1044" s="24">
        <f t="shared" si="397"/>
        <v>4.8520891282810945E-2</v>
      </c>
      <c r="AE1044" s="5">
        <f t="shared" si="398"/>
        <v>82339.42391365314</v>
      </c>
      <c r="AF1044" s="6">
        <f t="shared" si="399"/>
        <v>187247.95674043638</v>
      </c>
      <c r="AH1044" s="1">
        <f t="shared" si="400"/>
        <v>45989</v>
      </c>
      <c r="AI1044">
        <f t="shared" si="401"/>
        <v>0.43973469909630186</v>
      </c>
      <c r="AJ1044">
        <f t="shared" ca="1" si="402"/>
        <v>0.44057247576754016</v>
      </c>
      <c r="AK1044">
        <f t="shared" ca="1" si="403"/>
        <v>0.4526561878440728</v>
      </c>
      <c r="AL1044">
        <f t="shared" ca="1" si="404"/>
        <v>0.47081401999864914</v>
      </c>
      <c r="AM1044">
        <f t="shared" ca="1" si="405"/>
        <v>0.48646265746904543</v>
      </c>
      <c r="AN1044">
        <f t="shared" ca="1" si="406"/>
        <v>0.50909672685533858</v>
      </c>
    </row>
    <row r="1045" spans="2:40" x14ac:dyDescent="0.25">
      <c r="B1045" s="1">
        <v>45996</v>
      </c>
      <c r="C1045">
        <v>1061.7670000000001</v>
      </c>
      <c r="D1045">
        <v>756.29399999999998</v>
      </c>
      <c r="E1045">
        <v>3720</v>
      </c>
      <c r="G1045">
        <v>3046355</v>
      </c>
      <c r="I1045" s="14">
        <f t="shared" si="389"/>
        <v>1.4286232867028792E-2</v>
      </c>
      <c r="J1045" s="15">
        <f t="shared" si="390"/>
        <v>-2.2980739791469418E-2</v>
      </c>
      <c r="K1045" s="15">
        <f t="shared" si="391"/>
        <v>-8.0000000000000071E-3</v>
      </c>
      <c r="L1045" s="15"/>
      <c r="M1045" s="16">
        <f t="shared" si="392"/>
        <v>6.5703608494385168E-3</v>
      </c>
      <c r="O1045" s="13">
        <f t="shared" si="393"/>
        <v>-5.5648356414802107E-3</v>
      </c>
      <c r="Q1045" s="5">
        <f t="shared" si="394"/>
        <v>132353.31389218889</v>
      </c>
      <c r="R1045" s="6">
        <f t="shared" si="395"/>
        <v>188478.2433845411</v>
      </c>
      <c r="T1045" s="11">
        <f t="shared" si="396"/>
        <v>0.70222064634885306</v>
      </c>
      <c r="V1045" s="9">
        <v>45996</v>
      </c>
      <c r="W1045">
        <v>2982000</v>
      </c>
      <c r="X1045">
        <v>3552694.4490999999</v>
      </c>
      <c r="Y1045">
        <v>2170557.3217000002</v>
      </c>
      <c r="AC1045" s="24">
        <f t="shared" si="397"/>
        <v>-6.7394747928723334E-3</v>
      </c>
      <c r="AE1045" s="5">
        <f t="shared" si="398"/>
        <v>81784.499441727443</v>
      </c>
      <c r="AF1045" s="6">
        <f t="shared" si="399"/>
        <v>188478.2433845411</v>
      </c>
      <c r="AH1045" s="1">
        <f t="shared" si="400"/>
        <v>45996</v>
      </c>
      <c r="AI1045">
        <f t="shared" si="401"/>
        <v>0.433920106496681</v>
      </c>
      <c r="AJ1045">
        <f t="shared" ca="1" si="402"/>
        <v>0.43980707134919794</v>
      </c>
      <c r="AK1045">
        <f t="shared" ca="1" si="403"/>
        <v>0.4484456277930306</v>
      </c>
      <c r="AL1045">
        <f t="shared" ca="1" si="404"/>
        <v>0.46979406638102406</v>
      </c>
      <c r="AM1045">
        <f t="shared" ca="1" si="405"/>
        <v>0.48587657164699904</v>
      </c>
      <c r="AN1045">
        <f t="shared" ca="1" si="406"/>
        <v>0.50570782593760921</v>
      </c>
    </row>
    <row r="1046" spans="2:40" x14ac:dyDescent="0.25">
      <c r="B1046" s="1">
        <v>46003</v>
      </c>
      <c r="C1046">
        <v>953.09799999999996</v>
      </c>
      <c r="D1046">
        <v>774.08299999999997</v>
      </c>
      <c r="E1046">
        <v>3870</v>
      </c>
      <c r="G1046">
        <v>2979065</v>
      </c>
      <c r="I1046" s="14">
        <f t="shared" si="389"/>
        <v>-0.10234731348779924</v>
      </c>
      <c r="J1046" s="15">
        <f t="shared" si="390"/>
        <v>2.3521276117488776E-2</v>
      </c>
      <c r="K1046" s="15">
        <f t="shared" si="391"/>
        <v>4.0322580645161255E-2</v>
      </c>
      <c r="L1046" s="15"/>
      <c r="M1046" s="16">
        <f t="shared" si="392"/>
        <v>-2.2088692880507965E-2</v>
      </c>
      <c r="O1046" s="13">
        <f t="shared" si="393"/>
        <v>-1.2834485575049737E-2</v>
      </c>
      <c r="Q1046" s="5">
        <f t="shared" si="394"/>
        <v>130654.62719422956</v>
      </c>
      <c r="R1046" s="6">
        <f t="shared" si="395"/>
        <v>184315.00535176235</v>
      </c>
      <c r="T1046" s="11">
        <f t="shared" si="396"/>
        <v>0.70886592735560094</v>
      </c>
      <c r="V1046" s="9">
        <v>46003</v>
      </c>
      <c r="W1046">
        <v>2676800</v>
      </c>
      <c r="X1046">
        <v>3636260.6885000002</v>
      </c>
      <c r="Y1046">
        <v>2258079.7944</v>
      </c>
      <c r="AC1046" s="24">
        <f t="shared" si="397"/>
        <v>-1.5406023008194773E-2</v>
      </c>
      <c r="AE1046" s="5">
        <f t="shared" si="398"/>
        <v>80524.525561614486</v>
      </c>
      <c r="AF1046" s="6">
        <f t="shared" si="399"/>
        <v>184315.00535176235</v>
      </c>
      <c r="AH1046" s="1">
        <f t="shared" si="400"/>
        <v>46003</v>
      </c>
      <c r="AI1046">
        <f t="shared" si="401"/>
        <v>0.43688534966501869</v>
      </c>
      <c r="AJ1046">
        <f t="shared" ca="1" si="402"/>
        <v>0.43773632910485594</v>
      </c>
      <c r="AK1046">
        <f t="shared" ca="1" si="403"/>
        <v>0.44632467386944508</v>
      </c>
      <c r="AL1046">
        <f t="shared" ca="1" si="404"/>
        <v>0.46886301562145605</v>
      </c>
      <c r="AM1046">
        <f t="shared" ca="1" si="405"/>
        <v>0.48546626206559462</v>
      </c>
      <c r="AN1046">
        <f t="shared" ca="1" si="406"/>
        <v>0.4974424338217765</v>
      </c>
    </row>
    <row r="1047" spans="2:40" x14ac:dyDescent="0.25">
      <c r="B1047" s="1">
        <v>46010</v>
      </c>
      <c r="C1047">
        <v>1077.7180000000001</v>
      </c>
      <c r="D1047">
        <v>713.02200000000005</v>
      </c>
      <c r="E1047">
        <v>3940</v>
      </c>
      <c r="G1047">
        <v>3139467</v>
      </c>
      <c r="I1047" s="14">
        <f t="shared" si="389"/>
        <v>0.13075255640028627</v>
      </c>
      <c r="J1047" s="15">
        <f t="shared" si="390"/>
        <v>-7.8881721985885167E-2</v>
      </c>
      <c r="K1047" s="15">
        <f t="shared" si="391"/>
        <v>1.8087855297157729E-2</v>
      </c>
      <c r="L1047" s="15"/>
      <c r="M1047" s="16">
        <f t="shared" si="392"/>
        <v>5.3843068210999157E-2</v>
      </c>
      <c r="O1047" s="13">
        <f t="shared" si="393"/>
        <v>2.3319563237186276E-2</v>
      </c>
      <c r="Q1047" s="5">
        <f t="shared" si="394"/>
        <v>133701.43603531641</v>
      </c>
      <c r="R1047" s="6">
        <f t="shared" si="395"/>
        <v>194239.09075722797</v>
      </c>
      <c r="T1047" s="11">
        <f t="shared" si="396"/>
        <v>0.68833433843872727</v>
      </c>
      <c r="V1047" s="9">
        <v>46010</v>
      </c>
      <c r="W1047">
        <v>3026800</v>
      </c>
      <c r="X1047">
        <v>3349425.2181000002</v>
      </c>
      <c r="Y1047">
        <v>2298923.6148999999</v>
      </c>
      <c r="AC1047" s="24">
        <f t="shared" si="397"/>
        <v>1.2134646381292103E-2</v>
      </c>
      <c r="AE1047" s="5">
        <f t="shared" si="398"/>
        <v>81501.662204325999</v>
      </c>
      <c r="AF1047" s="6">
        <f t="shared" si="399"/>
        <v>194239.09075722797</v>
      </c>
      <c r="AH1047" s="1">
        <f t="shared" si="400"/>
        <v>46010</v>
      </c>
      <c r="AI1047">
        <f t="shared" si="401"/>
        <v>0.4195945413798905</v>
      </c>
      <c r="AJ1047">
        <f t="shared" ca="1" si="402"/>
        <v>0.43694824349798633</v>
      </c>
      <c r="AK1047">
        <f t="shared" ca="1" si="403"/>
        <v>0.44376014984082524</v>
      </c>
      <c r="AL1047">
        <f t="shared" ca="1" si="404"/>
        <v>0.46720016851456825</v>
      </c>
      <c r="AM1047">
        <f t="shared" ca="1" si="405"/>
        <v>0.48444700321670814</v>
      </c>
      <c r="AN1047">
        <f t="shared" ca="1" si="406"/>
        <v>0.49388178025818619</v>
      </c>
    </row>
    <row r="1048" spans="2:40" x14ac:dyDescent="0.25">
      <c r="B1048" s="1">
        <v>46017</v>
      </c>
      <c r="C1048">
        <v>1003.943</v>
      </c>
      <c r="D1048">
        <v>671.19299999999998</v>
      </c>
      <c r="E1048">
        <v>3980</v>
      </c>
      <c r="G1048">
        <v>3112380</v>
      </c>
      <c r="I1048" s="14">
        <f t="shared" si="389"/>
        <v>-6.8454827700752952E-2</v>
      </c>
      <c r="J1048" s="15">
        <f t="shared" si="390"/>
        <v>-5.8664389037084486E-2</v>
      </c>
      <c r="K1048" s="15">
        <f t="shared" si="391"/>
        <v>1.0152284263959421E-2</v>
      </c>
      <c r="L1048" s="15"/>
      <c r="M1048" s="16">
        <f t="shared" si="392"/>
        <v>-8.6278976654317052E-3</v>
      </c>
      <c r="O1048" s="13">
        <f t="shared" si="393"/>
        <v>-3.8988977491292674E-2</v>
      </c>
      <c r="Q1048" s="5">
        <f t="shared" si="394"/>
        <v>128488.55375518194</v>
      </c>
      <c r="R1048" s="6">
        <f t="shared" si="395"/>
        <v>192563.2157595481</v>
      </c>
      <c r="T1048" s="11">
        <f t="shared" si="396"/>
        <v>0.66725388464442981</v>
      </c>
      <c r="V1048" s="9">
        <v>46017</v>
      </c>
      <c r="W1048">
        <v>2819600</v>
      </c>
      <c r="X1048">
        <v>3152931.6280999999</v>
      </c>
      <c r="Y1048">
        <v>2322262.9410000001</v>
      </c>
      <c r="AC1048" s="24">
        <f t="shared" si="397"/>
        <v>-4.3843827675144741E-2</v>
      </c>
      <c r="AE1048" s="5">
        <f t="shared" si="398"/>
        <v>77928.317371401674</v>
      </c>
      <c r="AF1048" s="6">
        <f t="shared" si="399"/>
        <v>192563.2157595481</v>
      </c>
      <c r="AH1048" s="1">
        <f t="shared" si="400"/>
        <v>46017</v>
      </c>
      <c r="AI1048">
        <f t="shared" si="401"/>
        <v>0.40468953046936046</v>
      </c>
      <c r="AJ1048">
        <f t="shared" ca="1" si="402"/>
        <v>0.43421663081351475</v>
      </c>
      <c r="AK1048">
        <f t="shared" ca="1" si="403"/>
        <v>0.44327492572670457</v>
      </c>
      <c r="AL1048">
        <f t="shared" ca="1" si="404"/>
        <v>0.46543041203308133</v>
      </c>
      <c r="AM1048">
        <f t="shared" ca="1" si="405"/>
        <v>0.48256351855386614</v>
      </c>
      <c r="AN1048">
        <f t="shared" ca="1" si="406"/>
        <v>0.49292637558080621</v>
      </c>
    </row>
    <row r="1049" spans="2:40" x14ac:dyDescent="0.25">
      <c r="B1049" s="1">
        <v>46024</v>
      </c>
      <c r="C1049">
        <v>1004</v>
      </c>
      <c r="D1049">
        <v>673.11599999999999</v>
      </c>
      <c r="E1049">
        <v>3997.5</v>
      </c>
      <c r="G1049">
        <v>3126292</v>
      </c>
      <c r="I1049" s="14">
        <f t="shared" si="389"/>
        <v>5.6776131712732436E-5</v>
      </c>
      <c r="J1049" s="15">
        <f t="shared" si="390"/>
        <v>2.8650477582454759E-3</v>
      </c>
      <c r="K1049" s="15">
        <f t="shared" si="391"/>
        <v>4.3969849246230375E-3</v>
      </c>
      <c r="L1049" s="15"/>
      <c r="M1049" s="16">
        <f t="shared" si="392"/>
        <v>4.4698912086571507E-3</v>
      </c>
      <c r="O1049" s="13">
        <f t="shared" si="393"/>
        <v>2.4396029381937487E-3</v>
      </c>
      <c r="Q1049" s="5">
        <f t="shared" si="394"/>
        <v>128802.01480844735</v>
      </c>
      <c r="R1049" s="6">
        <f t="shared" si="395"/>
        <v>193423.95238478246</v>
      </c>
      <c r="T1049" s="11">
        <f t="shared" si="396"/>
        <v>0.66590519540319759</v>
      </c>
      <c r="V1049" s="9">
        <v>46024</v>
      </c>
      <c r="W1049">
        <v>2811200</v>
      </c>
      <c r="X1049">
        <v>3161965.8160999999</v>
      </c>
      <c r="Y1049">
        <v>2332473.8961</v>
      </c>
      <c r="AC1049" s="24">
        <f t="shared" si="397"/>
        <v>2.3393395285327178E-3</v>
      </c>
      <c r="AE1049" s="5">
        <f t="shared" si="398"/>
        <v>78110.618164620639</v>
      </c>
      <c r="AF1049" s="6">
        <f t="shared" si="399"/>
        <v>193423.95238478246</v>
      </c>
      <c r="AH1049" s="1">
        <f t="shared" si="400"/>
        <v>46024</v>
      </c>
      <c r="AI1049">
        <f t="shared" si="401"/>
        <v>0.40383115535367359</v>
      </c>
      <c r="AJ1049">
        <f t="shared" ca="1" si="402"/>
        <v>0.43179839183550517</v>
      </c>
      <c r="AK1049">
        <f t="shared" ca="1" si="403"/>
        <v>0.44273070586347707</v>
      </c>
      <c r="AL1049">
        <f t="shared" ca="1" si="404"/>
        <v>0.46490202620624221</v>
      </c>
      <c r="AM1049">
        <f t="shared" ca="1" si="405"/>
        <v>0.4819943205035368</v>
      </c>
      <c r="AN1049">
        <f t="shared" ca="1" si="406"/>
        <v>0.49292637558080621</v>
      </c>
    </row>
    <row r="1050" spans="2:40" x14ac:dyDescent="0.25">
      <c r="B1050" s="1">
        <v>46031</v>
      </c>
      <c r="C1050">
        <v>1005</v>
      </c>
      <c r="D1050">
        <v>770.71799999999996</v>
      </c>
      <c r="E1050">
        <v>3805</v>
      </c>
      <c r="G1050">
        <v>3089461</v>
      </c>
      <c r="I1050" s="14">
        <f t="shared" si="389"/>
        <v>9.960159362549792E-4</v>
      </c>
      <c r="J1050" s="15">
        <f t="shared" si="390"/>
        <v>0.14500026741304617</v>
      </c>
      <c r="K1050" s="15">
        <f t="shared" si="391"/>
        <v>-4.8155096935584729E-2</v>
      </c>
      <c r="L1050" s="15"/>
      <c r="M1050" s="16">
        <f t="shared" si="392"/>
        <v>-1.1781049243000941E-2</v>
      </c>
      <c r="O1050" s="13">
        <f t="shared" si="393"/>
        <v>3.261372880457214E-2</v>
      </c>
      <c r="Q1050" s="5">
        <f t="shared" si="394"/>
        <v>133002.72878889253</v>
      </c>
      <c r="R1050" s="6">
        <f t="shared" si="395"/>
        <v>191145.21527696148</v>
      </c>
      <c r="T1050" s="11">
        <f t="shared" si="396"/>
        <v>0.69582034055195729</v>
      </c>
      <c r="V1050" s="9">
        <v>46031</v>
      </c>
      <c r="W1050">
        <v>2814000</v>
      </c>
      <c r="X1050">
        <v>3620450.8594</v>
      </c>
      <c r="Y1050">
        <v>2220153.3895999999</v>
      </c>
      <c r="AC1050" s="24">
        <f t="shared" si="397"/>
        <v>4.2015473149696766E-2</v>
      </c>
      <c r="AE1050" s="5">
        <f t="shared" si="398"/>
        <v>81392.472744822473</v>
      </c>
      <c r="AF1050" s="6">
        <f t="shared" si="399"/>
        <v>191145.21527696148</v>
      </c>
      <c r="AH1050" s="1">
        <f t="shared" si="400"/>
        <v>46031</v>
      </c>
      <c r="AI1050">
        <f t="shared" si="401"/>
        <v>0.4258148582316757</v>
      </c>
      <c r="AJ1050">
        <f t="shared" ca="1" si="402"/>
        <v>0.43022019296659525</v>
      </c>
      <c r="AK1050">
        <f t="shared" ca="1" si="403"/>
        <v>0.44218028393895897</v>
      </c>
      <c r="AL1050">
        <f t="shared" ca="1" si="404"/>
        <v>0.46490202620624221</v>
      </c>
      <c r="AM1050">
        <f t="shared" ca="1" si="405"/>
        <v>0.4819943205035368</v>
      </c>
      <c r="AN1050">
        <f t="shared" ca="1" si="406"/>
        <v>0.49292637558080621</v>
      </c>
    </row>
    <row r="1051" spans="2:40" x14ac:dyDescent="0.25">
      <c r="B1051" s="1">
        <v>46038</v>
      </c>
      <c r="C1051">
        <v>990</v>
      </c>
      <c r="D1051">
        <v>770.23699999999997</v>
      </c>
      <c r="E1051">
        <v>3542.5</v>
      </c>
      <c r="G1051">
        <v>2933230</v>
      </c>
      <c r="I1051" s="14">
        <f t="shared" si="389"/>
        <v>-1.4925373134328401E-2</v>
      </c>
      <c r="J1051" s="15">
        <f t="shared" si="390"/>
        <v>-6.2409337786317742E-4</v>
      </c>
      <c r="K1051" s="15">
        <f t="shared" si="391"/>
        <v>-6.8988173455978963E-2</v>
      </c>
      <c r="L1051" s="15"/>
      <c r="M1051" s="16">
        <f t="shared" si="392"/>
        <v>-5.0569015112992166E-2</v>
      </c>
      <c r="O1051" s="13">
        <f t="shared" si="393"/>
        <v>-2.8179213322723513E-2</v>
      </c>
      <c r="Q1051" s="5">
        <f t="shared" si="394"/>
        <v>129254.81652184599</v>
      </c>
      <c r="R1051" s="6">
        <f t="shared" si="395"/>
        <v>181479.18999684468</v>
      </c>
      <c r="T1051" s="11">
        <f t="shared" si="396"/>
        <v>0.71222941056819411</v>
      </c>
      <c r="V1051" s="9">
        <v>46038</v>
      </c>
      <c r="W1051">
        <v>2772000</v>
      </c>
      <c r="X1051">
        <v>3618192.3124000002</v>
      </c>
      <c r="Y1051">
        <v>2066989.0623999999</v>
      </c>
      <c r="AC1051" s="24">
        <f t="shared" si="397"/>
        <v>-2.2811421627932506E-2</v>
      </c>
      <c r="AE1051" s="5">
        <f t="shared" si="398"/>
        <v>79535.794731700327</v>
      </c>
      <c r="AF1051" s="6">
        <f t="shared" si="399"/>
        <v>181479.18999684468</v>
      </c>
      <c r="AH1051" s="1">
        <f t="shared" si="400"/>
        <v>46038</v>
      </c>
      <c r="AI1051">
        <f t="shared" si="401"/>
        <v>0.43826399452787501</v>
      </c>
      <c r="AJ1051">
        <f t="shared" ca="1" si="402"/>
        <v>0.42624047556299605</v>
      </c>
      <c r="AK1051">
        <f t="shared" ca="1" si="403"/>
        <v>0.44131382769234551</v>
      </c>
      <c r="AL1051">
        <f t="shared" ca="1" si="404"/>
        <v>0.46490202620624221</v>
      </c>
      <c r="AM1051">
        <f t="shared" ca="1" si="405"/>
        <v>0.4819943205035368</v>
      </c>
      <c r="AN1051">
        <f t="shared" ca="1" si="406"/>
        <v>0.49292637558080621</v>
      </c>
    </row>
    <row r="1052" spans="2:40" x14ac:dyDescent="0.25">
      <c r="B1052" s="1">
        <v>46045</v>
      </c>
      <c r="C1052">
        <v>1076</v>
      </c>
      <c r="D1052">
        <v>738.50400000000002</v>
      </c>
      <c r="E1052">
        <v>3592.5</v>
      </c>
      <c r="G1052">
        <v>3093535</v>
      </c>
      <c r="I1052" s="14">
        <f t="shared" si="389"/>
        <v>8.6868686868686762E-2</v>
      </c>
      <c r="J1052" s="15">
        <f t="shared" si="390"/>
        <v>-4.1199007578186952E-2</v>
      </c>
      <c r="K1052" s="15">
        <f t="shared" si="391"/>
        <v>1.4114326040931546E-2</v>
      </c>
      <c r="L1052" s="15"/>
      <c r="M1052" s="16">
        <f t="shared" si="392"/>
        <v>5.4651357036441084E-2</v>
      </c>
      <c r="O1052" s="13">
        <f t="shared" si="393"/>
        <v>1.9928001777143784E-2</v>
      </c>
      <c r="Q1052" s="5">
        <f t="shared" si="394"/>
        <v>131830.60673519771</v>
      </c>
      <c r="R1052" s="6">
        <f t="shared" si="395"/>
        <v>191397.27400404637</v>
      </c>
      <c r="T1052" s="11">
        <f t="shared" si="396"/>
        <v>0.68877996001348829</v>
      </c>
      <c r="V1052" s="9">
        <v>46045</v>
      </c>
      <c r="W1052">
        <v>3012800</v>
      </c>
      <c r="X1052">
        <v>3469128.2097</v>
      </c>
      <c r="Y1052">
        <v>2096163.22</v>
      </c>
      <c r="AC1052" s="24">
        <f t="shared" si="397"/>
        <v>1.4296515552110482E-2</v>
      </c>
      <c r="AE1052" s="5">
        <f t="shared" si="398"/>
        <v>80672.879458031544</v>
      </c>
      <c r="AF1052" s="6">
        <f t="shared" si="399"/>
        <v>191397.27400404637</v>
      </c>
      <c r="AH1052" s="1">
        <f t="shared" si="400"/>
        <v>46045</v>
      </c>
      <c r="AI1052">
        <f t="shared" si="401"/>
        <v>0.42149440151548884</v>
      </c>
      <c r="AJ1052">
        <f t="shared" ca="1" si="402"/>
        <v>0.42624047556299605</v>
      </c>
      <c r="AK1052">
        <f t="shared" ca="1" si="403"/>
        <v>0.44027749099302227</v>
      </c>
      <c r="AL1052">
        <f t="shared" ca="1" si="404"/>
        <v>0.46490202620624221</v>
      </c>
      <c r="AM1052">
        <f t="shared" ca="1" si="405"/>
        <v>0.4819943205035368</v>
      </c>
      <c r="AN1052">
        <f t="shared" ca="1" si="406"/>
        <v>0.49292637558080621</v>
      </c>
    </row>
    <row r="1053" spans="2:40" x14ac:dyDescent="0.25">
      <c r="B1053" s="1">
        <v>46052</v>
      </c>
      <c r="C1053">
        <v>1045</v>
      </c>
      <c r="D1053">
        <v>677.92399999999998</v>
      </c>
      <c r="E1053">
        <v>3487.5</v>
      </c>
      <c r="G1053">
        <v>3199554</v>
      </c>
      <c r="I1053" s="14">
        <f t="shared" si="389"/>
        <v>-2.8810408921933095E-2</v>
      </c>
      <c r="J1053" s="15">
        <f t="shared" si="390"/>
        <v>-8.2030699901422421E-2</v>
      </c>
      <c r="K1053" s="15">
        <f t="shared" si="391"/>
        <v>-2.9227557411273475E-2</v>
      </c>
      <c r="L1053" s="15"/>
      <c r="M1053" s="16">
        <f t="shared" si="392"/>
        <v>3.4271149348560792E-2</v>
      </c>
      <c r="O1053" s="13">
        <f t="shared" si="393"/>
        <v>-4.6689555411542995E-2</v>
      </c>
      <c r="Q1053" s="5">
        <f t="shared" si="394"/>
        <v>125675.49431709737</v>
      </c>
      <c r="R1053" s="6">
        <f t="shared" si="395"/>
        <v>197956.67856634644</v>
      </c>
      <c r="T1053" s="11">
        <f t="shared" si="396"/>
        <v>0.63486362383563855</v>
      </c>
      <c r="V1053" s="9">
        <v>46052</v>
      </c>
      <c r="W1053">
        <v>2926000</v>
      </c>
      <c r="X1053">
        <v>3184551.2862</v>
      </c>
      <c r="Y1053">
        <v>2034897.4890999999</v>
      </c>
      <c r="AC1053" s="24">
        <f t="shared" si="397"/>
        <v>-5.0435548453992188E-2</v>
      </c>
      <c r="AE1053" s="5">
        <f t="shared" si="398"/>
        <v>76604.098537202924</v>
      </c>
      <c r="AF1053" s="6">
        <f t="shared" si="399"/>
        <v>197956.67856634644</v>
      </c>
      <c r="AH1053" s="1">
        <f t="shared" si="400"/>
        <v>46052</v>
      </c>
      <c r="AI1053">
        <f t="shared" si="401"/>
        <v>0.38697405458603196</v>
      </c>
      <c r="AJ1053">
        <f t="shared" ca="1" si="402"/>
        <v>0.4236024607719765</v>
      </c>
      <c r="AK1053">
        <f t="shared" ca="1" si="403"/>
        <v>0.43936702295419516</v>
      </c>
      <c r="AL1053">
        <f t="shared" ca="1" si="404"/>
        <v>0.46490202620624221</v>
      </c>
      <c r="AM1053">
        <f t="shared" ca="1" si="405"/>
        <v>0.4819943205035368</v>
      </c>
      <c r="AN1053">
        <f t="shared" ca="1" si="406"/>
        <v>0.49292637558080621</v>
      </c>
    </row>
    <row r="1054" spans="2:40" x14ac:dyDescent="0.25">
      <c r="B1054" s="1">
        <v>46059</v>
      </c>
      <c r="C1054">
        <v>1017</v>
      </c>
      <c r="D1054">
        <v>662.53800000000001</v>
      </c>
      <c r="E1054">
        <v>3315</v>
      </c>
      <c r="G1054">
        <v>2977119</v>
      </c>
      <c r="I1054" s="14">
        <f t="shared" si="389"/>
        <v>-2.6794258373205704E-2</v>
      </c>
      <c r="J1054" s="15">
        <f t="shared" si="390"/>
        <v>-2.2695759406659133E-2</v>
      </c>
      <c r="K1054" s="15">
        <f t="shared" si="391"/>
        <v>-4.9462365591397828E-2</v>
      </c>
      <c r="L1054" s="15"/>
      <c r="M1054" s="16">
        <f t="shared" si="392"/>
        <v>-6.9520626937379371E-2</v>
      </c>
      <c r="O1054" s="13">
        <f t="shared" si="393"/>
        <v>-3.298412779042089E-2</v>
      </c>
      <c r="Q1054" s="5">
        <f t="shared" si="394"/>
        <v>121530.19775241791</v>
      </c>
      <c r="R1054" s="6">
        <f t="shared" si="395"/>
        <v>184194.60616597274</v>
      </c>
      <c r="T1054" s="11">
        <f t="shared" si="396"/>
        <v>0.65979238090669368</v>
      </c>
      <c r="V1054" s="9">
        <v>46059</v>
      </c>
      <c r="W1054">
        <v>2847600</v>
      </c>
      <c r="X1054">
        <v>3112277.7818</v>
      </c>
      <c r="Y1054">
        <v>1934246.6455999999</v>
      </c>
      <c r="AC1054" s="24">
        <f t="shared" si="397"/>
        <v>-3.0854856532737476E-2</v>
      </c>
      <c r="AE1054" s="5">
        <f t="shared" si="398"/>
        <v>74240.490067017847</v>
      </c>
      <c r="AF1054" s="6">
        <f t="shared" si="399"/>
        <v>184194.60616597274</v>
      </c>
      <c r="AH1054" s="1">
        <f t="shared" si="400"/>
        <v>46059</v>
      </c>
      <c r="AI1054">
        <f t="shared" si="401"/>
        <v>0.40305463668204139</v>
      </c>
      <c r="AJ1054">
        <f t="shared" ca="1" si="402"/>
        <v>0.42168062524714095</v>
      </c>
      <c r="AK1054">
        <f t="shared" ca="1" si="403"/>
        <v>0.43807656789458005</v>
      </c>
      <c r="AL1054">
        <f t="shared" ca="1" si="404"/>
        <v>0.4637990686407587</v>
      </c>
      <c r="AM1054">
        <f t="shared" ca="1" si="405"/>
        <v>0.4819943205035368</v>
      </c>
      <c r="AN1054">
        <f t="shared" ca="1" si="406"/>
        <v>0.49292637558080621</v>
      </c>
    </row>
    <row r="1055" spans="2:40" x14ac:dyDescent="0.25">
      <c r="B1055" s="1">
        <v>46066</v>
      </c>
      <c r="C1055">
        <v>990.5</v>
      </c>
      <c r="D1055">
        <v>675.52</v>
      </c>
      <c r="E1055">
        <v>3320</v>
      </c>
      <c r="G1055">
        <v>2816128</v>
      </c>
      <c r="I1055" s="14">
        <f t="shared" si="389"/>
        <v>-2.6057030481809296E-2</v>
      </c>
      <c r="J1055" s="15">
        <f t="shared" si="390"/>
        <v>1.9594347795899969E-2</v>
      </c>
      <c r="K1055" s="15">
        <f t="shared" si="391"/>
        <v>1.5082956259426794E-3</v>
      </c>
      <c r="L1055" s="15"/>
      <c r="M1055" s="16">
        <f t="shared" si="392"/>
        <v>-5.4076105120420159E-2</v>
      </c>
      <c r="O1055" s="13">
        <f t="shared" si="393"/>
        <v>-1.6514623533222157E-3</v>
      </c>
      <c r="Q1055" s="5">
        <f t="shared" si="394"/>
        <v>121329.49520603799</v>
      </c>
      <c r="R1055" s="6">
        <f t="shared" si="395"/>
        <v>174234.07928032722</v>
      </c>
      <c r="T1055" s="11">
        <f t="shared" si="396"/>
        <v>0.69635914918131236</v>
      </c>
      <c r="V1055" s="9">
        <v>46066</v>
      </c>
      <c r="W1055">
        <v>2773400</v>
      </c>
      <c r="X1055">
        <v>3173258.5512000001</v>
      </c>
      <c r="Y1055">
        <v>1937164.0612999999</v>
      </c>
      <c r="AC1055" s="24">
        <f t="shared" si="397"/>
        <v>-1.3047084633169804E-3</v>
      </c>
      <c r="AE1055" s="5">
        <f t="shared" si="398"/>
        <v>74143.627871306613</v>
      </c>
      <c r="AF1055" s="6">
        <f t="shared" si="399"/>
        <v>174234.07928032722</v>
      </c>
      <c r="AH1055" s="1">
        <f t="shared" si="400"/>
        <v>46066</v>
      </c>
      <c r="AI1055">
        <f t="shared" si="401"/>
        <v>0.42554033159044663</v>
      </c>
      <c r="AJ1055">
        <f t="shared" ca="1" si="402"/>
        <v>0.41978452739345035</v>
      </c>
      <c r="AK1055">
        <f t="shared" ca="1" si="403"/>
        <v>0.43735705341227615</v>
      </c>
      <c r="AL1055">
        <f t="shared" ca="1" si="404"/>
        <v>0.46250538119470419</v>
      </c>
      <c r="AM1055">
        <f t="shared" ca="1" si="405"/>
        <v>0.4819943205035368</v>
      </c>
      <c r="AN1055">
        <f t="shared" ca="1" si="406"/>
        <v>0.49292637558080621</v>
      </c>
    </row>
    <row r="1056" spans="2:40" x14ac:dyDescent="0.25">
      <c r="B1056" s="1">
        <v>46073</v>
      </c>
      <c r="C1056">
        <v>893</v>
      </c>
      <c r="D1056">
        <v>660.13400000000001</v>
      </c>
      <c r="E1056">
        <v>3290</v>
      </c>
      <c r="G1056">
        <v>2873248</v>
      </c>
      <c r="I1056" s="14">
        <f t="shared" si="389"/>
        <v>-9.8435133770822802E-2</v>
      </c>
      <c r="J1056" s="15">
        <f t="shared" si="390"/>
        <v>-2.2776527711984795E-2</v>
      </c>
      <c r="K1056" s="15">
        <f t="shared" si="391"/>
        <v>-9.0361445783132543E-3</v>
      </c>
      <c r="L1056" s="15"/>
      <c r="M1056" s="16">
        <f t="shared" si="392"/>
        <v>2.0283168946866104E-2</v>
      </c>
      <c r="O1056" s="13">
        <f t="shared" si="393"/>
        <v>-4.3415935353706948E-2</v>
      </c>
      <c r="Q1056" s="5">
        <f t="shared" si="394"/>
        <v>116061.86168567475</v>
      </c>
      <c r="R1056" s="6">
        <f t="shared" si="395"/>
        <v>177768.09854667177</v>
      </c>
      <c r="T1056" s="11">
        <f t="shared" si="396"/>
        <v>0.65288351866577188</v>
      </c>
      <c r="V1056" s="9">
        <v>46073</v>
      </c>
      <c r="W1056">
        <v>2500400</v>
      </c>
      <c r="X1056">
        <v>3100985.0468000001</v>
      </c>
      <c r="Y1056">
        <v>1919659.5667999999</v>
      </c>
      <c r="AC1056" s="24">
        <f t="shared" si="397"/>
        <v>-4.6015787478947252E-2</v>
      </c>
      <c r="AE1056" s="5">
        <f t="shared" si="398"/>
        <v>70731.850448262412</v>
      </c>
      <c r="AF1056" s="6">
        <f t="shared" si="399"/>
        <v>177768.09854667177</v>
      </c>
      <c r="AH1056" s="1">
        <f t="shared" si="400"/>
        <v>46073</v>
      </c>
      <c r="AI1056">
        <f t="shared" si="401"/>
        <v>0.39788832206973435</v>
      </c>
      <c r="AJ1056">
        <f t="shared" ca="1" si="402"/>
        <v>0.41978452739345035</v>
      </c>
      <c r="AK1056">
        <f t="shared" ca="1" si="403"/>
        <v>0.43614403887293429</v>
      </c>
      <c r="AL1056">
        <f t="shared" ca="1" si="404"/>
        <v>0.46090351831079079</v>
      </c>
      <c r="AM1056">
        <f t="shared" ca="1" si="405"/>
        <v>0.4815841895150812</v>
      </c>
      <c r="AN1056">
        <f t="shared" ca="1" si="406"/>
        <v>0.49292637558080621</v>
      </c>
    </row>
    <row r="1057" spans="2:40" x14ac:dyDescent="0.25">
      <c r="B1057" s="1">
        <v>46080</v>
      </c>
      <c r="C1057">
        <v>811.5</v>
      </c>
      <c r="D1057">
        <v>595.70699999999999</v>
      </c>
      <c r="E1057">
        <v>2992.5</v>
      </c>
      <c r="G1057">
        <v>2642106</v>
      </c>
      <c r="I1057" s="14">
        <f t="shared" si="389"/>
        <v>-9.1265397536394177E-2</v>
      </c>
      <c r="J1057" s="15">
        <f t="shared" si="390"/>
        <v>-9.7596851548321983E-2</v>
      </c>
      <c r="K1057" s="15">
        <f t="shared" si="391"/>
        <v>-9.0425531914893664E-2</v>
      </c>
      <c r="L1057" s="15"/>
      <c r="M1057" s="16">
        <f t="shared" si="392"/>
        <v>-8.0446240630812182E-2</v>
      </c>
      <c r="O1057" s="13">
        <f t="shared" si="393"/>
        <v>-9.3095926999869946E-2</v>
      </c>
      <c r="Q1057" s="5">
        <f t="shared" si="394"/>
        <v>105256.97508271618</v>
      </c>
      <c r="R1057" s="6">
        <f t="shared" si="395"/>
        <v>163467.32331450429</v>
      </c>
      <c r="T1057" s="11">
        <f t="shared" si="396"/>
        <v>0.64390223653571521</v>
      </c>
      <c r="V1057" s="9">
        <v>46080</v>
      </c>
      <c r="W1057">
        <v>2272200</v>
      </c>
      <c r="X1057">
        <v>2798339.7472000001</v>
      </c>
      <c r="Y1057">
        <v>1746073.3293999999</v>
      </c>
      <c r="AC1057" s="24">
        <f t="shared" si="397"/>
        <v>-9.366153917179447E-2</v>
      </c>
      <c r="AE1057" s="5">
        <f t="shared" si="398"/>
        <v>64106.996466808974</v>
      </c>
      <c r="AF1057" s="6">
        <f t="shared" si="399"/>
        <v>163467.32331450429</v>
      </c>
      <c r="AH1057" s="1">
        <f t="shared" si="400"/>
        <v>46080</v>
      </c>
      <c r="AI1057">
        <f t="shared" si="401"/>
        <v>0.3921700996074291</v>
      </c>
      <c r="AJ1057">
        <f t="shared" ca="1" si="402"/>
        <v>0.40618003156041349</v>
      </c>
      <c r="AK1057">
        <f t="shared" ca="1" si="403"/>
        <v>0.43333074131302107</v>
      </c>
      <c r="AL1057">
        <f t="shared" ca="1" si="404"/>
        <v>0.45676102902602167</v>
      </c>
      <c r="AM1057">
        <f t="shared" ca="1" si="405"/>
        <v>0.47903380300992132</v>
      </c>
      <c r="AN1057">
        <f t="shared" ca="1" si="406"/>
        <v>0.49292637558080621</v>
      </c>
    </row>
    <row r="1058" spans="2:40" x14ac:dyDescent="0.25">
      <c r="B1058" s="1">
        <v>46087</v>
      </c>
      <c r="C1058">
        <v>851.5</v>
      </c>
      <c r="D1058">
        <v>636.09400000000005</v>
      </c>
      <c r="E1058">
        <v>2907.5</v>
      </c>
      <c r="G1058">
        <v>2626115</v>
      </c>
      <c r="I1058" s="14">
        <f t="shared" si="389"/>
        <v>4.9291435613062262E-2</v>
      </c>
      <c r="J1058" s="15">
        <f t="shared" si="390"/>
        <v>6.7796752430305585E-2</v>
      </c>
      <c r="K1058" s="15">
        <f t="shared" si="391"/>
        <v>-2.8404344193817876E-2</v>
      </c>
      <c r="L1058" s="15"/>
      <c r="M1058" s="16">
        <f t="shared" si="392"/>
        <v>-6.0523688300166967E-3</v>
      </c>
      <c r="O1058" s="13">
        <f t="shared" si="393"/>
        <v>2.9561281283183322E-2</v>
      </c>
      <c r="Q1058" s="5">
        <f t="shared" si="394"/>
        <v>108368.50613015337</v>
      </c>
      <c r="R1058" s="6">
        <f t="shared" si="395"/>
        <v>162477.95878214933</v>
      </c>
      <c r="T1058" s="11">
        <f t="shared" si="396"/>
        <v>0.66697358178566246</v>
      </c>
      <c r="V1058" s="9">
        <v>46087</v>
      </c>
      <c r="W1058">
        <v>2384200</v>
      </c>
      <c r="X1058">
        <v>2988057.6962000001</v>
      </c>
      <c r="Y1058">
        <v>1696477.2615</v>
      </c>
      <c r="AC1058" s="24">
        <f t="shared" si="397"/>
        <v>3.6986444204433734E-2</v>
      </c>
      <c r="AE1058" s="5">
        <f t="shared" si="398"/>
        <v>66478.086314742424</v>
      </c>
      <c r="AF1058" s="6">
        <f t="shared" si="399"/>
        <v>162477.95878214933</v>
      </c>
      <c r="AH1058" s="1">
        <f t="shared" si="400"/>
        <v>46087</v>
      </c>
      <c r="AI1058">
        <f t="shared" si="401"/>
        <v>0.40915141237019315</v>
      </c>
      <c r="AJ1058">
        <f t="shared" ca="1" si="402"/>
        <v>0.40430461647801591</v>
      </c>
      <c r="AK1058">
        <f t="shared" ca="1" si="403"/>
        <v>0.43118974220775064</v>
      </c>
      <c r="AL1058">
        <f t="shared" ca="1" si="404"/>
        <v>0.45139758706542543</v>
      </c>
      <c r="AM1058">
        <f t="shared" ca="1" si="405"/>
        <v>0.47903380300992132</v>
      </c>
      <c r="AN1058">
        <f t="shared" ca="1" si="406"/>
        <v>0.49292637558080621</v>
      </c>
    </row>
    <row r="1059" spans="2:40" x14ac:dyDescent="0.25">
      <c r="B1059" s="1">
        <v>46094</v>
      </c>
      <c r="C1059">
        <v>791</v>
      </c>
      <c r="D1059">
        <v>598.11099999999999</v>
      </c>
      <c r="E1059">
        <v>2930</v>
      </c>
      <c r="G1059">
        <v>2642584</v>
      </c>
      <c r="I1059" s="14">
        <f t="shared" si="389"/>
        <v>-7.1051086318261847E-2</v>
      </c>
      <c r="J1059" s="15">
        <f t="shared" si="390"/>
        <v>-5.9712872625744096E-2</v>
      </c>
      <c r="K1059" s="15">
        <f t="shared" si="391"/>
        <v>7.7386070507308169E-3</v>
      </c>
      <c r="L1059" s="15"/>
      <c r="M1059" s="16">
        <f t="shared" si="392"/>
        <v>6.2712409776419786E-3</v>
      </c>
      <c r="O1059" s="13">
        <f t="shared" si="393"/>
        <v>-4.1008450631091709E-2</v>
      </c>
      <c r="Q1059" s="5">
        <f t="shared" si="394"/>
        <v>103924.48159654981</v>
      </c>
      <c r="R1059" s="6">
        <f t="shared" si="395"/>
        <v>163496.89721522757</v>
      </c>
      <c r="T1059" s="11">
        <f t="shared" si="396"/>
        <v>0.63563580328832459</v>
      </c>
      <c r="V1059" s="9">
        <v>46094</v>
      </c>
      <c r="W1059">
        <v>2214800</v>
      </c>
      <c r="X1059">
        <v>2809632.4822999998</v>
      </c>
      <c r="Y1059">
        <v>1709605.6324</v>
      </c>
      <c r="AC1059" s="24">
        <f t="shared" si="397"/>
        <v>-4.7348944290198577E-2</v>
      </c>
      <c r="AE1059" s="5">
        <f t="shared" si="398"/>
        <v>63330.419109306677</v>
      </c>
      <c r="AF1059" s="6">
        <f t="shared" si="399"/>
        <v>163496.89721522757</v>
      </c>
      <c r="AH1059" s="1">
        <f t="shared" si="400"/>
        <v>46094</v>
      </c>
      <c r="AI1059">
        <f t="shared" si="401"/>
        <v>0.38734936373708923</v>
      </c>
      <c r="AJ1059">
        <f t="shared" ca="1" si="402"/>
        <v>0.40430461647801591</v>
      </c>
      <c r="AK1059">
        <f t="shared" ca="1" si="403"/>
        <v>0.42900698821657818</v>
      </c>
      <c r="AL1059">
        <f t="shared" ca="1" si="404"/>
        <v>0.44801087007793061</v>
      </c>
      <c r="AM1059">
        <f t="shared" ca="1" si="405"/>
        <v>0.47715154651281083</v>
      </c>
      <c r="AN1059">
        <f t="shared" ca="1" si="406"/>
        <v>0.49292637558080621</v>
      </c>
    </row>
    <row r="1060" spans="2:40" x14ac:dyDescent="0.25">
      <c r="B1060" s="1">
        <v>46101</v>
      </c>
      <c r="C1060">
        <v>793</v>
      </c>
      <c r="D1060">
        <v>599.07299999999998</v>
      </c>
      <c r="E1060">
        <v>2960</v>
      </c>
      <c r="G1060">
        <v>2725326</v>
      </c>
      <c r="I1060" s="14">
        <f t="shared" si="389"/>
        <v>2.5284450063212116E-3</v>
      </c>
      <c r="J1060" s="15">
        <f t="shared" si="390"/>
        <v>1.6083971035476541E-3</v>
      </c>
      <c r="K1060" s="15">
        <f t="shared" si="391"/>
        <v>1.0238907849829282E-2</v>
      </c>
      <c r="L1060" s="15"/>
      <c r="M1060" s="16">
        <f t="shared" si="392"/>
        <v>3.1311019819994401E-2</v>
      </c>
      <c r="O1060" s="13">
        <f t="shared" si="393"/>
        <v>4.7919166532327155E-3</v>
      </c>
      <c r="Q1060" s="5">
        <f t="shared" si="394"/>
        <v>104422.47905059089</v>
      </c>
      <c r="R1060" s="6">
        <f t="shared" si="395"/>
        <v>168616.15180444115</v>
      </c>
      <c r="T1060" s="11">
        <f t="shared" si="396"/>
        <v>0.61929108174464054</v>
      </c>
      <c r="V1060" s="9">
        <v>46101</v>
      </c>
      <c r="W1060">
        <v>2220400</v>
      </c>
      <c r="X1060">
        <v>2814149.5762999998</v>
      </c>
      <c r="Y1060">
        <v>1727110.1270000001</v>
      </c>
      <c r="AC1060" s="24">
        <f t="shared" si="397"/>
        <v>4.102070526740444E-3</v>
      </c>
      <c r="AE1060" s="5">
        <f t="shared" si="398"/>
        <v>63590.204954981084</v>
      </c>
      <c r="AF1060" s="6">
        <f t="shared" si="399"/>
        <v>168616.15180444115</v>
      </c>
      <c r="AH1060" s="1">
        <f t="shared" si="400"/>
        <v>46101</v>
      </c>
      <c r="AI1060">
        <f t="shared" si="401"/>
        <v>0.3771299740533291</v>
      </c>
      <c r="AJ1060">
        <f t="shared" ca="1" si="402"/>
        <v>0.40387422464398176</v>
      </c>
      <c r="AK1060">
        <f t="shared" ca="1" si="403"/>
        <v>0.4257462265713684</v>
      </c>
      <c r="AL1060">
        <f t="shared" ca="1" si="404"/>
        <v>0.44527902970363259</v>
      </c>
      <c r="AM1060">
        <f t="shared" ca="1" si="405"/>
        <v>0.47715154651281083</v>
      </c>
      <c r="AN1060">
        <f t="shared" ca="1" si="406"/>
        <v>0.49292637558080621</v>
      </c>
    </row>
    <row r="1061" spans="2:40" x14ac:dyDescent="0.25">
      <c r="B1061" s="1">
        <v>46108</v>
      </c>
      <c r="C1061">
        <v>809</v>
      </c>
      <c r="D1061">
        <v>636.09400000000005</v>
      </c>
      <c r="E1061">
        <v>2962.5</v>
      </c>
      <c r="G1061">
        <v>2793847</v>
      </c>
      <c r="I1061" s="14">
        <f t="shared" si="389"/>
        <v>2.0176544766708604E-2</v>
      </c>
      <c r="J1061" s="15">
        <f t="shared" si="390"/>
        <v>6.1797143252992681E-2</v>
      </c>
      <c r="K1061" s="15">
        <f t="shared" si="391"/>
        <v>8.4459459459451658E-4</v>
      </c>
      <c r="L1061" s="15"/>
      <c r="M1061" s="16">
        <f t="shared" si="392"/>
        <v>2.514231324986449E-2</v>
      </c>
      <c r="O1061" s="13">
        <f t="shared" si="393"/>
        <v>2.7606094204765268E-2</v>
      </c>
      <c r="Q1061" s="5">
        <f t="shared" si="394"/>
        <v>107305.17584435664</v>
      </c>
      <c r="R1061" s="6">
        <f t="shared" si="395"/>
        <v>172855.55191209511</v>
      </c>
      <c r="T1061" s="11">
        <f t="shared" si="396"/>
        <v>0.62077945809299884</v>
      </c>
      <c r="V1061" s="9">
        <v>46108</v>
      </c>
      <c r="W1061">
        <v>2265200</v>
      </c>
      <c r="X1061">
        <v>2988057.6962000001</v>
      </c>
      <c r="Y1061">
        <v>1728568.8348000001</v>
      </c>
      <c r="AC1061" s="24">
        <f t="shared" si="397"/>
        <v>3.2560809333844837E-2</v>
      </c>
      <c r="AE1061" s="5">
        <f t="shared" si="398"/>
        <v>65660.753494020333</v>
      </c>
      <c r="AF1061" s="6">
        <f t="shared" si="399"/>
        <v>172855.55191209511</v>
      </c>
      <c r="AH1061" s="1">
        <f t="shared" si="400"/>
        <v>46108</v>
      </c>
      <c r="AI1061">
        <f t="shared" si="401"/>
        <v>0.37985909487831671</v>
      </c>
      <c r="AJ1061">
        <f t="shared" ca="1" si="402"/>
        <v>0.40313228854920463</v>
      </c>
      <c r="AK1061">
        <f t="shared" ca="1" si="403"/>
        <v>0.42499440840083746</v>
      </c>
      <c r="AL1061">
        <f t="shared" ca="1" si="404"/>
        <v>0.44313314669387449</v>
      </c>
      <c r="AM1061">
        <f t="shared" ca="1" si="405"/>
        <v>0.47647963705236063</v>
      </c>
      <c r="AN1061">
        <f t="shared" ca="1" si="406"/>
        <v>0.49292637558080621</v>
      </c>
    </row>
    <row r="1062" spans="2:40" x14ac:dyDescent="0.25">
      <c r="B1062" s="1">
        <v>46115</v>
      </c>
      <c r="C1062">
        <v>992.5</v>
      </c>
      <c r="D1062">
        <v>668.78899999999999</v>
      </c>
      <c r="E1062">
        <v>3325</v>
      </c>
      <c r="G1062">
        <v>2999342</v>
      </c>
      <c r="I1062" s="14">
        <f t="shared" si="389"/>
        <v>0.22682323856613107</v>
      </c>
      <c r="J1062" s="15">
        <f t="shared" si="390"/>
        <v>5.1399635902869667E-2</v>
      </c>
      <c r="K1062" s="15">
        <f t="shared" si="391"/>
        <v>0.1223628691983123</v>
      </c>
      <c r="L1062" s="15"/>
      <c r="M1062" s="16">
        <f t="shared" si="392"/>
        <v>7.3552703494500493E-2</v>
      </c>
      <c r="O1062" s="13">
        <f t="shared" si="393"/>
        <v>0.13352858122243769</v>
      </c>
      <c r="Q1062" s="5">
        <f t="shared" si="394"/>
        <v>121633.48373267776</v>
      </c>
      <c r="R1062" s="6">
        <f t="shared" si="395"/>
        <v>185569.54506926367</v>
      </c>
      <c r="T1062" s="11">
        <f t="shared" si="396"/>
        <v>0.65546037571670601</v>
      </c>
      <c r="V1062" s="9">
        <v>46115</v>
      </c>
      <c r="W1062">
        <v>2779000</v>
      </c>
      <c r="X1062">
        <v>3141638.8930000002</v>
      </c>
      <c r="Y1062">
        <v>1940081.4771</v>
      </c>
      <c r="AC1062" s="24">
        <f t="shared" si="397"/>
        <v>0.12588363746534897</v>
      </c>
      <c r="AE1062" s="5">
        <f t="shared" si="398"/>
        <v>73926.367982563228</v>
      </c>
      <c r="AF1062" s="6">
        <f t="shared" si="399"/>
        <v>185569.54506926367</v>
      </c>
      <c r="AH1062" s="1">
        <f t="shared" si="400"/>
        <v>46115</v>
      </c>
      <c r="AI1062">
        <f t="shared" si="401"/>
        <v>0.39837554139053516</v>
      </c>
      <c r="AJ1062">
        <f t="shared" ca="1" si="402"/>
        <v>0.39840495353096506</v>
      </c>
      <c r="AK1062">
        <f t="shared" ca="1" si="403"/>
        <v>0.42289107950287963</v>
      </c>
      <c r="AL1062">
        <f t="shared" ca="1" si="404"/>
        <v>0.44261182309873981</v>
      </c>
      <c r="AM1062">
        <f t="shared" ca="1" si="405"/>
        <v>0.47264508564424496</v>
      </c>
      <c r="AN1062">
        <f t="shared" ca="1" si="406"/>
        <v>0.49219104543529746</v>
      </c>
    </row>
    <row r="1063" spans="2:40" x14ac:dyDescent="0.25">
      <c r="B1063" s="1">
        <v>46122</v>
      </c>
      <c r="C1063">
        <v>997</v>
      </c>
      <c r="D1063">
        <v>715</v>
      </c>
      <c r="E1063">
        <v>3585</v>
      </c>
      <c r="G1063">
        <v>2998770</v>
      </c>
      <c r="I1063" s="14">
        <f t="shared" si="389"/>
        <v>4.5340050377833396E-3</v>
      </c>
      <c r="J1063" s="15">
        <f t="shared" si="390"/>
        <v>6.909653119294723E-2</v>
      </c>
      <c r="K1063" s="15">
        <f t="shared" si="391"/>
        <v>7.8195488721804596E-2</v>
      </c>
      <c r="L1063" s="15"/>
      <c r="M1063" s="16">
        <f t="shared" si="392"/>
        <v>-1.9070849539670753E-4</v>
      </c>
      <c r="O1063" s="13">
        <f t="shared" si="393"/>
        <v>5.0608674984178391E-2</v>
      </c>
      <c r="Q1063" s="5">
        <f t="shared" si="394"/>
        <v>127789.1931780982</v>
      </c>
      <c r="R1063" s="6">
        <f t="shared" si="395"/>
        <v>185534.15538053206</v>
      </c>
      <c r="T1063" s="11">
        <f t="shared" si="396"/>
        <v>0.68876370992716418</v>
      </c>
      <c r="V1063" s="9">
        <v>46122</v>
      </c>
      <c r="W1063">
        <v>2791600</v>
      </c>
      <c r="X1063">
        <v>3229722.2264</v>
      </c>
      <c r="Y1063">
        <v>2091787.0963000001</v>
      </c>
      <c r="AC1063" s="24">
        <f t="shared" si="397"/>
        <v>4.8517432381868827E-2</v>
      </c>
      <c r="AE1063" s="5">
        <f t="shared" si="398"/>
        <v>77513.085542394401</v>
      </c>
      <c r="AF1063" s="6">
        <f t="shared" si="399"/>
        <v>185534.15538053206</v>
      </c>
      <c r="AH1063" s="1">
        <f t="shared" si="400"/>
        <v>46122</v>
      </c>
      <c r="AI1063">
        <f t="shared" si="401"/>
        <v>0.41778337462131671</v>
      </c>
      <c r="AJ1063">
        <f t="shared" ca="1" si="402"/>
        <v>0.39793704400181446</v>
      </c>
      <c r="AK1063">
        <f t="shared" ca="1" si="403"/>
        <v>0.42101943648158924</v>
      </c>
      <c r="AL1063">
        <f t="shared" ca="1" si="404"/>
        <v>0.44198651030865266</v>
      </c>
      <c r="AM1063">
        <f t="shared" ca="1" si="405"/>
        <v>0.46972925940437338</v>
      </c>
      <c r="AN1063">
        <f t="shared" ca="1" si="406"/>
        <v>0.48524754007459603</v>
      </c>
    </row>
    <row r="1064" spans="2:40" x14ac:dyDescent="0.25">
      <c r="B1064" s="1">
        <v>46129</v>
      </c>
      <c r="C1064">
        <v>948.5</v>
      </c>
      <c r="D1064">
        <v>717</v>
      </c>
      <c r="E1064">
        <v>3395</v>
      </c>
      <c r="G1064">
        <v>2889185</v>
      </c>
      <c r="I1064" s="14">
        <f t="shared" si="389"/>
        <v>-4.8645937813440288E-2</v>
      </c>
      <c r="J1064" s="15">
        <f t="shared" si="390"/>
        <v>2.7972027972027469E-3</v>
      </c>
      <c r="K1064" s="15">
        <f t="shared" si="391"/>
        <v>-5.2998605299860557E-2</v>
      </c>
      <c r="L1064" s="15"/>
      <c r="M1064" s="16">
        <f t="shared" si="392"/>
        <v>-3.6543316092931488E-2</v>
      </c>
      <c r="O1064" s="13">
        <f t="shared" si="393"/>
        <v>-3.2949113438699364E-2</v>
      </c>
      <c r="Q1064" s="5">
        <f t="shared" si="394"/>
        <v>123578.65255583318</v>
      </c>
      <c r="R1064" s="6">
        <f t="shared" si="395"/>
        <v>178754.12209442622</v>
      </c>
      <c r="T1064" s="11">
        <f t="shared" si="396"/>
        <v>0.69133316260283606</v>
      </c>
      <c r="V1064" s="9">
        <v>46129</v>
      </c>
      <c r="W1064">
        <v>2655800</v>
      </c>
      <c r="X1064">
        <v>3238756.4145</v>
      </c>
      <c r="Y1064">
        <v>1980925.2975999999</v>
      </c>
      <c r="AC1064" s="24">
        <f t="shared" si="397"/>
        <v>-2.9289339165861239E-2</v>
      </c>
      <c r="AE1064" s="5">
        <f t="shared" si="398"/>
        <v>75242.778490150798</v>
      </c>
      <c r="AF1064" s="6">
        <f t="shared" si="399"/>
        <v>178754.12209442622</v>
      </c>
      <c r="AH1064" s="1">
        <f t="shared" si="400"/>
        <v>46129</v>
      </c>
      <c r="AI1064">
        <f t="shared" si="401"/>
        <v>0.42092891402193267</v>
      </c>
      <c r="AJ1064">
        <f t="shared" ca="1" si="402"/>
        <v>0.39793704400181446</v>
      </c>
      <c r="AK1064">
        <f t="shared" ca="1" si="403"/>
        <v>0.41914174969024703</v>
      </c>
      <c r="AL1064">
        <f t="shared" ca="1" si="404"/>
        <v>0.44102869233665115</v>
      </c>
      <c r="AM1064">
        <f t="shared" ca="1" si="405"/>
        <v>0.46667533729148952</v>
      </c>
      <c r="AN1064">
        <f t="shared" ca="1" si="406"/>
        <v>0.48392902630903323</v>
      </c>
    </row>
    <row r="1065" spans="2:40" x14ac:dyDescent="0.25">
      <c r="B1065" s="1">
        <v>46136</v>
      </c>
      <c r="C1065">
        <v>994</v>
      </c>
      <c r="D1065">
        <v>697</v>
      </c>
      <c r="E1065">
        <v>3337.5</v>
      </c>
      <c r="G1065">
        <v>2840788</v>
      </c>
      <c r="I1065" s="14">
        <f t="shared" si="389"/>
        <v>4.7970479704797064E-2</v>
      </c>
      <c r="J1065" s="15">
        <f t="shared" si="390"/>
        <v>-2.7894002789400241E-2</v>
      </c>
      <c r="K1065" s="15">
        <f t="shared" si="391"/>
        <v>-1.6936671575846884E-2</v>
      </c>
      <c r="L1065" s="15"/>
      <c r="M1065" s="16">
        <f t="shared" si="392"/>
        <v>-1.6751090705510396E-2</v>
      </c>
      <c r="O1065" s="13">
        <f t="shared" si="393"/>
        <v>1.0466017798499798E-3</v>
      </c>
      <c r="Q1065" s="5">
        <f t="shared" si="394"/>
        <v>123707.99019354959</v>
      </c>
      <c r="R1065" s="6">
        <f t="shared" si="395"/>
        <v>175759.79558123861</v>
      </c>
      <c r="T1065" s="11">
        <f t="shared" si="396"/>
        <v>0.7038469166651371</v>
      </c>
      <c r="V1065" s="9">
        <v>46136</v>
      </c>
      <c r="W1065">
        <v>2783200</v>
      </c>
      <c r="X1065">
        <v>3148414.534</v>
      </c>
      <c r="Y1065">
        <v>1947375.0164999999</v>
      </c>
      <c r="AC1065" s="24">
        <f t="shared" si="397"/>
        <v>4.4541254570138676E-4</v>
      </c>
      <c r="AE1065" s="5">
        <f t="shared" si="398"/>
        <v>75276.292567663739</v>
      </c>
      <c r="AF1065" s="6">
        <f t="shared" si="399"/>
        <v>175759.79558123861</v>
      </c>
      <c r="AH1065" s="1">
        <f t="shared" si="400"/>
        <v>46136</v>
      </c>
      <c r="AI1065">
        <f t="shared" si="401"/>
        <v>0.42829073804236412</v>
      </c>
      <c r="AJ1065">
        <f t="shared" ca="1" si="402"/>
        <v>0.39793704400181446</v>
      </c>
      <c r="AK1065">
        <f t="shared" ca="1" si="403"/>
        <v>0.41914174969024703</v>
      </c>
      <c r="AL1065">
        <f t="shared" ca="1" si="404"/>
        <v>0.44009656036078215</v>
      </c>
      <c r="AM1065">
        <f t="shared" ca="1" si="405"/>
        <v>0.46522366118059916</v>
      </c>
      <c r="AN1065">
        <f t="shared" ca="1" si="406"/>
        <v>0.48392902630903323</v>
      </c>
    </row>
    <row r="1066" spans="2:40" x14ac:dyDescent="0.25">
      <c r="B1066" s="1">
        <v>46143</v>
      </c>
      <c r="C1066">
        <v>970</v>
      </c>
      <c r="D1066">
        <v>673.5</v>
      </c>
      <c r="E1066">
        <v>3325</v>
      </c>
      <c r="G1066">
        <v>2832851</v>
      </c>
      <c r="I1066" s="14">
        <f t="shared" si="389"/>
        <v>-2.4144869215291798E-2</v>
      </c>
      <c r="J1066" s="15">
        <f t="shared" si="390"/>
        <v>-3.3715925394548041E-2</v>
      </c>
      <c r="K1066" s="15">
        <f t="shared" si="391"/>
        <v>-3.7453183520599342E-3</v>
      </c>
      <c r="L1066" s="15"/>
      <c r="M1066" s="16">
        <f t="shared" si="392"/>
        <v>-2.7939430890302486E-3</v>
      </c>
      <c r="O1066" s="13">
        <f t="shared" si="393"/>
        <v>-2.0535370987299923E-2</v>
      </c>
      <c r="Q1066" s="5">
        <f t="shared" si="394"/>
        <v>121167.60072083178</v>
      </c>
      <c r="R1066" s="6">
        <f t="shared" si="395"/>
        <v>175268.73271504504</v>
      </c>
      <c r="T1066" s="11">
        <f t="shared" si="396"/>
        <v>0.69132468092770527</v>
      </c>
      <c r="V1066" s="9">
        <v>46143</v>
      </c>
      <c r="W1066">
        <v>2716000</v>
      </c>
      <c r="X1066">
        <v>3042262.8245000001</v>
      </c>
      <c r="Y1066">
        <v>1940081.4771</v>
      </c>
      <c r="AC1066" s="24">
        <f t="shared" si="397"/>
        <v>-2.2927463955784988E-2</v>
      </c>
      <c r="AE1066" s="5">
        <f t="shared" si="398"/>
        <v>73550.398083093503</v>
      </c>
      <c r="AF1066" s="6">
        <f t="shared" si="399"/>
        <v>175268.73271504504</v>
      </c>
      <c r="AH1066" s="1">
        <f t="shared" si="400"/>
        <v>46143</v>
      </c>
      <c r="AI1066">
        <f t="shared" si="401"/>
        <v>0.41964357785751216</v>
      </c>
      <c r="AJ1066">
        <f t="shared" ca="1" si="402"/>
        <v>0.39793704400181446</v>
      </c>
      <c r="AK1066">
        <f t="shared" ca="1" si="403"/>
        <v>0.41914174969024703</v>
      </c>
      <c r="AL1066">
        <f t="shared" ca="1" si="404"/>
        <v>0.43899934681208841</v>
      </c>
      <c r="AM1066">
        <f t="shared" ca="1" si="405"/>
        <v>0.46522366118059916</v>
      </c>
      <c r="AN1066">
        <f t="shared" ca="1" si="406"/>
        <v>0.48392902630903323</v>
      </c>
    </row>
    <row r="1067" spans="2:40" x14ac:dyDescent="0.25">
      <c r="B1067" s="1">
        <v>46150</v>
      </c>
      <c r="C1067">
        <v>910.5</v>
      </c>
      <c r="D1067">
        <v>667</v>
      </c>
      <c r="E1067">
        <v>3270</v>
      </c>
      <c r="G1067">
        <v>2769127</v>
      </c>
      <c r="I1067" s="14">
        <f t="shared" si="389"/>
        <v>-6.1340206185567014E-2</v>
      </c>
      <c r="J1067" s="15">
        <f t="shared" si="390"/>
        <v>-9.651076466221209E-3</v>
      </c>
      <c r="K1067" s="15">
        <f t="shared" si="391"/>
        <v>-1.6541353383458635E-2</v>
      </c>
      <c r="L1067" s="15"/>
      <c r="M1067" s="16">
        <f t="shared" si="392"/>
        <v>-2.2494652913266577E-2</v>
      </c>
      <c r="O1067" s="13">
        <f t="shared" si="393"/>
        <v>-2.9177545345082285E-2</v>
      </c>
      <c r="Q1067" s="5">
        <f t="shared" si="394"/>
        <v>117632.22755644488</v>
      </c>
      <c r="R1067" s="6">
        <f t="shared" si="395"/>
        <v>171326.123406072</v>
      </c>
      <c r="T1067" s="11">
        <f t="shared" si="396"/>
        <v>0.68659831447675101</v>
      </c>
      <c r="V1067" s="9">
        <v>46150</v>
      </c>
      <c r="W1067">
        <v>2549400</v>
      </c>
      <c r="X1067">
        <v>3012901.7132999999</v>
      </c>
      <c r="Y1067">
        <v>1907989.9038</v>
      </c>
      <c r="AC1067" s="24">
        <f t="shared" si="397"/>
        <v>-2.9623601585032688E-2</v>
      </c>
      <c r="AE1067" s="5">
        <f t="shared" si="398"/>
        <v>71371.570393859394</v>
      </c>
      <c r="AF1067" s="6">
        <f t="shared" si="399"/>
        <v>171326.123406072</v>
      </c>
      <c r="AH1067" s="1">
        <f t="shared" si="400"/>
        <v>46150</v>
      </c>
      <c r="AI1067">
        <f t="shared" si="401"/>
        <v>0.41658311631027017</v>
      </c>
      <c r="AJ1067">
        <f t="shared" ca="1" si="402"/>
        <v>0.39793704400181446</v>
      </c>
      <c r="AK1067">
        <f t="shared" ca="1" si="403"/>
        <v>0.41914174969024703</v>
      </c>
      <c r="AL1067">
        <f t="shared" ca="1" si="404"/>
        <v>0.43788914126128514</v>
      </c>
      <c r="AM1067">
        <f t="shared" ca="1" si="405"/>
        <v>0.46522366118059916</v>
      </c>
      <c r="AN1067">
        <f t="shared" ca="1" si="406"/>
        <v>0.48392902630903323</v>
      </c>
    </row>
    <row r="1068" spans="2:40" x14ac:dyDescent="0.25">
      <c r="B1068" s="1">
        <v>46157</v>
      </c>
      <c r="C1068">
        <v>940.5</v>
      </c>
      <c r="D1068">
        <v>615</v>
      </c>
      <c r="E1068">
        <v>3105</v>
      </c>
      <c r="G1068">
        <v>2707869</v>
      </c>
      <c r="I1068" s="14">
        <f t="shared" si="389"/>
        <v>3.2948929159802409E-2</v>
      </c>
      <c r="J1068" s="15">
        <f t="shared" si="390"/>
        <v>-7.7961019490254913E-2</v>
      </c>
      <c r="K1068" s="15">
        <f t="shared" si="391"/>
        <v>-5.0458715596330306E-2</v>
      </c>
      <c r="L1068" s="15"/>
      <c r="M1068" s="16">
        <f t="shared" si="392"/>
        <v>-2.2121773396453159E-2</v>
      </c>
      <c r="O1068" s="13">
        <f t="shared" si="393"/>
        <v>-3.1823601975594272E-2</v>
      </c>
      <c r="Q1068" s="5">
        <f t="shared" si="394"/>
        <v>113888.74636718605</v>
      </c>
      <c r="R1068" s="6">
        <f t="shared" si="395"/>
        <v>167536.0857271901</v>
      </c>
      <c r="T1068" s="11">
        <f t="shared" si="396"/>
        <v>0.67978636287729977</v>
      </c>
      <c r="V1068" s="9">
        <v>46157</v>
      </c>
      <c r="W1068">
        <v>2633400</v>
      </c>
      <c r="X1068">
        <v>2778012.8240999999</v>
      </c>
      <c r="Y1068">
        <v>1811715.1839000001</v>
      </c>
      <c r="AC1068" s="24">
        <f t="shared" si="397"/>
        <v>-3.3086206239063429E-2</v>
      </c>
      <c r="AE1068" s="5">
        <f t="shared" si="398"/>
        <v>69010.155896202326</v>
      </c>
      <c r="AF1068" s="6">
        <f t="shared" si="399"/>
        <v>167536.0857271901</v>
      </c>
      <c r="AH1068" s="1">
        <f t="shared" si="400"/>
        <v>46157</v>
      </c>
      <c r="AI1068">
        <f t="shared" si="401"/>
        <v>0.41191218952420827</v>
      </c>
      <c r="AJ1068">
        <f t="shared" ca="1" si="402"/>
        <v>0.39793704400181446</v>
      </c>
      <c r="AK1068">
        <f t="shared" ca="1" si="403"/>
        <v>0.4174833100435551</v>
      </c>
      <c r="AL1068">
        <f t="shared" ca="1" si="404"/>
        <v>0.43788914126128514</v>
      </c>
      <c r="AM1068">
        <f t="shared" ca="1" si="405"/>
        <v>0.46522366118059916</v>
      </c>
      <c r="AN1068">
        <f t="shared" ca="1" si="406"/>
        <v>0.48392902630903323</v>
      </c>
    </row>
    <row r="1069" spans="2:40" x14ac:dyDescent="0.25">
      <c r="B1069" s="1">
        <v>46164</v>
      </c>
      <c r="C1069">
        <v>938.5</v>
      </c>
      <c r="D1069">
        <v>634</v>
      </c>
      <c r="E1069">
        <v>3277.5</v>
      </c>
      <c r="G1069">
        <v>2846220</v>
      </c>
      <c r="I1069" s="14">
        <f t="shared" si="389"/>
        <v>-2.1265284423178654E-3</v>
      </c>
      <c r="J1069" s="15">
        <f t="shared" si="390"/>
        <v>3.0894308943089532E-2</v>
      </c>
      <c r="K1069" s="15">
        <f t="shared" si="391"/>
        <v>5.555555555555558E-2</v>
      </c>
      <c r="L1069" s="15"/>
      <c r="M1069" s="16">
        <f t="shared" si="392"/>
        <v>5.1092205716007699E-2</v>
      </c>
      <c r="O1069" s="13">
        <f t="shared" si="393"/>
        <v>2.8107778685442415E-2</v>
      </c>
      <c r="Q1069" s="5">
        <f t="shared" si="394"/>
        <v>117089.90604483739</v>
      </c>
      <c r="R1069" s="6">
        <f t="shared" si="395"/>
        <v>176095.87388401839</v>
      </c>
      <c r="T1069" s="11">
        <f t="shared" si="396"/>
        <v>0.66492134916208223</v>
      </c>
      <c r="V1069" s="9">
        <v>46164</v>
      </c>
      <c r="W1069">
        <v>2627800</v>
      </c>
      <c r="X1069">
        <v>2863837.6105999998</v>
      </c>
      <c r="Y1069">
        <v>1912366.0274</v>
      </c>
      <c r="AC1069" s="24">
        <f t="shared" si="397"/>
        <v>2.5041177421372126E-2</v>
      </c>
      <c r="AE1069" s="5">
        <f t="shared" si="398"/>
        <v>70738.25145387568</v>
      </c>
      <c r="AF1069" s="6">
        <f t="shared" si="399"/>
        <v>176095.87388401839</v>
      </c>
      <c r="AH1069" s="1">
        <f t="shared" si="400"/>
        <v>46164</v>
      </c>
      <c r="AI1069">
        <f t="shared" si="401"/>
        <v>0.40170306034805703</v>
      </c>
      <c r="AJ1069">
        <f t="shared" ca="1" si="402"/>
        <v>0.39793704400181446</v>
      </c>
      <c r="AK1069">
        <f t="shared" ca="1" si="403"/>
        <v>0.41541538461375471</v>
      </c>
      <c r="AL1069">
        <f t="shared" ca="1" si="404"/>
        <v>0.43757467209644685</v>
      </c>
      <c r="AM1069">
        <f t="shared" ca="1" si="405"/>
        <v>0.46522366118059916</v>
      </c>
      <c r="AN1069">
        <f t="shared" ca="1" si="406"/>
        <v>0.48392902630903323</v>
      </c>
    </row>
    <row r="1070" spans="2:40" x14ac:dyDescent="0.25">
      <c r="B1070" s="1">
        <v>46171</v>
      </c>
      <c r="C1070">
        <v>1019</v>
      </c>
      <c r="D1070">
        <v>692.5</v>
      </c>
      <c r="E1070">
        <v>3592.5</v>
      </c>
      <c r="G1070">
        <v>3166407</v>
      </c>
      <c r="I1070" s="14">
        <f t="shared" si="389"/>
        <v>8.5775173148641359E-2</v>
      </c>
      <c r="J1070" s="15">
        <f t="shared" si="390"/>
        <v>9.2271293375394414E-2</v>
      </c>
      <c r="K1070" s="15">
        <f t="shared" si="391"/>
        <v>9.6109839816933551E-2</v>
      </c>
      <c r="L1070" s="15"/>
      <c r="M1070" s="16">
        <f t="shared" si="392"/>
        <v>0.11249552037439137</v>
      </c>
      <c r="O1070" s="13">
        <f t="shared" si="393"/>
        <v>9.1385435446989779E-2</v>
      </c>
      <c r="Q1070" s="5">
        <f t="shared" si="394"/>
        <v>127790.21809519199</v>
      </c>
      <c r="R1070" s="6">
        <f t="shared" si="395"/>
        <v>195905.87085238425</v>
      </c>
      <c r="T1070" s="11">
        <f t="shared" si="396"/>
        <v>0.65230417822180708</v>
      </c>
      <c r="V1070" s="9">
        <v>46171</v>
      </c>
      <c r="W1070">
        <v>2853200</v>
      </c>
      <c r="X1070">
        <v>3128087.6109000002</v>
      </c>
      <c r="Y1070">
        <v>2096163.22</v>
      </c>
      <c r="AC1070" s="24">
        <f t="shared" si="397"/>
        <v>9.0957166667983272E-2</v>
      </c>
      <c r="AE1070" s="5">
        <f t="shared" si="398"/>
        <v>77172.402381167572</v>
      </c>
      <c r="AF1070" s="6">
        <f t="shared" si="399"/>
        <v>195905.87085238425</v>
      </c>
      <c r="AH1070" s="1">
        <f t="shared" si="400"/>
        <v>46171</v>
      </c>
      <c r="AI1070">
        <f t="shared" si="401"/>
        <v>0.39392593006728849</v>
      </c>
      <c r="AJ1070">
        <f t="shared" ca="1" si="402"/>
        <v>0.39793704400181446</v>
      </c>
      <c r="AK1070">
        <f t="shared" ca="1" si="403"/>
        <v>0.41122199523570446</v>
      </c>
      <c r="AL1070">
        <f t="shared" ca="1" si="404"/>
        <v>0.43540272808084984</v>
      </c>
      <c r="AM1070">
        <f t="shared" ca="1" si="405"/>
        <v>0.46522366118059916</v>
      </c>
      <c r="AN1070">
        <f t="shared" ca="1" si="406"/>
        <v>0.48392902630903323</v>
      </c>
    </row>
    <row r="1071" spans="2:40" x14ac:dyDescent="0.25">
      <c r="B1071" s="1">
        <v>46178</v>
      </c>
      <c r="C1071">
        <v>976</v>
      </c>
      <c r="D1071">
        <v>684</v>
      </c>
      <c r="E1071">
        <v>3347.5</v>
      </c>
      <c r="G1071">
        <v>3084617</v>
      </c>
      <c r="I1071" s="14">
        <f t="shared" si="389"/>
        <v>-4.2198233562316001E-2</v>
      </c>
      <c r="J1071" s="15">
        <f t="shared" si="390"/>
        <v>-1.2274368231046884E-2</v>
      </c>
      <c r="K1071" s="15">
        <f t="shared" si="391"/>
        <v>-6.8197633959638182E-2</v>
      </c>
      <c r="L1071" s="15"/>
      <c r="M1071" s="16">
        <f t="shared" si="392"/>
        <v>-2.5830539156842414E-2</v>
      </c>
      <c r="O1071" s="13">
        <f t="shared" si="393"/>
        <v>-4.0890078584333689E-2</v>
      </c>
      <c r="Q1071" s="5">
        <f t="shared" si="394"/>
        <v>122564.86603497044</v>
      </c>
      <c r="R1071" s="6">
        <f t="shared" si="395"/>
        <v>190845.51658427643</v>
      </c>
      <c r="T1071" s="11">
        <f t="shared" si="396"/>
        <v>0.64222030587156298</v>
      </c>
      <c r="V1071" s="9">
        <v>46178</v>
      </c>
      <c r="W1071">
        <v>2732800</v>
      </c>
      <c r="X1071">
        <v>3089692.3117</v>
      </c>
      <c r="Y1071">
        <v>1953209.848</v>
      </c>
      <c r="AC1071" s="24">
        <f t="shared" si="397"/>
        <v>-3.7356918353256954E-2</v>
      </c>
      <c r="AE1071" s="5">
        <f t="shared" si="398"/>
        <v>74289.4792462896</v>
      </c>
      <c r="AF1071" s="6">
        <f t="shared" si="399"/>
        <v>190845.51658427643</v>
      </c>
      <c r="AH1071" s="1">
        <f t="shared" si="400"/>
        <v>46178</v>
      </c>
      <c r="AI1071">
        <f t="shared" si="401"/>
        <v>0.38926499598162551</v>
      </c>
      <c r="AJ1071">
        <f t="shared" ca="1" si="402"/>
        <v>0.39432216926753305</v>
      </c>
      <c r="AK1071">
        <f t="shared" ca="1" si="403"/>
        <v>0.40803594189498499</v>
      </c>
      <c r="AL1071">
        <f t="shared" ca="1" si="404"/>
        <v>0.43274137612936109</v>
      </c>
      <c r="AM1071">
        <f t="shared" ca="1" si="405"/>
        <v>0.46484458414530477</v>
      </c>
      <c r="AN1071">
        <f t="shared" ca="1" si="406"/>
        <v>0.48392902630903323</v>
      </c>
    </row>
    <row r="1072" spans="2:40" x14ac:dyDescent="0.25">
      <c r="B1072" s="1">
        <v>46185</v>
      </c>
      <c r="C1072">
        <v>1029</v>
      </c>
      <c r="D1072">
        <v>699.5</v>
      </c>
      <c r="E1072">
        <v>3737.5</v>
      </c>
      <c r="G1072">
        <v>3352708</v>
      </c>
      <c r="I1072" s="14">
        <f t="shared" si="389"/>
        <v>5.4303278688524692E-2</v>
      </c>
      <c r="J1072" s="15">
        <f t="shared" si="390"/>
        <v>2.266081871345027E-2</v>
      </c>
      <c r="K1072" s="15">
        <f t="shared" si="391"/>
        <v>0.11650485436893199</v>
      </c>
      <c r="L1072" s="15"/>
      <c r="M1072" s="16">
        <f t="shared" si="392"/>
        <v>8.6912248749196452E-2</v>
      </c>
      <c r="O1072" s="13">
        <f t="shared" si="393"/>
        <v>6.4489650590302317E-2</v>
      </c>
      <c r="Q1072" s="5">
        <f t="shared" si="394"/>
        <v>130469.03142021289</v>
      </c>
      <c r="R1072" s="6">
        <f t="shared" si="395"/>
        <v>207432.32959431797</v>
      </c>
      <c r="T1072" s="11">
        <f t="shared" si="396"/>
        <v>0.62897153821381335</v>
      </c>
      <c r="V1072" s="9">
        <v>46185</v>
      </c>
      <c r="W1072">
        <v>2881200</v>
      </c>
      <c r="X1072">
        <v>3159707.2691000002</v>
      </c>
      <c r="Y1072">
        <v>2180768.2768999999</v>
      </c>
      <c r="AC1072" s="24">
        <f t="shared" si="397"/>
        <v>5.7354741358327091E-2</v>
      </c>
      <c r="AE1072" s="5">
        <f t="shared" si="398"/>
        <v>78550.33311410535</v>
      </c>
      <c r="AF1072" s="6">
        <f t="shared" si="399"/>
        <v>207432.32959431797</v>
      </c>
      <c r="AH1072" s="1">
        <f t="shared" si="400"/>
        <v>46185</v>
      </c>
      <c r="AI1072">
        <f t="shared" si="401"/>
        <v>0.37867931805870736</v>
      </c>
      <c r="AJ1072">
        <f t="shared" ca="1" si="402"/>
        <v>0.39234568265341502</v>
      </c>
      <c r="AK1072">
        <f t="shared" ca="1" si="403"/>
        <v>0.4045826099162092</v>
      </c>
      <c r="AL1072">
        <f t="shared" ca="1" si="404"/>
        <v>0.42992669190220267</v>
      </c>
      <c r="AM1072">
        <f t="shared" ca="1" si="405"/>
        <v>0.46484458414530477</v>
      </c>
      <c r="AN1072">
        <f t="shared" ca="1" si="406"/>
        <v>0.48392902630903323</v>
      </c>
    </row>
    <row r="1073" spans="2:40" x14ac:dyDescent="0.25">
      <c r="B1073" s="1">
        <v>46192</v>
      </c>
      <c r="C1073">
        <v>1000</v>
      </c>
      <c r="D1073">
        <v>674.5</v>
      </c>
      <c r="E1073">
        <v>3552.5</v>
      </c>
      <c r="G1073">
        <v>3291322</v>
      </c>
      <c r="I1073" s="14">
        <f t="shared" si="389"/>
        <v>-2.8182701652089359E-2</v>
      </c>
      <c r="J1073" s="15">
        <f t="shared" si="390"/>
        <v>-3.5739814152966454E-2</v>
      </c>
      <c r="K1073" s="15">
        <f t="shared" si="391"/>
        <v>-4.9498327759197269E-2</v>
      </c>
      <c r="L1073" s="15"/>
      <c r="M1073" s="16">
        <f t="shared" si="392"/>
        <v>-1.8309378568011292E-2</v>
      </c>
      <c r="O1073" s="13">
        <f t="shared" si="393"/>
        <v>-3.7806947854751027E-2</v>
      </c>
      <c r="Q1073" s="5">
        <f t="shared" si="394"/>
        <v>125536.39555264903</v>
      </c>
      <c r="R1073" s="6">
        <f t="shared" si="395"/>
        <v>203634.3725445311</v>
      </c>
      <c r="T1073" s="11">
        <f t="shared" si="396"/>
        <v>0.61647939875767543</v>
      </c>
      <c r="V1073" s="9">
        <v>46192</v>
      </c>
      <c r="W1073">
        <v>2800000</v>
      </c>
      <c r="X1073">
        <v>3046779.9185000001</v>
      </c>
      <c r="Y1073">
        <v>2072823.8939</v>
      </c>
      <c r="AC1073" s="24">
        <f t="shared" si="397"/>
        <v>-3.6740896891659838E-2</v>
      </c>
      <c r="AE1073" s="5">
        <f t="shared" si="398"/>
        <v>75664.323424354472</v>
      </c>
      <c r="AF1073" s="6">
        <f t="shared" si="399"/>
        <v>203634.3725445311</v>
      </c>
      <c r="AH1073" s="1">
        <f t="shared" si="400"/>
        <v>46192</v>
      </c>
      <c r="AI1073">
        <f t="shared" si="401"/>
        <v>0.37156950704777542</v>
      </c>
      <c r="AJ1073">
        <f t="shared" ca="1" si="402"/>
        <v>0.38955550634420588</v>
      </c>
      <c r="AK1073">
        <f t="shared" ca="1" si="403"/>
        <v>0.40415417503098494</v>
      </c>
      <c r="AL1073">
        <f t="shared" ca="1" si="404"/>
        <v>0.42705279813701991</v>
      </c>
      <c r="AM1073">
        <f t="shared" ca="1" si="405"/>
        <v>0.46484458414530477</v>
      </c>
      <c r="AN1073">
        <f t="shared" ca="1" si="406"/>
        <v>0.48392902630903323</v>
      </c>
    </row>
    <row r="1074" spans="2:40" x14ac:dyDescent="0.25">
      <c r="B1074" s="1">
        <v>46199</v>
      </c>
      <c r="C1074">
        <v>991</v>
      </c>
      <c r="D1074">
        <v>683.5</v>
      </c>
      <c r="E1074">
        <v>3555</v>
      </c>
      <c r="G1074">
        <v>3123411</v>
      </c>
      <c r="I1074" s="14">
        <f t="shared" si="389"/>
        <v>-9.000000000000008E-3</v>
      </c>
      <c r="J1074" s="15">
        <f t="shared" si="390"/>
        <v>1.3343217197924417E-2</v>
      </c>
      <c r="K1074" s="15">
        <f t="shared" si="391"/>
        <v>7.0372976776922336E-4</v>
      </c>
      <c r="L1074" s="15"/>
      <c r="M1074" s="16">
        <f t="shared" si="392"/>
        <v>-5.1016278565269468E-2</v>
      </c>
      <c r="O1074" s="13">
        <f t="shared" si="393"/>
        <v>1.6823156552312109E-3</v>
      </c>
      <c r="Q1074" s="5">
        <f t="shared" si="394"/>
        <v>125747.58739618855</v>
      </c>
      <c r="R1074" s="6">
        <f t="shared" si="395"/>
        <v>193245.70466933545</v>
      </c>
      <c r="T1074" s="11">
        <f t="shared" si="396"/>
        <v>0.65071349250094035</v>
      </c>
      <c r="V1074" s="9">
        <v>46199</v>
      </c>
      <c r="W1074">
        <v>2774800</v>
      </c>
      <c r="X1074">
        <v>3087433.7647000002</v>
      </c>
      <c r="Y1074">
        <v>2074282.6018000001</v>
      </c>
      <c r="AC1074" s="24">
        <f t="shared" si="397"/>
        <v>2.1355303225926662E-3</v>
      </c>
      <c r="AE1074" s="5">
        <f t="shared" si="398"/>
        <v>75825.906881365649</v>
      </c>
      <c r="AF1074" s="6">
        <f t="shared" si="399"/>
        <v>193245.70466933545</v>
      </c>
      <c r="AH1074" s="1">
        <f t="shared" si="400"/>
        <v>46199</v>
      </c>
      <c r="AI1074">
        <f t="shared" si="401"/>
        <v>0.39238081390275703</v>
      </c>
      <c r="AJ1074">
        <f t="shared" ca="1" si="402"/>
        <v>0.38754092696154285</v>
      </c>
      <c r="AK1074">
        <f t="shared" ca="1" si="403"/>
        <v>0.40363702568576554</v>
      </c>
      <c r="AL1074">
        <f t="shared" ca="1" si="404"/>
        <v>0.42567759491106116</v>
      </c>
      <c r="AM1074">
        <f t="shared" ca="1" si="405"/>
        <v>0.46484458414530477</v>
      </c>
      <c r="AN1074">
        <f t="shared" ca="1" si="406"/>
        <v>0.48392902630903323</v>
      </c>
    </row>
    <row r="1075" spans="2:40" x14ac:dyDescent="0.25">
      <c r="B1075" s="1">
        <v>46206</v>
      </c>
      <c r="C1075">
        <v>993</v>
      </c>
      <c r="D1075">
        <v>664</v>
      </c>
      <c r="E1075">
        <v>3672.5</v>
      </c>
      <c r="G1075">
        <v>3196900</v>
      </c>
      <c r="I1075" s="14">
        <f t="shared" si="389"/>
        <v>2.0181634712410634E-3</v>
      </c>
      <c r="J1075" s="15">
        <f t="shared" si="390"/>
        <v>-2.8529626920263396E-2</v>
      </c>
      <c r="K1075" s="15">
        <f t="shared" si="391"/>
        <v>3.3052039381153309E-2</v>
      </c>
      <c r="L1075" s="15"/>
      <c r="M1075" s="16">
        <f t="shared" si="392"/>
        <v>2.3528443743074501E-2</v>
      </c>
      <c r="O1075" s="13">
        <f t="shared" si="393"/>
        <v>2.180191977376992E-3</v>
      </c>
      <c r="Q1075" s="5">
        <f t="shared" si="394"/>
        <v>126021.74127740423</v>
      </c>
      <c r="R1075" s="6">
        <f t="shared" si="395"/>
        <v>197792.47536023869</v>
      </c>
      <c r="T1075" s="11">
        <f t="shared" si="396"/>
        <v>0.63714123122166966</v>
      </c>
      <c r="V1075" s="9">
        <v>46206</v>
      </c>
      <c r="W1075">
        <v>2780400</v>
      </c>
      <c r="X1075">
        <v>2999350.4312999998</v>
      </c>
      <c r="Y1075">
        <v>2142841.872</v>
      </c>
      <c r="AC1075" s="24">
        <f t="shared" si="397"/>
        <v>-1.7544301003843742E-3</v>
      </c>
      <c r="AE1075" s="5">
        <f t="shared" si="398"/>
        <v>75692.875627944042</v>
      </c>
      <c r="AF1075" s="6">
        <f t="shared" si="399"/>
        <v>197792.47536023869</v>
      </c>
      <c r="AH1075" s="1">
        <f t="shared" si="400"/>
        <v>46206</v>
      </c>
      <c r="AI1075">
        <f t="shared" si="401"/>
        <v>0.38268834792670903</v>
      </c>
      <c r="AJ1075">
        <f t="shared" ca="1" si="402"/>
        <v>0.38754092696154285</v>
      </c>
      <c r="AK1075">
        <f t="shared" ca="1" si="403"/>
        <v>0.40271674259854529</v>
      </c>
      <c r="AL1075">
        <f t="shared" ca="1" si="404"/>
        <v>0.42444848521122824</v>
      </c>
      <c r="AM1075">
        <f t="shared" ca="1" si="405"/>
        <v>0.46090223759308424</v>
      </c>
      <c r="AN1075">
        <f t="shared" ca="1" si="406"/>
        <v>0.48392902630903323</v>
      </c>
    </row>
    <row r="1076" spans="2:40" x14ac:dyDescent="0.25">
      <c r="B1076" s="1">
        <v>46213</v>
      </c>
      <c r="C1076">
        <v>975.5</v>
      </c>
      <c r="D1076">
        <v>671</v>
      </c>
      <c r="E1076">
        <v>3582.5</v>
      </c>
      <c r="G1076">
        <v>3280224</v>
      </c>
      <c r="I1076" s="14">
        <f t="shared" si="389"/>
        <v>-1.7623363544813642E-2</v>
      </c>
      <c r="J1076" s="15">
        <f t="shared" si="390"/>
        <v>1.0542168674698704E-2</v>
      </c>
      <c r="K1076" s="15">
        <f t="shared" si="391"/>
        <v>-2.4506466984343112E-2</v>
      </c>
      <c r="L1076" s="15"/>
      <c r="M1076" s="16">
        <f t="shared" si="392"/>
        <v>2.60639994995151E-2</v>
      </c>
      <c r="O1076" s="13">
        <f t="shared" si="393"/>
        <v>-1.0529220618152682E-2</v>
      </c>
      <c r="Q1076" s="5">
        <f t="shared" si="394"/>
        <v>124694.83056081069</v>
      </c>
      <c r="R1076" s="6">
        <f t="shared" si="395"/>
        <v>202947.7383390358</v>
      </c>
      <c r="T1076" s="11">
        <f t="shared" si="396"/>
        <v>0.61441842900708188</v>
      </c>
      <c r="V1076" s="9">
        <v>46213</v>
      </c>
      <c r="W1076">
        <v>2731400</v>
      </c>
      <c r="X1076">
        <v>3030970.0893999999</v>
      </c>
      <c r="Y1076">
        <v>2090328.3884999999</v>
      </c>
      <c r="AC1076" s="24">
        <f t="shared" si="397"/>
        <v>-8.8220903905945076E-3</v>
      </c>
      <c r="AE1076" s="5">
        <f t="shared" si="398"/>
        <v>75025.106237230284</v>
      </c>
      <c r="AF1076" s="6">
        <f t="shared" si="399"/>
        <v>202947.7383390358</v>
      </c>
      <c r="AH1076" s="1">
        <f t="shared" si="400"/>
        <v>46213</v>
      </c>
      <c r="AI1076">
        <f t="shared" si="401"/>
        <v>0.36967697620702999</v>
      </c>
      <c r="AJ1076">
        <f t="shared" ca="1" si="402"/>
        <v>0.38701158550113768</v>
      </c>
      <c r="AK1076">
        <f t="shared" ca="1" si="403"/>
        <v>0.40087118060867655</v>
      </c>
      <c r="AL1076">
        <f t="shared" ca="1" si="404"/>
        <v>0.42242552017374935</v>
      </c>
      <c r="AM1076">
        <f t="shared" ca="1" si="405"/>
        <v>0.45533790882437092</v>
      </c>
      <c r="AN1076">
        <f t="shared" ca="1" si="406"/>
        <v>0.48392902630903323</v>
      </c>
    </row>
    <row r="1077" spans="2:40" x14ac:dyDescent="0.25">
      <c r="B1077" s="1">
        <v>46220</v>
      </c>
      <c r="C1077">
        <v>949.5</v>
      </c>
      <c r="D1077">
        <v>664</v>
      </c>
      <c r="E1077">
        <v>3522.5</v>
      </c>
      <c r="G1077">
        <v>3199935</v>
      </c>
      <c r="I1077" s="14">
        <f t="shared" si="389"/>
        <v>-2.6652998462327049E-2</v>
      </c>
      <c r="J1077" s="15">
        <f t="shared" si="390"/>
        <v>-1.0432190760059634E-2</v>
      </c>
      <c r="K1077" s="15">
        <f t="shared" si="391"/>
        <v>-1.6748080949057886E-2</v>
      </c>
      <c r="L1077" s="15"/>
      <c r="M1077" s="16">
        <f t="shared" si="392"/>
        <v>-2.4476682080248224E-2</v>
      </c>
      <c r="O1077" s="13">
        <f t="shared" si="393"/>
        <v>-1.7944423390481523E-2</v>
      </c>
      <c r="Q1077" s="5">
        <f t="shared" si="394"/>
        <v>122457.25372662315</v>
      </c>
      <c r="R1077" s="6">
        <f t="shared" si="395"/>
        <v>197980.25106880581</v>
      </c>
      <c r="T1077" s="11">
        <f t="shared" si="396"/>
        <v>0.61853267215053942</v>
      </c>
      <c r="V1077" s="9">
        <v>46220</v>
      </c>
      <c r="W1077">
        <v>2658600</v>
      </c>
      <c r="X1077">
        <v>2999350.4312999998</v>
      </c>
      <c r="Y1077">
        <v>2055319.3994</v>
      </c>
      <c r="AC1077" s="24">
        <f t="shared" si="397"/>
        <v>-1.7755507563898491E-2</v>
      </c>
      <c r="AE1077" s="5">
        <f t="shared" si="398"/>
        <v>73692.997395952843</v>
      </c>
      <c r="AF1077" s="6">
        <f t="shared" si="399"/>
        <v>197980.25106880581</v>
      </c>
      <c r="AH1077" s="1">
        <f t="shared" si="400"/>
        <v>46220</v>
      </c>
      <c r="AI1077">
        <f t="shared" si="401"/>
        <v>0.37222398192808465</v>
      </c>
      <c r="AJ1077">
        <f t="shared" ca="1" si="402"/>
        <v>0.3831169185926413</v>
      </c>
      <c r="AK1077">
        <f t="shared" ca="1" si="403"/>
        <v>0.39825373656033497</v>
      </c>
      <c r="AL1077">
        <f t="shared" ca="1" si="404"/>
        <v>0.42121165776871072</v>
      </c>
      <c r="AM1077">
        <f t="shared" ca="1" si="405"/>
        <v>0.45013898628677801</v>
      </c>
      <c r="AN1077">
        <f t="shared" ca="1" si="406"/>
        <v>0.48392902630903323</v>
      </c>
    </row>
    <row r="1078" spans="2:40" x14ac:dyDescent="0.25">
      <c r="B1078" s="1">
        <v>46227</v>
      </c>
      <c r="C1078">
        <v>972</v>
      </c>
      <c r="D1078">
        <v>674</v>
      </c>
      <c r="E1078">
        <v>3610</v>
      </c>
      <c r="G1078">
        <v>3283854</v>
      </c>
      <c r="I1078" s="14">
        <f t="shared" si="389"/>
        <v>2.3696682464454888E-2</v>
      </c>
      <c r="J1078" s="15">
        <f t="shared" si="390"/>
        <v>1.5060240963855387E-2</v>
      </c>
      <c r="K1078" s="15">
        <f t="shared" si="391"/>
        <v>2.4840312278211485E-2</v>
      </c>
      <c r="L1078" s="15"/>
      <c r="M1078" s="16">
        <f t="shared" si="392"/>
        <v>2.6225220199785237E-2</v>
      </c>
      <c r="O1078" s="13">
        <f t="shared" si="393"/>
        <v>2.1199078568840585E-2</v>
      </c>
      <c r="Q1078" s="5">
        <f t="shared" si="394"/>
        <v>125053.23466969827</v>
      </c>
      <c r="R1078" s="6">
        <f t="shared" si="395"/>
        <v>203172.326748294</v>
      </c>
      <c r="T1078" s="11">
        <f t="shared" si="396"/>
        <v>0.61550328566460799</v>
      </c>
      <c r="V1078" s="9">
        <v>46227</v>
      </c>
      <c r="W1078">
        <v>2721600</v>
      </c>
      <c r="X1078">
        <v>3044521.3714999999</v>
      </c>
      <c r="Y1078">
        <v>2106374.1751000001</v>
      </c>
      <c r="AC1078" s="24">
        <f t="shared" si="397"/>
        <v>2.064308904496516E-2</v>
      </c>
      <c r="AE1078" s="5">
        <f t="shared" si="398"/>
        <v>75214.24850318789</v>
      </c>
      <c r="AF1078" s="6">
        <f t="shared" si="399"/>
        <v>203172.326748294</v>
      </c>
      <c r="AH1078" s="1">
        <f t="shared" si="400"/>
        <v>46227</v>
      </c>
      <c r="AI1078">
        <f t="shared" si="401"/>
        <v>0.37019927717011025</v>
      </c>
      <c r="AJ1078">
        <f t="shared" ca="1" si="402"/>
        <v>0.38014202018315596</v>
      </c>
      <c r="AK1078">
        <f t="shared" ca="1" si="403"/>
        <v>0.39689772406912288</v>
      </c>
      <c r="AL1078">
        <f t="shared" ca="1" si="404"/>
        <v>0.42028624593972241</v>
      </c>
      <c r="AM1078">
        <f t="shared" ca="1" si="405"/>
        <v>0.44400063955398167</v>
      </c>
      <c r="AN1078">
        <f t="shared" ca="1" si="406"/>
        <v>0.48286601535889451</v>
      </c>
    </row>
    <row r="1079" spans="2:40" x14ac:dyDescent="0.25">
      <c r="B1079" s="1">
        <v>46234</v>
      </c>
      <c r="C1079">
        <v>977.5</v>
      </c>
      <c r="D1079">
        <v>659.5</v>
      </c>
      <c r="E1079">
        <v>3620</v>
      </c>
      <c r="G1079">
        <v>3291323</v>
      </c>
      <c r="I1079" s="14">
        <f t="shared" si="389"/>
        <v>5.6584362139917577E-3</v>
      </c>
      <c r="J1079" s="15">
        <f t="shared" si="390"/>
        <v>-2.1513353115726996E-2</v>
      </c>
      <c r="K1079" s="15">
        <f t="shared" si="391"/>
        <v>2.7700831024930483E-3</v>
      </c>
      <c r="L1079" s="15"/>
      <c r="M1079" s="16">
        <f t="shared" si="392"/>
        <v>2.2744616538981077E-3</v>
      </c>
      <c r="O1079" s="13">
        <f t="shared" si="393"/>
        <v>-4.3616112664140632E-3</v>
      </c>
      <c r="Q1079" s="5">
        <f t="shared" si="394"/>
        <v>124507.80107246139</v>
      </c>
      <c r="R1079" s="6">
        <f t="shared" si="395"/>
        <v>203634.43441461626</v>
      </c>
      <c r="T1079" s="11">
        <f t="shared" si="396"/>
        <v>0.61142802999100521</v>
      </c>
      <c r="V1079" s="9">
        <v>46234</v>
      </c>
      <c r="W1079">
        <v>2737000</v>
      </c>
      <c r="X1079">
        <v>2979023.5082</v>
      </c>
      <c r="Y1079">
        <v>2112209.0066</v>
      </c>
      <c r="AC1079" s="24">
        <f t="shared" si="397"/>
        <v>-5.6224905509919543E-3</v>
      </c>
      <c r="AE1079" s="5">
        <f t="shared" si="398"/>
        <v>74791.357101678761</v>
      </c>
      <c r="AF1079" s="6">
        <f t="shared" si="399"/>
        <v>203634.43441461626</v>
      </c>
      <c r="AH1079" s="1">
        <f t="shared" si="400"/>
        <v>46234</v>
      </c>
      <c r="AI1079">
        <f t="shared" si="401"/>
        <v>0.36728246534865255</v>
      </c>
      <c r="AJ1079">
        <f t="shared" ca="1" si="402"/>
        <v>0.37879729574066828</v>
      </c>
      <c r="AK1079">
        <f t="shared" ca="1" si="403"/>
        <v>0.39353965102615562</v>
      </c>
      <c r="AL1079">
        <f t="shared" ca="1" si="404"/>
        <v>0.41961905961870133</v>
      </c>
      <c r="AM1079">
        <f t="shared" ca="1" si="405"/>
        <v>0.44093733061126311</v>
      </c>
      <c r="AN1079">
        <f t="shared" ca="1" si="406"/>
        <v>0.48286601535889451</v>
      </c>
    </row>
    <row r="1080" spans="2:40" x14ac:dyDescent="0.25">
      <c r="B1080" s="1">
        <v>46241</v>
      </c>
      <c r="C1080">
        <v>934.5</v>
      </c>
      <c r="D1080">
        <v>715.5</v>
      </c>
      <c r="E1080">
        <v>3265</v>
      </c>
      <c r="G1080">
        <v>3086785</v>
      </c>
      <c r="I1080" s="14">
        <f t="shared" si="389"/>
        <v>-4.3989769820971913E-2</v>
      </c>
      <c r="J1080" s="15">
        <f t="shared" si="390"/>
        <v>8.4912812736921861E-2</v>
      </c>
      <c r="K1080" s="15">
        <f t="shared" si="391"/>
        <v>-9.8066298342541436E-2</v>
      </c>
      <c r="L1080" s="15"/>
      <c r="M1080" s="16">
        <f t="shared" si="392"/>
        <v>-6.2144614794719333E-2</v>
      </c>
      <c r="O1080" s="13">
        <f t="shared" si="393"/>
        <v>-1.9047751808863828E-2</v>
      </c>
      <c r="Q1080" s="5">
        <f t="shared" si="394"/>
        <v>122136.20737936575</v>
      </c>
      <c r="R1080" s="6">
        <f t="shared" si="395"/>
        <v>190979.65092897939</v>
      </c>
      <c r="T1080" s="11">
        <f t="shared" si="396"/>
        <v>0.63952471787051901</v>
      </c>
      <c r="V1080" s="9">
        <v>46241</v>
      </c>
      <c r="W1080">
        <v>2616600</v>
      </c>
      <c r="X1080">
        <v>3231980.7735000001</v>
      </c>
      <c r="Y1080">
        <v>1905072.4879999999</v>
      </c>
      <c r="AC1080" s="24">
        <f t="shared" si="397"/>
        <v>-9.5269593961810946E-3</v>
      </c>
      <c r="AE1080" s="5">
        <f t="shared" si="398"/>
        <v>74078.822879385785</v>
      </c>
      <c r="AF1080" s="6">
        <f t="shared" si="399"/>
        <v>190979.65092897939</v>
      </c>
      <c r="AH1080" s="1">
        <f t="shared" si="400"/>
        <v>46241</v>
      </c>
      <c r="AI1080">
        <f t="shared" si="401"/>
        <v>0.387888565713914</v>
      </c>
      <c r="AJ1080">
        <f t="shared" ca="1" si="402"/>
        <v>0.37728490845386692</v>
      </c>
      <c r="AK1080">
        <f t="shared" ca="1" si="403"/>
        <v>0.39232813532892508</v>
      </c>
      <c r="AL1080">
        <f t="shared" ca="1" si="404"/>
        <v>0.41868895800060357</v>
      </c>
      <c r="AM1080">
        <f t="shared" ca="1" si="405"/>
        <v>0.43991562972854198</v>
      </c>
      <c r="AN1080">
        <f t="shared" ca="1" si="406"/>
        <v>0.48230958535649604</v>
      </c>
    </row>
    <row r="1081" spans="2:40" x14ac:dyDescent="0.25">
      <c r="B1081" s="1">
        <v>46248</v>
      </c>
      <c r="C1081">
        <v>898</v>
      </c>
      <c r="D1081">
        <v>728</v>
      </c>
      <c r="E1081">
        <v>2957.5</v>
      </c>
      <c r="G1081">
        <v>2947349</v>
      </c>
      <c r="I1081" s="14">
        <f t="shared" si="389"/>
        <v>-3.905831995719633E-2</v>
      </c>
      <c r="J1081" s="15">
        <f t="shared" si="390"/>
        <v>1.7470300489168311E-2</v>
      </c>
      <c r="K1081" s="15">
        <f t="shared" si="391"/>
        <v>-9.4180704441041319E-2</v>
      </c>
      <c r="L1081" s="15"/>
      <c r="M1081" s="16">
        <f t="shared" si="392"/>
        <v>-4.5171918355181861E-2</v>
      </c>
      <c r="O1081" s="13">
        <f t="shared" si="393"/>
        <v>-3.8589574636356448E-2</v>
      </c>
      <c r="Q1081" s="5">
        <f t="shared" si="394"/>
        <v>117423.0230888982</v>
      </c>
      <c r="R1081" s="6">
        <f t="shared" si="395"/>
        <v>182352.73372971441</v>
      </c>
      <c r="T1081" s="11">
        <f t="shared" si="396"/>
        <v>0.64393343980762108</v>
      </c>
      <c r="V1081" s="9">
        <v>46248</v>
      </c>
      <c r="W1081">
        <v>2514400</v>
      </c>
      <c r="X1081">
        <v>3288444.4487000001</v>
      </c>
      <c r="Y1081">
        <v>1725651.4191000001</v>
      </c>
      <c r="AC1081" s="24">
        <f t="shared" si="397"/>
        <v>-2.903887832601753E-2</v>
      </c>
      <c r="AE1081" s="5">
        <f t="shared" si="398"/>
        <v>71927.656955256694</v>
      </c>
      <c r="AF1081" s="6">
        <f t="shared" si="399"/>
        <v>182352.73372971441</v>
      </c>
      <c r="AH1081" s="1">
        <f t="shared" si="400"/>
        <v>46248</v>
      </c>
      <c r="AI1081">
        <f t="shared" si="401"/>
        <v>0.39444243847678639</v>
      </c>
      <c r="AJ1081">
        <f t="shared" ca="1" si="402"/>
        <v>0.37728490845386692</v>
      </c>
      <c r="AK1081">
        <f t="shared" ca="1" si="403"/>
        <v>0.39144382370097819</v>
      </c>
      <c r="AL1081">
        <f t="shared" ca="1" si="404"/>
        <v>0.41718324546579344</v>
      </c>
      <c r="AM1081">
        <f t="shared" ca="1" si="405"/>
        <v>0.43863167066998171</v>
      </c>
      <c r="AN1081">
        <f t="shared" ca="1" si="406"/>
        <v>0.48230958535649604</v>
      </c>
    </row>
    <row r="1082" spans="2:40" x14ac:dyDescent="0.25">
      <c r="B1082" s="1">
        <v>46255</v>
      </c>
      <c r="C1082">
        <v>870.5</v>
      </c>
      <c r="D1082">
        <v>697</v>
      </c>
      <c r="E1082">
        <v>2965</v>
      </c>
      <c r="G1082">
        <v>2913184</v>
      </c>
      <c r="I1082" s="14">
        <f t="shared" si="389"/>
        <v>-3.0623608017817383E-2</v>
      </c>
      <c r="J1082" s="15">
        <f t="shared" si="390"/>
        <v>-4.2582417582417542E-2</v>
      </c>
      <c r="K1082" s="15">
        <f t="shared" si="391"/>
        <v>2.5359256128487662E-3</v>
      </c>
      <c r="L1082" s="15"/>
      <c r="M1082" s="16">
        <f t="shared" si="392"/>
        <v>-1.1591772810074397E-2</v>
      </c>
      <c r="O1082" s="13">
        <f t="shared" si="393"/>
        <v>-2.3556699995795388E-2</v>
      </c>
      <c r="Q1082" s="5">
        <f t="shared" si="394"/>
        <v>114656.92416139368</v>
      </c>
      <c r="R1082" s="6">
        <f t="shared" si="395"/>
        <v>180238.94226902357</v>
      </c>
      <c r="T1082" s="11">
        <f t="shared" si="396"/>
        <v>0.63613846551683284</v>
      </c>
      <c r="V1082" s="9">
        <v>46255</v>
      </c>
      <c r="W1082">
        <v>2437400</v>
      </c>
      <c r="X1082">
        <v>3148414.534</v>
      </c>
      <c r="Y1082">
        <v>1730027.5427000001</v>
      </c>
      <c r="AC1082" s="24">
        <f t="shared" si="397"/>
        <v>-2.8246517606275067E-2</v>
      </c>
      <c r="AE1082" s="5">
        <f t="shared" si="398"/>
        <v>69895.951126691929</v>
      </c>
      <c r="AF1082" s="6">
        <f t="shared" si="399"/>
        <v>180238.94226902357</v>
      </c>
      <c r="AH1082" s="1">
        <f t="shared" si="400"/>
        <v>46255</v>
      </c>
      <c r="AI1082">
        <f t="shared" si="401"/>
        <v>0.38779605698287806</v>
      </c>
      <c r="AJ1082">
        <f t="shared" ca="1" si="402"/>
        <v>0.37728490845386692</v>
      </c>
      <c r="AK1082">
        <f t="shared" ca="1" si="403"/>
        <v>0.39144382370097819</v>
      </c>
      <c r="AL1082">
        <f t="shared" ca="1" si="404"/>
        <v>0.4142476529172392</v>
      </c>
      <c r="AM1082">
        <f t="shared" ca="1" si="405"/>
        <v>0.43723001088073277</v>
      </c>
      <c r="AN1082">
        <f t="shared" ca="1" si="406"/>
        <v>0.48230958535649604</v>
      </c>
    </row>
    <row r="1083" spans="2:40" x14ac:dyDescent="0.25">
      <c r="B1083" s="1">
        <v>46262</v>
      </c>
      <c r="C1083">
        <v>835.5</v>
      </c>
      <c r="D1083">
        <v>687.5</v>
      </c>
      <c r="E1083">
        <v>3140</v>
      </c>
      <c r="G1083">
        <v>2979472</v>
      </c>
      <c r="I1083" s="14">
        <f t="shared" si="389"/>
        <v>-4.0206777713957531E-2</v>
      </c>
      <c r="J1083" s="15">
        <f t="shared" si="390"/>
        <v>-1.3629842180774787E-2</v>
      </c>
      <c r="K1083" s="15">
        <f t="shared" si="391"/>
        <v>5.9021922428330598E-2</v>
      </c>
      <c r="L1083" s="15"/>
      <c r="M1083" s="16">
        <f t="shared" si="392"/>
        <v>2.2754484440392408E-2</v>
      </c>
      <c r="O1083" s="13">
        <f t="shared" si="393"/>
        <v>1.7284341778660932E-3</v>
      </c>
      <c r="Q1083" s="5">
        <f t="shared" si="394"/>
        <v>114855.10110784322</v>
      </c>
      <c r="R1083" s="6">
        <f t="shared" si="395"/>
        <v>184340.18647643685</v>
      </c>
      <c r="T1083" s="11">
        <f t="shared" si="396"/>
        <v>0.62306056700514667</v>
      </c>
      <c r="V1083" s="9">
        <v>46262</v>
      </c>
      <c r="W1083">
        <v>2339400</v>
      </c>
      <c r="X1083">
        <v>3105502.1408000002</v>
      </c>
      <c r="Y1083">
        <v>1832137.0941000001</v>
      </c>
      <c r="AC1083" s="24">
        <f t="shared" si="397"/>
        <v>-5.3039474317720528E-3</v>
      </c>
      <c r="AE1083" s="5">
        <f t="shared" si="398"/>
        <v>69525.226676222243</v>
      </c>
      <c r="AF1083" s="6">
        <f t="shared" si="399"/>
        <v>184340.18647643685</v>
      </c>
      <c r="AH1083" s="1">
        <f t="shared" si="400"/>
        <v>46262</v>
      </c>
      <c r="AI1083">
        <f t="shared" si="401"/>
        <v>0.37715718967827588</v>
      </c>
      <c r="AJ1083">
        <f t="shared" ca="1" si="402"/>
        <v>0.37728490845386692</v>
      </c>
      <c r="AK1083">
        <f t="shared" ca="1" si="403"/>
        <v>0.38892088841469763</v>
      </c>
      <c r="AL1083">
        <f t="shared" ca="1" si="404"/>
        <v>0.41053180094720071</v>
      </c>
      <c r="AM1083">
        <f t="shared" ca="1" si="405"/>
        <v>0.43466141728876539</v>
      </c>
      <c r="AN1083">
        <f t="shared" ca="1" si="406"/>
        <v>0.48230958535649604</v>
      </c>
    </row>
    <row r="1084" spans="2:40" x14ac:dyDescent="0.25">
      <c r="B1084" s="1">
        <v>46269</v>
      </c>
      <c r="C1084">
        <v>845</v>
      </c>
      <c r="D1084">
        <v>690.5</v>
      </c>
      <c r="E1084">
        <v>3255</v>
      </c>
      <c r="G1084">
        <v>3049122</v>
      </c>
      <c r="I1084" s="14">
        <f t="shared" si="389"/>
        <v>1.1370436864153177E-2</v>
      </c>
      <c r="J1084" s="15">
        <f t="shared" si="390"/>
        <v>4.3636363636363473E-3</v>
      </c>
      <c r="K1084" s="15">
        <f t="shared" si="391"/>
        <v>3.6624203821655987E-2</v>
      </c>
      <c r="L1084" s="15"/>
      <c r="M1084" s="16">
        <f t="shared" si="392"/>
        <v>2.3376625120155481E-2</v>
      </c>
      <c r="O1084" s="13">
        <f t="shared" si="393"/>
        <v>1.7452759016481838E-2</v>
      </c>
      <c r="Q1084" s="5">
        <f t="shared" si="394"/>
        <v>116859.63950929207</v>
      </c>
      <c r="R1084" s="6">
        <f t="shared" si="395"/>
        <v>188649.43791027606</v>
      </c>
      <c r="T1084" s="11">
        <f t="shared" si="396"/>
        <v>0.61945395016163218</v>
      </c>
      <c r="V1084" s="9">
        <v>46269</v>
      </c>
      <c r="W1084">
        <v>2366000</v>
      </c>
      <c r="X1084">
        <v>3119053.4229000001</v>
      </c>
      <c r="Y1084">
        <v>1899237.6565</v>
      </c>
      <c r="AC1084" s="24">
        <f t="shared" si="397"/>
        <v>1.4738390294518466E-2</v>
      </c>
      <c r="AE1084" s="5">
        <f t="shared" si="398"/>
        <v>70549.916602291269</v>
      </c>
      <c r="AF1084" s="6">
        <f t="shared" si="399"/>
        <v>188649.43791027606</v>
      </c>
      <c r="AH1084" s="1">
        <f t="shared" si="400"/>
        <v>46269</v>
      </c>
      <c r="AI1084">
        <f t="shared" si="401"/>
        <v>0.37397363800175043</v>
      </c>
      <c r="AJ1084">
        <f t="shared" ca="1" si="402"/>
        <v>0.3771326956158238</v>
      </c>
      <c r="AK1084">
        <f t="shared" ca="1" si="403"/>
        <v>0.38786543853115502</v>
      </c>
      <c r="AL1084">
        <f t="shared" ca="1" si="404"/>
        <v>0.40692047141977683</v>
      </c>
      <c r="AM1084">
        <f t="shared" ca="1" si="405"/>
        <v>0.4321520109457011</v>
      </c>
      <c r="AN1084">
        <f t="shared" ca="1" si="406"/>
        <v>0.48230958535649604</v>
      </c>
    </row>
    <row r="1085" spans="2:40" x14ac:dyDescent="0.25">
      <c r="B1085" s="1">
        <v>46276</v>
      </c>
      <c r="C1085">
        <v>871.5</v>
      </c>
      <c r="D1085">
        <v>668</v>
      </c>
      <c r="E1085">
        <v>3120</v>
      </c>
      <c r="G1085">
        <v>3098898</v>
      </c>
      <c r="I1085" s="14">
        <f t="shared" si="389"/>
        <v>3.1360946745562224E-2</v>
      </c>
      <c r="J1085" s="15">
        <f t="shared" si="390"/>
        <v>-3.2585083272990589E-2</v>
      </c>
      <c r="K1085" s="15">
        <f t="shared" si="391"/>
        <v>-4.1474654377880227E-2</v>
      </c>
      <c r="L1085" s="15"/>
      <c r="M1085" s="16">
        <f t="shared" si="392"/>
        <v>1.6324699372475049E-2</v>
      </c>
      <c r="O1085" s="13">
        <f t="shared" si="393"/>
        <v>-1.4232930301769531E-2</v>
      </c>
      <c r="Q1085" s="5">
        <f t="shared" si="394"/>
        <v>115196.3844050664</v>
      </c>
      <c r="R1085" s="6">
        <f t="shared" si="395"/>
        <v>191729.08327094771</v>
      </c>
      <c r="T1085" s="11">
        <f t="shared" si="396"/>
        <v>0.60082895322809826</v>
      </c>
      <c r="V1085" s="9">
        <v>46276</v>
      </c>
      <c r="W1085">
        <v>2440200</v>
      </c>
      <c r="X1085">
        <v>3017418.8073999998</v>
      </c>
      <c r="Y1085">
        <v>1820467.4310999999</v>
      </c>
      <c r="AC1085" s="24">
        <f t="shared" si="397"/>
        <v>-1.4382537167200189E-2</v>
      </c>
      <c r="AE1085" s="5">
        <f t="shared" si="398"/>
        <v>69535.229804615941</v>
      </c>
      <c r="AF1085" s="6">
        <f t="shared" si="399"/>
        <v>191729.08327094771</v>
      </c>
      <c r="AH1085" s="1">
        <f t="shared" si="400"/>
        <v>46276</v>
      </c>
      <c r="AI1085">
        <f t="shared" si="401"/>
        <v>0.36267439774043114</v>
      </c>
      <c r="AJ1085">
        <f t="shared" ca="1" si="402"/>
        <v>0.37428927160690828</v>
      </c>
      <c r="AK1085">
        <f t="shared" ca="1" si="403"/>
        <v>0.38768438367143088</v>
      </c>
      <c r="AL1085">
        <f t="shared" ca="1" si="404"/>
        <v>0.40447568936305789</v>
      </c>
      <c r="AM1085">
        <f t="shared" ca="1" si="405"/>
        <v>0.42969808015594335</v>
      </c>
      <c r="AN1085">
        <f t="shared" ca="1" si="406"/>
        <v>0.48230958535649604</v>
      </c>
    </row>
    <row r="1086" spans="2:40" x14ac:dyDescent="0.25">
      <c r="B1086" s="1">
        <v>46283</v>
      </c>
      <c r="C1086">
        <v>856.5</v>
      </c>
      <c r="D1086">
        <v>662</v>
      </c>
      <c r="E1086">
        <v>3045</v>
      </c>
      <c r="G1086">
        <v>3021926</v>
      </c>
      <c r="I1086" s="14">
        <f t="shared" ref="I1086" si="407">+C1086/C1085-1</f>
        <v>-1.7211703958691871E-2</v>
      </c>
      <c r="J1086" s="15">
        <f t="shared" ref="J1086" si="408">+D1086/D1085-1</f>
        <v>-8.9820359281437279E-3</v>
      </c>
      <c r="K1086" s="15">
        <f t="shared" ref="K1086" si="409">+E1086/E1085-1</f>
        <v>-2.4038461538461564E-2</v>
      </c>
      <c r="L1086" s="15"/>
      <c r="M1086" s="16">
        <f t="shared" ref="M1086" si="410">+G1086/G1085-1</f>
        <v>-2.483850710801061E-2</v>
      </c>
      <c r="O1086" s="13">
        <f t="shared" ref="O1086" si="411">+AVERAGE(I1086:L1086)</f>
        <v>-1.6744067141765722E-2</v>
      </c>
      <c r="Q1086" s="5">
        <f t="shared" ref="Q1086" si="412">+Q1085*(1+O1086)</f>
        <v>113267.52841009933</v>
      </c>
      <c r="R1086" s="6">
        <f t="shared" ref="R1086" si="413">+R1085*(1+M1086)</f>
        <v>186966.81907330992</v>
      </c>
      <c r="T1086" s="11">
        <f t="shared" ref="T1086" si="414">+Q1086/R1086</f>
        <v>0.60581620295784677</v>
      </c>
      <c r="V1086" s="9">
        <v>46283</v>
      </c>
      <c r="W1086">
        <v>2398200</v>
      </c>
      <c r="X1086">
        <v>2990316.2431999999</v>
      </c>
      <c r="Y1086">
        <v>1776706.1947999999</v>
      </c>
      <c r="AC1086" s="24">
        <f t="shared" ref="AC1086" si="415">+SUMPRODUCT(I1086:L1086,W1085:Z1085)/SUM(W1085:AA1085)</f>
        <v>-1.5507345854987231E-2</v>
      </c>
      <c r="AE1086" s="5">
        <f t="shared" ref="AE1086" si="416">+AE1085*(1+AC1086)</f>
        <v>68456.922946929742</v>
      </c>
      <c r="AF1086" s="6">
        <f t="shared" ref="AF1086" si="417">+AF1085*(1+M1086)</f>
        <v>186966.81907330992</v>
      </c>
      <c r="AH1086" s="1">
        <f t="shared" ref="AH1086" si="418">+B1086</f>
        <v>46283</v>
      </c>
      <c r="AI1086">
        <f t="shared" ref="AI1086" si="419">+(AE1086/$AE$6)/(AF1086/$AF$6)</f>
        <v>0.3661447698914303</v>
      </c>
      <c r="AJ1086">
        <f t="shared" ref="AJ1086" ca="1" si="420">+_xlfn.PERCENTILE.INC(OFFSET(AI1086,-52,0,52,1),0.1)</f>
        <v>0.37239894753545122</v>
      </c>
      <c r="AK1086">
        <f t="shared" ref="AK1086" ca="1" si="421">+_xlfn.PERCENTILE.INC(OFFSET(AI1086,-52,0,52,1),0.25)</f>
        <v>0.38725553644932492</v>
      </c>
      <c r="AL1086">
        <f t="shared" ref="AL1086" ca="1" si="422">+_xlfn.PERCENTILE.INC(OFFSET(AI1086,-52,0,52,1),0.5)</f>
        <v>0.40404650180521451</v>
      </c>
      <c r="AM1086">
        <f t="shared" ref="AM1086" ca="1" si="423">+_xlfn.PERCENTILE.INC(OFFSET(AI1086,-52,0,52,1),0.75)</f>
        <v>0.42643382818434783</v>
      </c>
      <c r="AN1086">
        <f t="shared" ref="AN1086" ca="1" si="424">+_xlfn.PERCENTILE.INC(OFFSET(AI1086,-52,0,52,1),0.9)</f>
        <v>0.46522024930717337</v>
      </c>
    </row>
    <row r="1087" spans="2:40" x14ac:dyDescent="0.25">
      <c r="B1087" s="1">
        <v>46290</v>
      </c>
      <c r="C1087">
        <v>844</v>
      </c>
      <c r="D1087">
        <v>657</v>
      </c>
      <c r="E1087">
        <v>3012.5</v>
      </c>
      <c r="G1087">
        <v>2893751</v>
      </c>
      <c r="I1087" s="14">
        <f t="shared" ref="I1087:I1088" si="425">+C1087/C1086-1</f>
        <v>-1.4594279042615343E-2</v>
      </c>
      <c r="J1087" s="15">
        <f t="shared" ref="J1087:J1088" si="426">+D1087/D1086-1</f>
        <v>-7.5528700906344337E-3</v>
      </c>
      <c r="K1087" s="15">
        <f t="shared" ref="K1087:K1088" si="427">+E1087/E1086-1</f>
        <v>-1.0673234811165888E-2</v>
      </c>
      <c r="L1087" s="15"/>
      <c r="M1087" s="16">
        <f t="shared" ref="M1087:M1088" si="428">+G1087/G1086-1</f>
        <v>-4.2415002882267849E-2</v>
      </c>
      <c r="O1087" s="13">
        <f t="shared" ref="O1087:O1088" si="429">+AVERAGE(I1087:L1087)</f>
        <v>-1.0940127981471889E-2</v>
      </c>
      <c r="Q1087" s="5">
        <f t="shared" ref="Q1087:Q1088" si="430">+Q1086*(1+O1087)</f>
        <v>112028.36715314783</v>
      </c>
      <c r="R1087" s="6">
        <f t="shared" ref="R1087:R1088" si="431">+R1086*(1+M1087)</f>
        <v>179036.62090342701</v>
      </c>
      <c r="T1087" s="11">
        <f t="shared" ref="T1087:T1088" si="432">+Q1087/R1087</f>
        <v>0.62572878435622581</v>
      </c>
      <c r="V1087" s="9">
        <v>46290</v>
      </c>
      <c r="W1087">
        <v>2363200</v>
      </c>
      <c r="X1087">
        <v>2967730.7730999999</v>
      </c>
      <c r="Y1087">
        <v>1757742.9924000001</v>
      </c>
      <c r="AC1087" s="24">
        <f t="shared" ref="AC1087:AC1088" si="433">+SUMPRODUCT(I1087:L1087,W1086:Z1086)/SUM(W1086:AA1086)</f>
        <v>-1.068336303369863E-2</v>
      </c>
      <c r="AE1087" s="5">
        <f t="shared" ref="AE1087:AE1088" si="434">+AE1086*(1+AC1087)</f>
        <v>67725.57278691775</v>
      </c>
      <c r="AF1087" s="6">
        <f t="shared" ref="AF1087:AF1088" si="435">+AF1086*(1+M1087)</f>
        <v>179036.62090342701</v>
      </c>
      <c r="AH1087" s="1">
        <f t="shared" ref="AH1087:AH1088" si="436">+B1087</f>
        <v>46290</v>
      </c>
      <c r="AI1087">
        <f t="shared" ref="AI1087:AI1088" si="437">+(AE1087/$AE$6)/(AF1087/$AF$6)</f>
        <v>0.37827776487944975</v>
      </c>
      <c r="AJ1087">
        <f t="shared" ref="AJ1087:AJ1088" ca="1" si="438">+_xlfn.PERCENTILE.INC(OFFSET(AI1087,-52,0,52,1),0.1)</f>
        <v>0.37163495453580636</v>
      </c>
      <c r="AK1087">
        <f t="shared" ref="AK1087:AK1088" ca="1" si="439">+_xlfn.PERCENTILE.INC(OFFSET(AI1087,-52,0,52,1),0.25)</f>
        <v>0.38590262792120122</v>
      </c>
      <c r="AL1087">
        <f t="shared" ref="AL1087:AL1088" ca="1" si="440">+_xlfn.PERCENTILE.INC(OFFSET(AI1087,-52,0,52,1),0.5)</f>
        <v>0.40344289601785749</v>
      </c>
      <c r="AM1087">
        <f t="shared" ref="AM1087:AM1088" ca="1" si="441">+_xlfn.PERCENTILE.INC(OFFSET(AI1087,-52,0,52,1),0.75)</f>
        <v>0.42560896325075392</v>
      </c>
      <c r="AN1087">
        <f t="shared" ref="AN1087:AN1088" ca="1" si="442">+_xlfn.PERCENTILE.INC(OFFSET(AI1087,-52,0,52,1),0.9)</f>
        <v>0.45903802134866289</v>
      </c>
    </row>
    <row r="1088" spans="2:40" x14ac:dyDescent="0.25">
      <c r="B1088" s="1">
        <v>46297</v>
      </c>
      <c r="C1088">
        <v>817</v>
      </c>
      <c r="D1088">
        <v>674.5</v>
      </c>
      <c r="E1088">
        <v>2980</v>
      </c>
      <c r="G1088">
        <v>2767662.75</v>
      </c>
      <c r="I1088" s="14">
        <f t="shared" si="425"/>
        <v>-3.1990521327014187E-2</v>
      </c>
      <c r="J1088" s="15">
        <f t="shared" si="426"/>
        <v>2.6636225266362334E-2</v>
      </c>
      <c r="K1088" s="15">
        <f t="shared" si="427"/>
        <v>-1.0788381742738551E-2</v>
      </c>
      <c r="L1088" s="15"/>
      <c r="M1088" s="16">
        <f t="shared" si="428"/>
        <v>-4.3572598333443291E-2</v>
      </c>
      <c r="O1088" s="13">
        <f t="shared" si="429"/>
        <v>-5.3808926011301344E-3</v>
      </c>
      <c r="Q1088" s="5">
        <f t="shared" si="430"/>
        <v>111425.55454121677</v>
      </c>
      <c r="R1088" s="6">
        <f t="shared" si="431"/>
        <v>171235.53013382503</v>
      </c>
      <c r="T1088" s="11">
        <f t="shared" si="432"/>
        <v>0.65071515505067667</v>
      </c>
      <c r="V1088" s="9">
        <v>46297</v>
      </c>
      <c r="W1088">
        <v>2287600</v>
      </c>
      <c r="X1088">
        <v>3046779.9185000001</v>
      </c>
      <c r="Y1088">
        <v>1738779.79</v>
      </c>
      <c r="AC1088" s="24">
        <f t="shared" si="433"/>
        <v>-2.1885697548860452E-3</v>
      </c>
      <c r="AE1088" s="5">
        <f t="shared" si="434"/>
        <v>67577.350646683975</v>
      </c>
      <c r="AF1088" s="6">
        <f t="shared" si="435"/>
        <v>171235.53013382503</v>
      </c>
      <c r="AH1088" s="1">
        <f t="shared" si="436"/>
        <v>46297</v>
      </c>
      <c r="AI1088">
        <f t="shared" si="437"/>
        <v>0.39464561235551127</v>
      </c>
      <c r="AJ1088">
        <f t="shared" ca="1" si="438"/>
        <v>0.37163495453580636</v>
      </c>
      <c r="AK1088">
        <f t="shared" ca="1" si="439"/>
        <v>0.38198103466461097</v>
      </c>
      <c r="AL1088">
        <f t="shared" ca="1" si="440"/>
        <v>0.40237884851504924</v>
      </c>
      <c r="AM1088">
        <f t="shared" ca="1" si="441"/>
        <v>0.42390256202161908</v>
      </c>
      <c r="AN1088">
        <f t="shared" ca="1" si="442"/>
        <v>0.45249677967007834</v>
      </c>
    </row>
    <row r="1089" spans="2:22" x14ac:dyDescent="0.25">
      <c r="B1089" s="1"/>
      <c r="I1089" s="14"/>
      <c r="J1089" s="15"/>
      <c r="K1089" s="15"/>
      <c r="L1089" s="15"/>
      <c r="M1089" s="16"/>
      <c r="O1089" s="13"/>
      <c r="V1089" s="9"/>
    </row>
    <row r="1090" spans="2:22" x14ac:dyDescent="0.25">
      <c r="B1090" s="1"/>
      <c r="I1090" s="14"/>
      <c r="J1090" s="15"/>
      <c r="K1090" s="15"/>
      <c r="L1090" s="15"/>
      <c r="M1090" s="16"/>
      <c r="O1090" s="13"/>
      <c r="V1090" s="9"/>
    </row>
    <row r="1091" spans="2:22" x14ac:dyDescent="0.25">
      <c r="B1091" s="1"/>
      <c r="I1091" s="14"/>
      <c r="J1091" s="15"/>
      <c r="K1091" s="15"/>
      <c r="L1091" s="15"/>
      <c r="M1091" s="16"/>
      <c r="O1091" s="13"/>
      <c r="V1091" s="9"/>
    </row>
    <row r="1092" spans="2:22" x14ac:dyDescent="0.25">
      <c r="B1092" s="1"/>
      <c r="I1092" s="14"/>
      <c r="J1092" s="15"/>
      <c r="K1092" s="15"/>
      <c r="L1092" s="15"/>
      <c r="M1092" s="16"/>
      <c r="O1092" s="13"/>
      <c r="V1092" s="9"/>
    </row>
    <row r="1093" spans="2:22" x14ac:dyDescent="0.25">
      <c r="B1093" s="1"/>
      <c r="I1093" s="14"/>
      <c r="J1093" s="15"/>
      <c r="K1093" s="15"/>
      <c r="L1093" s="15"/>
      <c r="M1093" s="16"/>
      <c r="O1093" s="13"/>
      <c r="V1093" s="9"/>
    </row>
    <row r="1094" spans="2:22" x14ac:dyDescent="0.25">
      <c r="B1094" s="1"/>
      <c r="I1094" s="14"/>
      <c r="J1094" s="15"/>
      <c r="K1094" s="15"/>
      <c r="L1094" s="15"/>
      <c r="M1094" s="16"/>
      <c r="O1094" s="13"/>
      <c r="V1094" s="9"/>
    </row>
    <row r="1095" spans="2:22" x14ac:dyDescent="0.25">
      <c r="B1095" s="1"/>
      <c r="I1095" s="14"/>
      <c r="J1095" s="15"/>
      <c r="K1095" s="15"/>
      <c r="L1095" s="15"/>
      <c r="M1095" s="16"/>
      <c r="O1095" s="13"/>
      <c r="V1095" s="9"/>
    </row>
    <row r="1096" spans="2:22" x14ac:dyDescent="0.25">
      <c r="B1096" s="1"/>
      <c r="I1096" s="14"/>
      <c r="J1096" s="15"/>
      <c r="K1096" s="15"/>
      <c r="L1096" s="15"/>
      <c r="M1096" s="16"/>
      <c r="O1096" s="13"/>
      <c r="V1096" s="9"/>
    </row>
    <row r="1097" spans="2:22" x14ac:dyDescent="0.25">
      <c r="B1097" s="1"/>
      <c r="I1097" s="14"/>
      <c r="J1097" s="15"/>
      <c r="K1097" s="15"/>
      <c r="L1097" s="15"/>
      <c r="M1097" s="16"/>
      <c r="O1097" s="13"/>
      <c r="V1097" s="9"/>
    </row>
    <row r="1098" spans="2:22" x14ac:dyDescent="0.25">
      <c r="B1098" s="1"/>
      <c r="I1098" s="14"/>
      <c r="J1098" s="15"/>
      <c r="K1098" s="15"/>
      <c r="L1098" s="15"/>
      <c r="M1098" s="16"/>
      <c r="O1098" s="13"/>
      <c r="V1098" s="9"/>
    </row>
    <row r="1099" spans="2:22" x14ac:dyDescent="0.25">
      <c r="B1099" s="1"/>
      <c r="I1099" s="14"/>
      <c r="J1099" s="15"/>
      <c r="K1099" s="15"/>
      <c r="L1099" s="15"/>
      <c r="M1099" s="16"/>
      <c r="O1099" s="13"/>
      <c r="V1099" s="9"/>
    </row>
    <row r="1100" spans="2:22" x14ac:dyDescent="0.25">
      <c r="B1100" s="1"/>
      <c r="I1100" s="14"/>
      <c r="J1100" s="15"/>
      <c r="K1100" s="15"/>
      <c r="L1100" s="15"/>
      <c r="M1100" s="16"/>
      <c r="O1100" s="13"/>
      <c r="V1100" s="9"/>
    </row>
    <row r="1101" spans="2:22" x14ac:dyDescent="0.25">
      <c r="B1101" s="1"/>
      <c r="I1101" s="14"/>
      <c r="J1101" s="15"/>
      <c r="K1101" s="15"/>
      <c r="L1101" s="15"/>
      <c r="M1101" s="16"/>
      <c r="O1101" s="13"/>
      <c r="V1101" s="9"/>
    </row>
    <row r="1102" spans="2:22" x14ac:dyDescent="0.25">
      <c r="B1102" s="1"/>
      <c r="I1102" s="14"/>
      <c r="J1102" s="15"/>
      <c r="K1102" s="15"/>
      <c r="L1102" s="15"/>
      <c r="M1102" s="16"/>
      <c r="O1102" s="13"/>
      <c r="V1102" s="9"/>
    </row>
    <row r="1103" spans="2:22" x14ac:dyDescent="0.25">
      <c r="B1103" s="1"/>
      <c r="I1103" s="14"/>
      <c r="J1103" s="15"/>
      <c r="K1103" s="15"/>
      <c r="L1103" s="15"/>
      <c r="M1103" s="16"/>
      <c r="O1103" s="13"/>
      <c r="V1103" s="9"/>
    </row>
    <row r="1104" spans="2:22" x14ac:dyDescent="0.25">
      <c r="B1104" s="1"/>
      <c r="I1104" s="14"/>
      <c r="J1104" s="15"/>
      <c r="K1104" s="15"/>
      <c r="L1104" s="15"/>
      <c r="M1104" s="16"/>
      <c r="O1104" s="13"/>
      <c r="V1104" s="9"/>
    </row>
    <row r="1105" spans="2:22" x14ac:dyDescent="0.25">
      <c r="B1105" s="1"/>
      <c r="I1105" s="14"/>
      <c r="J1105" s="15"/>
      <c r="K1105" s="15"/>
      <c r="L1105" s="15"/>
      <c r="M1105" s="16"/>
      <c r="O1105" s="13"/>
      <c r="V1105" s="9"/>
    </row>
    <row r="1106" spans="2:22" x14ac:dyDescent="0.25">
      <c r="B1106" s="1"/>
      <c r="I1106" s="14"/>
      <c r="J1106" s="15"/>
      <c r="K1106" s="15"/>
      <c r="L1106" s="15"/>
      <c r="M1106" s="16"/>
      <c r="O1106" s="13"/>
      <c r="V1106" s="9"/>
    </row>
    <row r="1107" spans="2:22" x14ac:dyDescent="0.25">
      <c r="B1107" s="1"/>
      <c r="I1107" s="14"/>
      <c r="J1107" s="15"/>
      <c r="K1107" s="15"/>
      <c r="L1107" s="15"/>
      <c r="M1107" s="16"/>
      <c r="O1107" s="13"/>
      <c r="V1107" s="9"/>
    </row>
    <row r="1108" spans="2:22" x14ac:dyDescent="0.25">
      <c r="B1108" s="1"/>
      <c r="I1108" s="14"/>
      <c r="J1108" s="15"/>
      <c r="K1108" s="15"/>
      <c r="L1108" s="15"/>
      <c r="M1108" s="16"/>
      <c r="O1108" s="13"/>
      <c r="V1108" s="9"/>
    </row>
    <row r="1109" spans="2:22" x14ac:dyDescent="0.25">
      <c r="B1109" s="1"/>
      <c r="I1109" s="14"/>
      <c r="J1109" s="15"/>
      <c r="K1109" s="15"/>
      <c r="L1109" s="15"/>
      <c r="M1109" s="16"/>
      <c r="O1109" s="13"/>
      <c r="V1109" s="9"/>
    </row>
    <row r="1110" spans="2:22" x14ac:dyDescent="0.25">
      <c r="B1110" s="1"/>
      <c r="I1110" s="14"/>
      <c r="J1110" s="15"/>
      <c r="K1110" s="15"/>
      <c r="L1110" s="15"/>
      <c r="M1110" s="16"/>
      <c r="O1110" s="13"/>
      <c r="V1110" s="9"/>
    </row>
    <row r="1111" spans="2:22" x14ac:dyDescent="0.25">
      <c r="B1111" s="1"/>
      <c r="I1111" s="14"/>
      <c r="J1111" s="15"/>
      <c r="K1111" s="15"/>
      <c r="L1111" s="15"/>
      <c r="M1111" s="16"/>
      <c r="O1111" s="13"/>
      <c r="V1111" s="9"/>
    </row>
    <row r="1112" spans="2:22" x14ac:dyDescent="0.25">
      <c r="B1112" s="1"/>
      <c r="I1112" s="14"/>
      <c r="J1112" s="15"/>
      <c r="K1112" s="15"/>
      <c r="L1112" s="15"/>
      <c r="M1112" s="16"/>
      <c r="O1112" s="13"/>
      <c r="V1112" s="9"/>
    </row>
    <row r="1113" spans="2:22" x14ac:dyDescent="0.25">
      <c r="B1113" s="1"/>
      <c r="I1113" s="14"/>
      <c r="J1113" s="15"/>
      <c r="K1113" s="15"/>
      <c r="L1113" s="15"/>
      <c r="M1113" s="16"/>
      <c r="O1113" s="13"/>
      <c r="V1113" s="9"/>
    </row>
    <row r="1114" spans="2:22" x14ac:dyDescent="0.25">
      <c r="B1114" s="1"/>
      <c r="I1114" s="14"/>
      <c r="J1114" s="15"/>
      <c r="K1114" s="15"/>
      <c r="L1114" s="15"/>
      <c r="M1114" s="16"/>
      <c r="O1114" s="13"/>
      <c r="V1114" s="9"/>
    </row>
    <row r="1115" spans="2:22" x14ac:dyDescent="0.25">
      <c r="B1115" s="1"/>
      <c r="I1115" s="14"/>
      <c r="J1115" s="15"/>
      <c r="K1115" s="15"/>
      <c r="L1115" s="15"/>
      <c r="M1115" s="16"/>
      <c r="O1115" s="13"/>
      <c r="V1115" s="9"/>
    </row>
    <row r="1116" spans="2:22" x14ac:dyDescent="0.25">
      <c r="B1116" s="1"/>
      <c r="I1116" s="14"/>
      <c r="J1116" s="15"/>
      <c r="K1116" s="15"/>
      <c r="L1116" s="15"/>
      <c r="M1116" s="16"/>
      <c r="O1116" s="13"/>
      <c r="V1116" s="9"/>
    </row>
    <row r="1117" spans="2:22" x14ac:dyDescent="0.25">
      <c r="B1117" s="1"/>
      <c r="I1117" s="14"/>
      <c r="J1117" s="15"/>
      <c r="K1117" s="15"/>
      <c r="L1117" s="15"/>
      <c r="M1117" s="16"/>
      <c r="O1117" s="13"/>
      <c r="V1117" s="9"/>
    </row>
    <row r="1118" spans="2:22" x14ac:dyDescent="0.25">
      <c r="B1118" s="1"/>
      <c r="I1118" s="14"/>
      <c r="J1118" s="15"/>
      <c r="K1118" s="15"/>
      <c r="L1118" s="15"/>
      <c r="M1118" s="16"/>
      <c r="O1118" s="13"/>
      <c r="V1118" s="9"/>
    </row>
    <row r="1119" spans="2:22" x14ac:dyDescent="0.25">
      <c r="B1119" s="1"/>
      <c r="I1119" s="14"/>
      <c r="J1119" s="15"/>
      <c r="K1119" s="15"/>
      <c r="L1119" s="15"/>
      <c r="M1119" s="16"/>
      <c r="O1119" s="13"/>
      <c r="V1119" s="9"/>
    </row>
    <row r="1120" spans="2:22" x14ac:dyDescent="0.25">
      <c r="B1120" s="1"/>
      <c r="I1120" s="14"/>
      <c r="J1120" s="15"/>
      <c r="K1120" s="15"/>
      <c r="L1120" s="15"/>
      <c r="M1120" s="16"/>
      <c r="O1120" s="13"/>
      <c r="V1120" s="9"/>
    </row>
    <row r="1121" spans="2:22" x14ac:dyDescent="0.25">
      <c r="B1121" s="1"/>
      <c r="I1121" s="14"/>
      <c r="J1121" s="15"/>
      <c r="K1121" s="15"/>
      <c r="L1121" s="15"/>
      <c r="M1121" s="16"/>
      <c r="O1121" s="13"/>
      <c r="V1121" s="9"/>
    </row>
    <row r="1122" spans="2:22" x14ac:dyDescent="0.25">
      <c r="B1122" s="1"/>
      <c r="I1122" s="14"/>
      <c r="J1122" s="15"/>
      <c r="K1122" s="15"/>
      <c r="L1122" s="15"/>
      <c r="M1122" s="16"/>
      <c r="O1122" s="13"/>
      <c r="V1122" s="9"/>
    </row>
    <row r="1123" spans="2:22" x14ac:dyDescent="0.25">
      <c r="B1123" s="1"/>
      <c r="I1123" s="14"/>
      <c r="J1123" s="15"/>
      <c r="K1123" s="15"/>
      <c r="L1123" s="15"/>
      <c r="M1123" s="16"/>
      <c r="O1123" s="13"/>
      <c r="V1123" s="9"/>
    </row>
    <row r="1124" spans="2:22" x14ac:dyDescent="0.25">
      <c r="B1124" s="1"/>
      <c r="I1124" s="14"/>
      <c r="J1124" s="15"/>
      <c r="K1124" s="15"/>
      <c r="L1124" s="15"/>
      <c r="M1124" s="16"/>
      <c r="O1124" s="13"/>
      <c r="V1124" s="9"/>
    </row>
    <row r="1125" spans="2:22" x14ac:dyDescent="0.25">
      <c r="B1125" s="1"/>
      <c r="I1125" s="14"/>
      <c r="J1125" s="15"/>
      <c r="K1125" s="15"/>
      <c r="L1125" s="15"/>
      <c r="M1125" s="16"/>
      <c r="O1125" s="13"/>
      <c r="V1125" s="9"/>
    </row>
    <row r="1126" spans="2:22" x14ac:dyDescent="0.25">
      <c r="B1126" s="1"/>
      <c r="I1126" s="14"/>
      <c r="J1126" s="15"/>
      <c r="K1126" s="15"/>
      <c r="L1126" s="15"/>
      <c r="M1126" s="16"/>
      <c r="O1126" s="13"/>
      <c r="V1126" s="9"/>
    </row>
    <row r="1127" spans="2:22" x14ac:dyDescent="0.25">
      <c r="B1127" s="1"/>
      <c r="I1127" s="14"/>
      <c r="J1127" s="15"/>
      <c r="K1127" s="15"/>
      <c r="L1127" s="15"/>
      <c r="M1127" s="16"/>
      <c r="O1127" s="13"/>
      <c r="V1127" s="9"/>
    </row>
    <row r="1128" spans="2:22" x14ac:dyDescent="0.25">
      <c r="B1128" s="1"/>
      <c r="I1128" s="14"/>
      <c r="J1128" s="15"/>
      <c r="K1128" s="15"/>
      <c r="L1128" s="15"/>
      <c r="M1128" s="16"/>
      <c r="O1128" s="13"/>
      <c r="V1128" s="9"/>
    </row>
    <row r="1129" spans="2:22" x14ac:dyDescent="0.25">
      <c r="B1129" s="1"/>
      <c r="I1129" s="14"/>
      <c r="J1129" s="15"/>
      <c r="K1129" s="15"/>
      <c r="L1129" s="15"/>
      <c r="M1129" s="16"/>
      <c r="O1129" s="13"/>
      <c r="V1129" s="9"/>
    </row>
    <row r="1130" spans="2:22" x14ac:dyDescent="0.25">
      <c r="B1130" s="1"/>
      <c r="I1130" s="14"/>
      <c r="J1130" s="15"/>
      <c r="K1130" s="15"/>
      <c r="L1130" s="15"/>
      <c r="M1130" s="16"/>
      <c r="O1130" s="13"/>
      <c r="V1130" s="9"/>
    </row>
    <row r="1131" spans="2:22" x14ac:dyDescent="0.25">
      <c r="B1131" s="1"/>
      <c r="I1131" s="14"/>
      <c r="J1131" s="15"/>
      <c r="K1131" s="15"/>
      <c r="L1131" s="15"/>
      <c r="M1131" s="16"/>
      <c r="O1131" s="13"/>
      <c r="V1131" s="9"/>
    </row>
    <row r="1132" spans="2:22" x14ac:dyDescent="0.25">
      <c r="B1132" s="1"/>
      <c r="I1132" s="14"/>
      <c r="J1132" s="15"/>
      <c r="K1132" s="15"/>
      <c r="L1132" s="15"/>
      <c r="M1132" s="16"/>
      <c r="O1132" s="13"/>
      <c r="V1132" s="9"/>
    </row>
    <row r="1133" spans="2:22" x14ac:dyDescent="0.25">
      <c r="B1133" s="1"/>
      <c r="I1133" s="14"/>
      <c r="J1133" s="15"/>
      <c r="K1133" s="15"/>
      <c r="L1133" s="15"/>
      <c r="M1133" s="16"/>
      <c r="O1133" s="13"/>
      <c r="V1133" s="9"/>
    </row>
    <row r="1134" spans="2:22" x14ac:dyDescent="0.25">
      <c r="B1134" s="1"/>
      <c r="I1134" s="14"/>
      <c r="J1134" s="15"/>
      <c r="K1134" s="15"/>
      <c r="L1134" s="15"/>
      <c r="M1134" s="16"/>
      <c r="O1134" s="13"/>
      <c r="V1134" s="9"/>
    </row>
    <row r="1135" spans="2:22" x14ac:dyDescent="0.25">
      <c r="B1135" s="1"/>
      <c r="I1135" s="14"/>
      <c r="J1135" s="15"/>
      <c r="K1135" s="15"/>
      <c r="L1135" s="15"/>
      <c r="M1135" s="16"/>
      <c r="O1135" s="13"/>
      <c r="V1135" s="9"/>
    </row>
    <row r="1136" spans="2:22" x14ac:dyDescent="0.25">
      <c r="B1136" s="1"/>
      <c r="I1136" s="14"/>
      <c r="J1136" s="15"/>
      <c r="K1136" s="15"/>
      <c r="L1136" s="15"/>
      <c r="M1136" s="16"/>
      <c r="O1136" s="13"/>
      <c r="V1136" s="9"/>
    </row>
    <row r="1137" spans="2:22" x14ac:dyDescent="0.25">
      <c r="B1137" s="1"/>
      <c r="I1137" s="14"/>
      <c r="J1137" s="15"/>
      <c r="K1137" s="15"/>
      <c r="L1137" s="15"/>
      <c r="M1137" s="16"/>
      <c r="O1137" s="13"/>
      <c r="V1137" s="9"/>
    </row>
    <row r="1138" spans="2:22" x14ac:dyDescent="0.25">
      <c r="B1138" s="1"/>
      <c r="I1138" s="14"/>
      <c r="J1138" s="15"/>
      <c r="K1138" s="15"/>
      <c r="L1138" s="15"/>
      <c r="M1138" s="16"/>
      <c r="O1138" s="13"/>
      <c r="V1138" s="9"/>
    </row>
    <row r="1139" spans="2:22" x14ac:dyDescent="0.25">
      <c r="B1139" s="1"/>
      <c r="I1139" s="14"/>
      <c r="J1139" s="15"/>
      <c r="K1139" s="15"/>
      <c r="L1139" s="15"/>
      <c r="M1139" s="16"/>
      <c r="O1139" s="13"/>
      <c r="V1139" s="9"/>
    </row>
    <row r="1140" spans="2:22" x14ac:dyDescent="0.25">
      <c r="B1140" s="1"/>
      <c r="I1140" s="14"/>
      <c r="J1140" s="15"/>
      <c r="K1140" s="15"/>
      <c r="L1140" s="15"/>
      <c r="M1140" s="16"/>
      <c r="O1140" s="13"/>
      <c r="V1140" s="9"/>
    </row>
    <row r="1141" spans="2:22" x14ac:dyDescent="0.25">
      <c r="B1141" s="1"/>
      <c r="I1141" s="14"/>
      <c r="J1141" s="15"/>
      <c r="K1141" s="15"/>
      <c r="L1141" s="15"/>
      <c r="M1141" s="16"/>
      <c r="O1141" s="13"/>
      <c r="V1141" s="9"/>
    </row>
    <row r="1142" spans="2:22" x14ac:dyDescent="0.25">
      <c r="B1142" s="1"/>
      <c r="I1142" s="14"/>
      <c r="J1142" s="15"/>
      <c r="K1142" s="15"/>
      <c r="L1142" s="15"/>
      <c r="M1142" s="16"/>
      <c r="O1142" s="13"/>
      <c r="V1142" s="9"/>
    </row>
    <row r="1143" spans="2:22" x14ac:dyDescent="0.25">
      <c r="B1143" s="1"/>
      <c r="I1143" s="14"/>
      <c r="J1143" s="15"/>
      <c r="K1143" s="15"/>
      <c r="L1143" s="15"/>
      <c r="M1143" s="16"/>
      <c r="O1143" s="13"/>
      <c r="V1143" s="9"/>
    </row>
    <row r="1144" spans="2:22" x14ac:dyDescent="0.25">
      <c r="B1144" s="1"/>
      <c r="I1144" s="14"/>
      <c r="J1144" s="15"/>
      <c r="K1144" s="15"/>
      <c r="L1144" s="15"/>
      <c r="M1144" s="16"/>
      <c r="O1144" s="13"/>
      <c r="V1144" s="9"/>
    </row>
    <row r="1145" spans="2:22" x14ac:dyDescent="0.25">
      <c r="B1145" s="1"/>
      <c r="I1145" s="14"/>
      <c r="J1145" s="15"/>
      <c r="K1145" s="15"/>
      <c r="L1145" s="15"/>
      <c r="M1145" s="16"/>
      <c r="O1145" s="13"/>
      <c r="V1145" s="9"/>
    </row>
    <row r="1146" spans="2:22" x14ac:dyDescent="0.25">
      <c r="B1146" s="1"/>
      <c r="I1146" s="14"/>
      <c r="J1146" s="15"/>
      <c r="K1146" s="15"/>
      <c r="L1146" s="15"/>
      <c r="M1146" s="16"/>
      <c r="O1146" s="13"/>
      <c r="V1146" s="9"/>
    </row>
    <row r="1147" spans="2:22" x14ac:dyDescent="0.25">
      <c r="B1147" s="1"/>
      <c r="I1147" s="14"/>
      <c r="J1147" s="15"/>
      <c r="K1147" s="15"/>
      <c r="L1147" s="15"/>
      <c r="M1147" s="16"/>
      <c r="O1147" s="13"/>
      <c r="V1147" s="9"/>
    </row>
    <row r="1148" spans="2:22" x14ac:dyDescent="0.25">
      <c r="B1148" s="1"/>
      <c r="I1148" s="14"/>
      <c r="J1148" s="15"/>
      <c r="K1148" s="15"/>
      <c r="L1148" s="15"/>
      <c r="M1148" s="16"/>
      <c r="O1148" s="13"/>
      <c r="V1148" s="9"/>
    </row>
    <row r="1149" spans="2:22" x14ac:dyDescent="0.25">
      <c r="B1149" s="1"/>
      <c r="I1149" s="14"/>
      <c r="J1149" s="15"/>
      <c r="K1149" s="15"/>
      <c r="L1149" s="15"/>
      <c r="M1149" s="16"/>
      <c r="O1149" s="13"/>
      <c r="V1149" s="9"/>
    </row>
    <row r="1150" spans="2:22" x14ac:dyDescent="0.25">
      <c r="B1150" s="1"/>
      <c r="I1150" s="14"/>
      <c r="J1150" s="15"/>
      <c r="K1150" s="15"/>
      <c r="L1150" s="15"/>
      <c r="M1150" s="16"/>
      <c r="O1150" s="13"/>
      <c r="V1150" s="9"/>
    </row>
    <row r="1151" spans="2:22" x14ac:dyDescent="0.25">
      <c r="B1151" s="1"/>
      <c r="I1151" s="14"/>
      <c r="J1151" s="15"/>
      <c r="K1151" s="15"/>
      <c r="L1151" s="15"/>
      <c r="M1151" s="16"/>
      <c r="O1151" s="13"/>
      <c r="V1151" s="9"/>
    </row>
    <row r="1152" spans="2:22" x14ac:dyDescent="0.25">
      <c r="B1152" s="1"/>
      <c r="I1152" s="14"/>
      <c r="J1152" s="15"/>
      <c r="K1152" s="15"/>
      <c r="L1152" s="15"/>
      <c r="M1152" s="16"/>
      <c r="O1152" s="13"/>
      <c r="V1152" s="9"/>
    </row>
    <row r="1153" spans="2:22" x14ac:dyDescent="0.25">
      <c r="B1153" s="1"/>
      <c r="I1153" s="14"/>
      <c r="J1153" s="15"/>
      <c r="K1153" s="15"/>
      <c r="L1153" s="15"/>
      <c r="M1153" s="16"/>
      <c r="O1153" s="13"/>
      <c r="V1153" s="9"/>
    </row>
    <row r="1154" spans="2:22" x14ac:dyDescent="0.25">
      <c r="B1154" s="1"/>
      <c r="I1154" s="14"/>
      <c r="J1154" s="15"/>
      <c r="K1154" s="15"/>
      <c r="L1154" s="15"/>
      <c r="M1154" s="16"/>
      <c r="O1154" s="13"/>
      <c r="V1154" s="9"/>
    </row>
    <row r="1155" spans="2:22" x14ac:dyDescent="0.25">
      <c r="B1155" s="1"/>
      <c r="I1155" s="14"/>
      <c r="J1155" s="15"/>
      <c r="K1155" s="15"/>
      <c r="L1155" s="15"/>
      <c r="M1155" s="16"/>
      <c r="O1155" s="13"/>
      <c r="V1155" s="9"/>
    </row>
    <row r="1156" spans="2:22" x14ac:dyDescent="0.25">
      <c r="B1156" s="1"/>
      <c r="I1156" s="14"/>
      <c r="J1156" s="15"/>
      <c r="K1156" s="15"/>
      <c r="L1156" s="15"/>
      <c r="M1156" s="16"/>
      <c r="O1156" s="13"/>
      <c r="V1156" s="9"/>
    </row>
    <row r="1157" spans="2:22" x14ac:dyDescent="0.25">
      <c r="B1157" s="1"/>
      <c r="I1157" s="14"/>
      <c r="J1157" s="15"/>
      <c r="K1157" s="15"/>
      <c r="L1157" s="15"/>
      <c r="M1157" s="16"/>
      <c r="O1157" s="13"/>
      <c r="V1157" s="9"/>
    </row>
    <row r="1158" spans="2:22" x14ac:dyDescent="0.25">
      <c r="B1158" s="1"/>
      <c r="I1158" s="14"/>
      <c r="J1158" s="15"/>
      <c r="K1158" s="15"/>
      <c r="L1158" s="15"/>
      <c r="M1158" s="16"/>
      <c r="O1158" s="13"/>
      <c r="V1158" s="9"/>
    </row>
    <row r="1159" spans="2:22" x14ac:dyDescent="0.25">
      <c r="B1159" s="1"/>
      <c r="I1159" s="14"/>
      <c r="J1159" s="15"/>
      <c r="K1159" s="15"/>
      <c r="L1159" s="15"/>
      <c r="M1159" s="16"/>
      <c r="O1159" s="13"/>
      <c r="V1159" s="9"/>
    </row>
    <row r="1160" spans="2:22" x14ac:dyDescent="0.25">
      <c r="B1160" s="1"/>
      <c r="I1160" s="14"/>
      <c r="J1160" s="15"/>
      <c r="K1160" s="15"/>
      <c r="L1160" s="15"/>
      <c r="M1160" s="16"/>
      <c r="O1160" s="13"/>
      <c r="V1160" s="9"/>
    </row>
    <row r="1161" spans="2:22" x14ac:dyDescent="0.25">
      <c r="B1161" s="1"/>
      <c r="I1161" s="14"/>
      <c r="J1161" s="15"/>
      <c r="K1161" s="15"/>
      <c r="L1161" s="15"/>
      <c r="M1161" s="16"/>
      <c r="O1161" s="13"/>
      <c r="V1161" s="9"/>
    </row>
    <row r="1162" spans="2:22" x14ac:dyDescent="0.25">
      <c r="B1162" s="1"/>
      <c r="I1162" s="14"/>
      <c r="J1162" s="15"/>
      <c r="K1162" s="15"/>
      <c r="L1162" s="15"/>
      <c r="M1162" s="16"/>
      <c r="O1162" s="13"/>
      <c r="V1162" s="9"/>
    </row>
    <row r="1163" spans="2:22" x14ac:dyDescent="0.25">
      <c r="B1163" s="1"/>
      <c r="I1163" s="14"/>
      <c r="J1163" s="15"/>
      <c r="K1163" s="15"/>
      <c r="L1163" s="15"/>
      <c r="M1163" s="16"/>
      <c r="O1163" s="13"/>
      <c r="V1163" s="9"/>
    </row>
    <row r="1164" spans="2:22" x14ac:dyDescent="0.25">
      <c r="B1164" s="1"/>
      <c r="I1164" s="14"/>
      <c r="J1164" s="15"/>
      <c r="K1164" s="15"/>
      <c r="L1164" s="15"/>
      <c r="M1164" s="16"/>
      <c r="O1164" s="13"/>
      <c r="V1164" s="9"/>
    </row>
    <row r="1165" spans="2:22" x14ac:dyDescent="0.25">
      <c r="B1165" s="1"/>
      <c r="I1165" s="14"/>
      <c r="J1165" s="15"/>
      <c r="K1165" s="15"/>
      <c r="L1165" s="15"/>
      <c r="M1165" s="16"/>
      <c r="O1165" s="13"/>
      <c r="V1165" s="9"/>
    </row>
    <row r="1166" spans="2:22" x14ac:dyDescent="0.25">
      <c r="B1166" s="1"/>
      <c r="I1166" s="14"/>
      <c r="J1166" s="15"/>
      <c r="K1166" s="15"/>
      <c r="L1166" s="15"/>
      <c r="M1166" s="16"/>
      <c r="O1166" s="13"/>
      <c r="V1166" s="9"/>
    </row>
    <row r="1167" spans="2:22" x14ac:dyDescent="0.25">
      <c r="B1167" s="1"/>
      <c r="I1167" s="14"/>
      <c r="J1167" s="15"/>
      <c r="K1167" s="15"/>
      <c r="L1167" s="15"/>
      <c r="M1167" s="16"/>
      <c r="O1167" s="13"/>
      <c r="V1167" s="9"/>
    </row>
    <row r="1168" spans="2:22" x14ac:dyDescent="0.25">
      <c r="B1168" s="1"/>
      <c r="I1168" s="14"/>
      <c r="J1168" s="15"/>
      <c r="K1168" s="15"/>
      <c r="L1168" s="15"/>
      <c r="M1168" s="16"/>
      <c r="O1168" s="13"/>
      <c r="V1168" s="9"/>
    </row>
    <row r="1169" spans="2:22" x14ac:dyDescent="0.25">
      <c r="B1169" s="1"/>
      <c r="I1169" s="14"/>
      <c r="J1169" s="15"/>
      <c r="K1169" s="15"/>
      <c r="L1169" s="15"/>
      <c r="M1169" s="16"/>
      <c r="O1169" s="13"/>
      <c r="V1169" s="9"/>
    </row>
    <row r="1170" spans="2:22" x14ac:dyDescent="0.25">
      <c r="B1170" s="1"/>
      <c r="I1170" s="14"/>
      <c r="J1170" s="15"/>
      <c r="K1170" s="15"/>
      <c r="L1170" s="15"/>
      <c r="M1170" s="16"/>
      <c r="O1170" s="13"/>
      <c r="V1170" s="9"/>
    </row>
    <row r="1171" spans="2:22" x14ac:dyDescent="0.25">
      <c r="B1171" s="1"/>
      <c r="I1171" s="14"/>
      <c r="J1171" s="15"/>
      <c r="K1171" s="15"/>
      <c r="L1171" s="15"/>
      <c r="M1171" s="16"/>
      <c r="O1171" s="13"/>
      <c r="V1171" s="9"/>
    </row>
    <row r="1172" spans="2:22" x14ac:dyDescent="0.25">
      <c r="B1172" s="1"/>
      <c r="I1172" s="14"/>
      <c r="J1172" s="15"/>
      <c r="K1172" s="15"/>
      <c r="L1172" s="15"/>
      <c r="M1172" s="16"/>
      <c r="O1172" s="13"/>
      <c r="V1172" s="9"/>
    </row>
    <row r="1173" spans="2:22" x14ac:dyDescent="0.25">
      <c r="B1173" s="1"/>
      <c r="I1173" s="14"/>
      <c r="J1173" s="15"/>
      <c r="K1173" s="15"/>
      <c r="L1173" s="15"/>
      <c r="M1173" s="16"/>
      <c r="O1173" s="13"/>
      <c r="V1173" s="9"/>
    </row>
    <row r="1174" spans="2:22" x14ac:dyDescent="0.25">
      <c r="B1174" s="1"/>
      <c r="I1174" s="14"/>
      <c r="J1174" s="15"/>
      <c r="K1174" s="15"/>
      <c r="L1174" s="15"/>
      <c r="M1174" s="16"/>
      <c r="O1174" s="13"/>
      <c r="V1174" s="9"/>
    </row>
    <row r="1175" spans="2:22" x14ac:dyDescent="0.25">
      <c r="B1175" s="1"/>
      <c r="I1175" s="14"/>
      <c r="J1175" s="15"/>
      <c r="K1175" s="15"/>
      <c r="L1175" s="15"/>
      <c r="M1175" s="16"/>
      <c r="O1175" s="13"/>
      <c r="V1175" s="9"/>
    </row>
    <row r="1176" spans="2:22" x14ac:dyDescent="0.25">
      <c r="B1176" s="1"/>
      <c r="I1176" s="14"/>
      <c r="J1176" s="15"/>
      <c r="K1176" s="15"/>
      <c r="L1176" s="15"/>
      <c r="M1176" s="16"/>
      <c r="O1176" s="13"/>
      <c r="V1176" s="9"/>
    </row>
    <row r="1177" spans="2:22" x14ac:dyDescent="0.25">
      <c r="B1177" s="1"/>
      <c r="I1177" s="14"/>
      <c r="J1177" s="15"/>
      <c r="K1177" s="15"/>
      <c r="L1177" s="15"/>
      <c r="M1177" s="16"/>
      <c r="O1177" s="13"/>
      <c r="V1177" s="9"/>
    </row>
    <row r="1178" spans="2:22" x14ac:dyDescent="0.25">
      <c r="B1178" s="1"/>
      <c r="I1178" s="14"/>
      <c r="J1178" s="15"/>
      <c r="K1178" s="15"/>
      <c r="L1178" s="15"/>
      <c r="M1178" s="16"/>
      <c r="O1178" s="13"/>
      <c r="V1178" s="9"/>
    </row>
    <row r="1179" spans="2:22" x14ac:dyDescent="0.25">
      <c r="B1179" s="1"/>
      <c r="I1179" s="14"/>
      <c r="J1179" s="15"/>
      <c r="K1179" s="15"/>
      <c r="L1179" s="15"/>
      <c r="M1179" s="16"/>
      <c r="O1179" s="13"/>
      <c r="V1179" s="9"/>
    </row>
    <row r="1180" spans="2:22" x14ac:dyDescent="0.25">
      <c r="B1180" s="1"/>
      <c r="I1180" s="14"/>
      <c r="J1180" s="15"/>
      <c r="K1180" s="15"/>
      <c r="L1180" s="15"/>
      <c r="M1180" s="16"/>
      <c r="O1180" s="13"/>
      <c r="V1180" s="9"/>
    </row>
    <row r="1181" spans="2:22" x14ac:dyDescent="0.25">
      <c r="B1181" s="1"/>
      <c r="I1181" s="14"/>
      <c r="J1181" s="15"/>
      <c r="K1181" s="15"/>
      <c r="L1181" s="15"/>
      <c r="M1181" s="16"/>
      <c r="O1181" s="13"/>
      <c r="V1181" s="9"/>
    </row>
    <row r="1182" spans="2:22" x14ac:dyDescent="0.25">
      <c r="B1182" s="1"/>
      <c r="I1182" s="14"/>
      <c r="J1182" s="15"/>
      <c r="K1182" s="15"/>
      <c r="L1182" s="15"/>
      <c r="M1182" s="16"/>
      <c r="O1182" s="13"/>
      <c r="V1182" s="9"/>
    </row>
    <row r="1183" spans="2:22" x14ac:dyDescent="0.25">
      <c r="B1183" s="1"/>
      <c r="I1183" s="14"/>
      <c r="J1183" s="15"/>
      <c r="K1183" s="15"/>
      <c r="L1183" s="15"/>
      <c r="M1183" s="16"/>
      <c r="O1183" s="13"/>
      <c r="V1183" s="9"/>
    </row>
    <row r="1184" spans="2:22" x14ac:dyDescent="0.25">
      <c r="B1184" s="1"/>
      <c r="I1184" s="14"/>
      <c r="J1184" s="15"/>
      <c r="K1184" s="15"/>
      <c r="L1184" s="15"/>
      <c r="M1184" s="16"/>
      <c r="O1184" s="13"/>
      <c r="V1184" s="9"/>
    </row>
    <row r="1185" spans="2:22" x14ac:dyDescent="0.25">
      <c r="B1185" s="1"/>
      <c r="I1185" s="14"/>
      <c r="J1185" s="15"/>
      <c r="K1185" s="15"/>
      <c r="L1185" s="15"/>
      <c r="M1185" s="16"/>
      <c r="O1185" s="13"/>
      <c r="V1185" s="9"/>
    </row>
    <row r="1186" spans="2:22" x14ac:dyDescent="0.25">
      <c r="B1186" s="1"/>
      <c r="I1186" s="14"/>
      <c r="J1186" s="15"/>
      <c r="K1186" s="15"/>
      <c r="L1186" s="15"/>
      <c r="M1186" s="16"/>
      <c r="O1186" s="13"/>
      <c r="V1186" s="9"/>
    </row>
    <row r="1187" spans="2:22" x14ac:dyDescent="0.25">
      <c r="B1187" s="1"/>
      <c r="I1187" s="14"/>
      <c r="J1187" s="15"/>
      <c r="K1187" s="15"/>
      <c r="L1187" s="15"/>
      <c r="M1187" s="16"/>
      <c r="O1187" s="13"/>
      <c r="V1187" s="9"/>
    </row>
    <row r="1188" spans="2:22" x14ac:dyDescent="0.25">
      <c r="B1188" s="1"/>
      <c r="I1188" s="14"/>
      <c r="J1188" s="15"/>
      <c r="K1188" s="15"/>
      <c r="L1188" s="15"/>
      <c r="M1188" s="16"/>
      <c r="O1188" s="13"/>
      <c r="V1188" s="9"/>
    </row>
    <row r="1189" spans="2:22" x14ac:dyDescent="0.25">
      <c r="B1189" s="1"/>
      <c r="I1189" s="14"/>
      <c r="J1189" s="15"/>
      <c r="K1189" s="15"/>
      <c r="L1189" s="15"/>
      <c r="M1189" s="16"/>
      <c r="O1189" s="13"/>
      <c r="V1189" s="9"/>
    </row>
    <row r="1190" spans="2:22" x14ac:dyDescent="0.25">
      <c r="B1190" s="1"/>
      <c r="I1190" s="14"/>
      <c r="J1190" s="15"/>
      <c r="K1190" s="15"/>
      <c r="L1190" s="15"/>
      <c r="M1190" s="16"/>
      <c r="O1190" s="13"/>
      <c r="V1190" s="9"/>
    </row>
    <row r="1191" spans="2:22" x14ac:dyDescent="0.25">
      <c r="B1191" s="1"/>
      <c r="I1191" s="14"/>
      <c r="J1191" s="15"/>
      <c r="K1191" s="15"/>
      <c r="L1191" s="15"/>
      <c r="M1191" s="16"/>
      <c r="O1191" s="13"/>
      <c r="V1191" s="9"/>
    </row>
    <row r="1192" spans="2:22" x14ac:dyDescent="0.25">
      <c r="B1192" s="1"/>
      <c r="I1192" s="14"/>
      <c r="J1192" s="15"/>
      <c r="K1192" s="15"/>
      <c r="L1192" s="15"/>
      <c r="M1192" s="16"/>
      <c r="O1192" s="13"/>
      <c r="V1192" s="9"/>
    </row>
    <row r="1193" spans="2:22" x14ac:dyDescent="0.25">
      <c r="B1193" s="1"/>
      <c r="I1193" s="14"/>
      <c r="J1193" s="15"/>
      <c r="K1193" s="15"/>
      <c r="L1193" s="15"/>
      <c r="M1193" s="16"/>
      <c r="O1193" s="13"/>
      <c r="V1193" s="9"/>
    </row>
    <row r="1194" spans="2:22" x14ac:dyDescent="0.25">
      <c r="B1194" s="1"/>
      <c r="I1194" s="14"/>
      <c r="J1194" s="15"/>
      <c r="K1194" s="15"/>
      <c r="L1194" s="15"/>
      <c r="M1194" s="16"/>
      <c r="O1194" s="13"/>
      <c r="V1194" s="9"/>
    </row>
    <row r="1195" spans="2:22" x14ac:dyDescent="0.25">
      <c r="B1195" s="1"/>
      <c r="I1195" s="14"/>
      <c r="J1195" s="15"/>
      <c r="K1195" s="15"/>
      <c r="L1195" s="15"/>
      <c r="M1195" s="16"/>
      <c r="O1195" s="13"/>
      <c r="V1195" s="9"/>
    </row>
    <row r="1196" spans="2:22" x14ac:dyDescent="0.25">
      <c r="B1196" s="1"/>
      <c r="I1196" s="14"/>
      <c r="J1196" s="15"/>
      <c r="K1196" s="15"/>
      <c r="L1196" s="15"/>
      <c r="M1196" s="16"/>
      <c r="O1196" s="13"/>
      <c r="V1196" s="9"/>
    </row>
    <row r="1197" spans="2:22" x14ac:dyDescent="0.25">
      <c r="B1197" s="1"/>
      <c r="I1197" s="14"/>
      <c r="J1197" s="15"/>
      <c r="K1197" s="15"/>
      <c r="L1197" s="15"/>
      <c r="M1197" s="16"/>
      <c r="O1197" s="13"/>
      <c r="V1197" s="9"/>
    </row>
    <row r="1198" spans="2:22" x14ac:dyDescent="0.25">
      <c r="B1198" s="1"/>
      <c r="I1198" s="14"/>
      <c r="J1198" s="15"/>
      <c r="K1198" s="15"/>
      <c r="L1198" s="15"/>
      <c r="M1198" s="16"/>
      <c r="O1198" s="13"/>
      <c r="V1198" s="9"/>
    </row>
    <row r="1199" spans="2:22" x14ac:dyDescent="0.25">
      <c r="B1199" s="1"/>
      <c r="I1199" s="14"/>
      <c r="J1199" s="15"/>
      <c r="K1199" s="15"/>
      <c r="L1199" s="15"/>
      <c r="M1199" s="16"/>
      <c r="O1199" s="13"/>
      <c r="V1199" s="9"/>
    </row>
    <row r="1200" spans="2:22" x14ac:dyDescent="0.25">
      <c r="B1200" s="1"/>
      <c r="I1200" s="14"/>
      <c r="J1200" s="15"/>
      <c r="K1200" s="15"/>
      <c r="L1200" s="15"/>
      <c r="M1200" s="16"/>
      <c r="O1200" s="13"/>
      <c r="V1200" s="9"/>
    </row>
    <row r="1201" spans="2:22" x14ac:dyDescent="0.25">
      <c r="B1201" s="1"/>
      <c r="I1201" s="14"/>
      <c r="J1201" s="15"/>
      <c r="K1201" s="15"/>
      <c r="L1201" s="15"/>
      <c r="M1201" s="16"/>
      <c r="O1201" s="13"/>
      <c r="V1201" s="9"/>
    </row>
    <row r="1202" spans="2:22" x14ac:dyDescent="0.25">
      <c r="B1202" s="1"/>
      <c r="I1202" s="14"/>
      <c r="J1202" s="15"/>
      <c r="K1202" s="15"/>
      <c r="L1202" s="15"/>
      <c r="M1202" s="16"/>
      <c r="O1202" s="13"/>
      <c r="V1202" s="9"/>
    </row>
    <row r="1203" spans="2:22" x14ac:dyDescent="0.25">
      <c r="B1203" s="1"/>
      <c r="I1203" s="14"/>
      <c r="J1203" s="15"/>
      <c r="K1203" s="15"/>
      <c r="L1203" s="15"/>
      <c r="M1203" s="16"/>
      <c r="O1203" s="13"/>
      <c r="V1203" s="9"/>
    </row>
    <row r="1204" spans="2:22" x14ac:dyDescent="0.25">
      <c r="B1204" s="1"/>
      <c r="I1204" s="14"/>
      <c r="J1204" s="15"/>
      <c r="K1204" s="15"/>
      <c r="L1204" s="15"/>
      <c r="M1204" s="16"/>
      <c r="O1204" s="13"/>
      <c r="V1204" s="9"/>
    </row>
    <row r="1205" spans="2:22" x14ac:dyDescent="0.25">
      <c r="B1205" s="1"/>
      <c r="I1205" s="14"/>
      <c r="J1205" s="15"/>
      <c r="K1205" s="15"/>
      <c r="L1205" s="15"/>
      <c r="M1205" s="16"/>
      <c r="O1205" s="13"/>
      <c r="V1205" s="9"/>
    </row>
    <row r="1206" spans="2:22" x14ac:dyDescent="0.25">
      <c r="B1206" s="1"/>
      <c r="I1206" s="14"/>
      <c r="J1206" s="15"/>
      <c r="K1206" s="15"/>
      <c r="L1206" s="15"/>
      <c r="M1206" s="16"/>
      <c r="O1206" s="13"/>
      <c r="V1206" s="9"/>
    </row>
    <row r="1207" spans="2:22" x14ac:dyDescent="0.25">
      <c r="B1207" s="1"/>
      <c r="I1207" s="14"/>
      <c r="J1207" s="15"/>
      <c r="K1207" s="15"/>
      <c r="L1207" s="15"/>
      <c r="M1207" s="16"/>
      <c r="O1207" s="13"/>
      <c r="V1207" s="9"/>
    </row>
    <row r="1208" spans="2:22" x14ac:dyDescent="0.25">
      <c r="B1208" s="1"/>
      <c r="I1208" s="14"/>
      <c r="J1208" s="15"/>
      <c r="K1208" s="15"/>
      <c r="L1208" s="15"/>
      <c r="M1208" s="16"/>
      <c r="O1208" s="13"/>
      <c r="V1208" s="9"/>
    </row>
    <row r="1209" spans="2:22" x14ac:dyDescent="0.25">
      <c r="B1209" s="1"/>
      <c r="I1209" s="14"/>
      <c r="J1209" s="15"/>
      <c r="K1209" s="15"/>
      <c r="L1209" s="15"/>
      <c r="M1209" s="16"/>
      <c r="O1209" s="13"/>
      <c r="V1209" s="9"/>
    </row>
    <row r="1210" spans="2:22" x14ac:dyDescent="0.25">
      <c r="B1210" s="1"/>
      <c r="I1210" s="14"/>
      <c r="J1210" s="15"/>
      <c r="K1210" s="15"/>
      <c r="L1210" s="15"/>
      <c r="M1210" s="16"/>
      <c r="O1210" s="13"/>
      <c r="V1210" s="9"/>
    </row>
    <row r="1211" spans="2:22" x14ac:dyDescent="0.25">
      <c r="B1211" s="1"/>
      <c r="I1211" s="14"/>
      <c r="J1211" s="15"/>
      <c r="K1211" s="15"/>
      <c r="L1211" s="15"/>
      <c r="M1211" s="16"/>
      <c r="O1211" s="13"/>
      <c r="V1211" s="9"/>
    </row>
    <row r="1212" spans="2:22" x14ac:dyDescent="0.25">
      <c r="B1212" s="1"/>
      <c r="I1212" s="14"/>
      <c r="J1212" s="15"/>
      <c r="K1212" s="15"/>
      <c r="L1212" s="15"/>
      <c r="M1212" s="16"/>
      <c r="O1212" s="13"/>
      <c r="V1212" s="9"/>
    </row>
    <row r="1213" spans="2:22" x14ac:dyDescent="0.25">
      <c r="B1213" s="1"/>
      <c r="I1213" s="14"/>
      <c r="J1213" s="15"/>
      <c r="K1213" s="15"/>
      <c r="L1213" s="15"/>
      <c r="M1213" s="16"/>
      <c r="O1213" s="13"/>
      <c r="V1213" s="9"/>
    </row>
    <row r="1214" spans="2:22" x14ac:dyDescent="0.25">
      <c r="B1214" s="1"/>
      <c r="I1214" s="14"/>
      <c r="J1214" s="15"/>
      <c r="K1214" s="15"/>
      <c r="L1214" s="15"/>
      <c r="M1214" s="16"/>
      <c r="O1214" s="13"/>
      <c r="V1214" s="9"/>
    </row>
    <row r="1215" spans="2:22" x14ac:dyDescent="0.25">
      <c r="B1215" s="1"/>
      <c r="I1215" s="14"/>
      <c r="J1215" s="15"/>
      <c r="K1215" s="15"/>
      <c r="L1215" s="15"/>
      <c r="M1215" s="16"/>
      <c r="O1215" s="13"/>
      <c r="V1215" s="9"/>
    </row>
    <row r="1216" spans="2:22" x14ac:dyDescent="0.25">
      <c r="B1216" s="1"/>
      <c r="I1216" s="14"/>
      <c r="J1216" s="15"/>
      <c r="K1216" s="15"/>
      <c r="L1216" s="15"/>
      <c r="M1216" s="16"/>
      <c r="O1216" s="13"/>
      <c r="V1216" s="9"/>
    </row>
    <row r="1217" spans="2:22" x14ac:dyDescent="0.25">
      <c r="B1217" s="1"/>
      <c r="I1217" s="14"/>
      <c r="J1217" s="15"/>
      <c r="K1217" s="15"/>
      <c r="L1217" s="15"/>
      <c r="M1217" s="16"/>
      <c r="O1217" s="13"/>
      <c r="V1217" s="9"/>
    </row>
    <row r="1218" spans="2:22" x14ac:dyDescent="0.25">
      <c r="B1218" s="1"/>
      <c r="I1218" s="14"/>
      <c r="J1218" s="15"/>
      <c r="K1218" s="15"/>
      <c r="L1218" s="15"/>
      <c r="M1218" s="16"/>
      <c r="O1218" s="13"/>
      <c r="V1218" s="9"/>
    </row>
    <row r="1219" spans="2:22" x14ac:dyDescent="0.25">
      <c r="B1219" s="1"/>
      <c r="I1219" s="14"/>
      <c r="J1219" s="15"/>
      <c r="K1219" s="15"/>
      <c r="L1219" s="15"/>
      <c r="M1219" s="16"/>
      <c r="O1219" s="13"/>
      <c r="V1219" s="9"/>
    </row>
    <row r="1220" spans="2:22" x14ac:dyDescent="0.25">
      <c r="B1220" s="1"/>
      <c r="I1220" s="14"/>
      <c r="J1220" s="15"/>
      <c r="K1220" s="15"/>
      <c r="L1220" s="15"/>
      <c r="M1220" s="16"/>
      <c r="O1220" s="13"/>
      <c r="V1220" s="9"/>
    </row>
    <row r="1221" spans="2:22" x14ac:dyDescent="0.25">
      <c r="B1221" s="1"/>
      <c r="I1221" s="14"/>
      <c r="J1221" s="15"/>
      <c r="K1221" s="15"/>
      <c r="L1221" s="15"/>
      <c r="M1221" s="16"/>
      <c r="O1221" s="13"/>
      <c r="V1221" s="9"/>
    </row>
    <row r="1222" spans="2:22" x14ac:dyDescent="0.25">
      <c r="B1222" s="1"/>
      <c r="I1222" s="14"/>
      <c r="J1222" s="15"/>
      <c r="K1222" s="15"/>
      <c r="L1222" s="15"/>
      <c r="M1222" s="16"/>
      <c r="O1222" s="13"/>
      <c r="V1222" s="9"/>
    </row>
    <row r="1223" spans="2:22" x14ac:dyDescent="0.25">
      <c r="B1223" s="1"/>
      <c r="I1223" s="14"/>
      <c r="J1223" s="15"/>
      <c r="K1223" s="15"/>
      <c r="L1223" s="15"/>
      <c r="M1223" s="16"/>
      <c r="O1223" s="13"/>
      <c r="V1223" s="9"/>
    </row>
    <row r="1224" spans="2:22" x14ac:dyDescent="0.25">
      <c r="B1224" s="1"/>
      <c r="I1224" s="14"/>
      <c r="J1224" s="15"/>
      <c r="K1224" s="15"/>
      <c r="L1224" s="15"/>
      <c r="M1224" s="16"/>
      <c r="O1224" s="13"/>
      <c r="V1224" s="9"/>
    </row>
    <row r="1225" spans="2:22" x14ac:dyDescent="0.25">
      <c r="B1225" s="1"/>
      <c r="I1225" s="14"/>
      <c r="J1225" s="15"/>
      <c r="K1225" s="15"/>
      <c r="L1225" s="15"/>
      <c r="M1225" s="16"/>
      <c r="O1225" s="13"/>
      <c r="V1225" s="9"/>
    </row>
    <row r="1226" spans="2:22" x14ac:dyDescent="0.25">
      <c r="B1226" s="1"/>
      <c r="I1226" s="14"/>
      <c r="J1226" s="15"/>
      <c r="K1226" s="15"/>
      <c r="L1226" s="15"/>
      <c r="M1226" s="16"/>
      <c r="O1226" s="13"/>
      <c r="V1226" s="9"/>
    </row>
    <row r="1227" spans="2:22" x14ac:dyDescent="0.25">
      <c r="B1227" s="1"/>
      <c r="I1227" s="14"/>
      <c r="J1227" s="15"/>
      <c r="K1227" s="15"/>
      <c r="L1227" s="15"/>
      <c r="M1227" s="16"/>
      <c r="O1227" s="13"/>
      <c r="V1227" s="9"/>
    </row>
    <row r="1228" spans="2:22" x14ac:dyDescent="0.25">
      <c r="B1228" s="1"/>
      <c r="I1228" s="14"/>
      <c r="J1228" s="15"/>
      <c r="K1228" s="15"/>
      <c r="L1228" s="15"/>
      <c r="M1228" s="16"/>
      <c r="O1228" s="13"/>
      <c r="V1228" s="9"/>
    </row>
    <row r="1229" spans="2:22" x14ac:dyDescent="0.25">
      <c r="B1229" s="1"/>
      <c r="I1229" s="14"/>
      <c r="J1229" s="15"/>
      <c r="K1229" s="15"/>
      <c r="L1229" s="15"/>
      <c r="M1229" s="16"/>
      <c r="O1229" s="13"/>
      <c r="V1229" s="9"/>
    </row>
    <row r="1230" spans="2:22" x14ac:dyDescent="0.25">
      <c r="B1230" s="1"/>
      <c r="I1230" s="14"/>
      <c r="J1230" s="15"/>
      <c r="K1230" s="15"/>
      <c r="L1230" s="15"/>
      <c r="M1230" s="16"/>
      <c r="O1230" s="13"/>
      <c r="V1230" s="9"/>
    </row>
    <row r="1231" spans="2:22" x14ac:dyDescent="0.25">
      <c r="B1231" s="1"/>
      <c r="I1231" s="14"/>
      <c r="J1231" s="15"/>
      <c r="K1231" s="15"/>
      <c r="L1231" s="15"/>
      <c r="M1231" s="16"/>
      <c r="O1231" s="13"/>
      <c r="V1231" s="9"/>
    </row>
    <row r="1232" spans="2:22" x14ac:dyDescent="0.25">
      <c r="B1232" s="1"/>
      <c r="I1232" s="14"/>
      <c r="J1232" s="15"/>
      <c r="K1232" s="15"/>
      <c r="L1232" s="15"/>
      <c r="M1232" s="16"/>
      <c r="O1232" s="13"/>
      <c r="V1232" s="9"/>
    </row>
    <row r="1233" spans="2:22" x14ac:dyDescent="0.25">
      <c r="B1233" s="1"/>
      <c r="I1233" s="14"/>
      <c r="J1233" s="15"/>
      <c r="K1233" s="15"/>
      <c r="L1233" s="15"/>
      <c r="M1233" s="16"/>
      <c r="O1233" s="13"/>
      <c r="V1233" s="9"/>
    </row>
    <row r="1234" spans="2:22" x14ac:dyDescent="0.25">
      <c r="B1234" s="1"/>
      <c r="I1234" s="14"/>
      <c r="J1234" s="15"/>
      <c r="K1234" s="15"/>
      <c r="L1234" s="15"/>
      <c r="M1234" s="16"/>
      <c r="O1234" s="13"/>
      <c r="V1234" s="9"/>
    </row>
    <row r="1235" spans="2:22" x14ac:dyDescent="0.25">
      <c r="B1235" s="1"/>
      <c r="I1235" s="14"/>
      <c r="J1235" s="15"/>
      <c r="K1235" s="15"/>
      <c r="L1235" s="15"/>
      <c r="M1235" s="16"/>
      <c r="O1235" s="13"/>
      <c r="V1235" s="9"/>
    </row>
    <row r="1236" spans="2:22" x14ac:dyDescent="0.25">
      <c r="B1236" s="1"/>
      <c r="I1236" s="14"/>
      <c r="J1236" s="15"/>
      <c r="K1236" s="15"/>
      <c r="L1236" s="15"/>
      <c r="M1236" s="16"/>
      <c r="O1236" s="13"/>
      <c r="V1236" s="9"/>
    </row>
    <row r="1237" spans="2:22" x14ac:dyDescent="0.25">
      <c r="B1237" s="1"/>
      <c r="I1237" s="14"/>
      <c r="J1237" s="15"/>
      <c r="K1237" s="15"/>
      <c r="L1237" s="15"/>
      <c r="M1237" s="16"/>
      <c r="O1237" s="13"/>
      <c r="V1237" s="9"/>
    </row>
    <row r="1238" spans="2:22" x14ac:dyDescent="0.25">
      <c r="B1238" s="1"/>
      <c r="I1238" s="14"/>
      <c r="J1238" s="15"/>
      <c r="K1238" s="15"/>
      <c r="L1238" s="15"/>
      <c r="M1238" s="16"/>
      <c r="O1238" s="13"/>
      <c r="V1238" s="9"/>
    </row>
    <row r="1239" spans="2:22" x14ac:dyDescent="0.25">
      <c r="B1239" s="1"/>
      <c r="I1239" s="14"/>
      <c r="J1239" s="15"/>
      <c r="K1239" s="15"/>
      <c r="L1239" s="15"/>
      <c r="M1239" s="16"/>
      <c r="O1239" s="13"/>
      <c r="V1239" s="9"/>
    </row>
    <row r="1240" spans="2:22" x14ac:dyDescent="0.25">
      <c r="B1240" s="1"/>
      <c r="I1240" s="14"/>
      <c r="J1240" s="15"/>
      <c r="K1240" s="15"/>
      <c r="L1240" s="15"/>
      <c r="M1240" s="16"/>
      <c r="O1240" s="13"/>
      <c r="V1240" s="9"/>
    </row>
    <row r="1241" spans="2:22" x14ac:dyDescent="0.25">
      <c r="B1241" s="1"/>
      <c r="I1241" s="14"/>
      <c r="J1241" s="15"/>
      <c r="K1241" s="15"/>
      <c r="L1241" s="15"/>
      <c r="M1241" s="16"/>
      <c r="O1241" s="13"/>
      <c r="V1241" s="9"/>
    </row>
    <row r="1242" spans="2:22" x14ac:dyDescent="0.25">
      <c r="B1242" s="1"/>
      <c r="I1242" s="14"/>
      <c r="J1242" s="15"/>
      <c r="K1242" s="15"/>
      <c r="L1242" s="15"/>
      <c r="M1242" s="16"/>
      <c r="O1242" s="13"/>
      <c r="V1242" s="9"/>
    </row>
    <row r="1243" spans="2:22" x14ac:dyDescent="0.25">
      <c r="B1243" s="1"/>
      <c r="I1243" s="14"/>
      <c r="J1243" s="15"/>
      <c r="K1243" s="15"/>
      <c r="L1243" s="15"/>
      <c r="M1243" s="16"/>
      <c r="O1243" s="13"/>
      <c r="V1243" s="9"/>
    </row>
    <row r="1244" spans="2:22" x14ac:dyDescent="0.25">
      <c r="B1244" s="1"/>
      <c r="I1244" s="14"/>
      <c r="J1244" s="15"/>
      <c r="K1244" s="15"/>
      <c r="L1244" s="15"/>
      <c r="M1244" s="16"/>
      <c r="O1244" s="13"/>
      <c r="V1244" s="9"/>
    </row>
    <row r="1245" spans="2:22" x14ac:dyDescent="0.25">
      <c r="B1245" s="1"/>
      <c r="I1245" s="14"/>
      <c r="J1245" s="15"/>
      <c r="K1245" s="15"/>
      <c r="L1245" s="15"/>
      <c r="M1245" s="16"/>
      <c r="O1245" s="13"/>
      <c r="V1245" s="9"/>
    </row>
    <row r="1246" spans="2:22" x14ac:dyDescent="0.25">
      <c r="B1246" s="1"/>
      <c r="I1246" s="14"/>
      <c r="J1246" s="15"/>
      <c r="K1246" s="15"/>
      <c r="L1246" s="15"/>
      <c r="M1246" s="16"/>
      <c r="O1246" s="13"/>
      <c r="V1246" s="9"/>
    </row>
    <row r="1247" spans="2:22" x14ac:dyDescent="0.25">
      <c r="B1247" s="1"/>
      <c r="I1247" s="14"/>
      <c r="J1247" s="15"/>
      <c r="K1247" s="15"/>
      <c r="L1247" s="15"/>
      <c r="M1247" s="16"/>
      <c r="O1247" s="13"/>
      <c r="V1247" s="9"/>
    </row>
    <row r="1248" spans="2:22" x14ac:dyDescent="0.25">
      <c r="B1248" s="1"/>
      <c r="I1248" s="14"/>
      <c r="J1248" s="15"/>
      <c r="K1248" s="15"/>
      <c r="L1248" s="15"/>
      <c r="M1248" s="16"/>
      <c r="O1248" s="13"/>
      <c r="V1248" s="9"/>
    </row>
    <row r="1249" spans="2:22" x14ac:dyDescent="0.25">
      <c r="B1249" s="1"/>
      <c r="I1249" s="14"/>
      <c r="J1249" s="15"/>
      <c r="K1249" s="15"/>
      <c r="L1249" s="15"/>
      <c r="M1249" s="16"/>
      <c r="O1249" s="13"/>
      <c r="V1249" s="9"/>
    </row>
    <row r="1250" spans="2:22" x14ac:dyDescent="0.25">
      <c r="B1250" s="1"/>
      <c r="I1250" s="14"/>
      <c r="J1250" s="15"/>
      <c r="K1250" s="15"/>
      <c r="L1250" s="15"/>
      <c r="M1250" s="16"/>
      <c r="O1250" s="13"/>
      <c r="V1250" s="9"/>
    </row>
    <row r="1251" spans="2:22" x14ac:dyDescent="0.25">
      <c r="B1251" s="1"/>
      <c r="I1251" s="14"/>
      <c r="J1251" s="15"/>
      <c r="K1251" s="15"/>
      <c r="L1251" s="15"/>
      <c r="M1251" s="16"/>
      <c r="O1251" s="13"/>
      <c r="V1251" s="9"/>
    </row>
    <row r="1252" spans="2:22" x14ac:dyDescent="0.25">
      <c r="B1252" s="1"/>
      <c r="I1252" s="14"/>
      <c r="J1252" s="15"/>
      <c r="K1252" s="15"/>
      <c r="L1252" s="15"/>
      <c r="M1252" s="16"/>
      <c r="O1252" s="13"/>
      <c r="V1252" s="9"/>
    </row>
    <row r="1253" spans="2:22" x14ac:dyDescent="0.25">
      <c r="B1253" s="1"/>
      <c r="I1253" s="14"/>
      <c r="J1253" s="15"/>
      <c r="K1253" s="15"/>
      <c r="L1253" s="15"/>
      <c r="M1253" s="16"/>
      <c r="O1253" s="13"/>
      <c r="V1253" s="9"/>
    </row>
    <row r="1254" spans="2:22" x14ac:dyDescent="0.25">
      <c r="B1254" s="1"/>
      <c r="I1254" s="14"/>
      <c r="J1254" s="15"/>
      <c r="K1254" s="15"/>
      <c r="L1254" s="15"/>
      <c r="M1254" s="16"/>
      <c r="O1254" s="13"/>
      <c r="V1254" s="9"/>
    </row>
    <row r="1255" spans="2:22" x14ac:dyDescent="0.25">
      <c r="B1255" s="1"/>
      <c r="I1255" s="14"/>
      <c r="J1255" s="15"/>
      <c r="K1255" s="15"/>
      <c r="L1255" s="15"/>
      <c r="M1255" s="16"/>
      <c r="O1255" s="13"/>
      <c r="V1255" s="9"/>
    </row>
    <row r="1256" spans="2:22" x14ac:dyDescent="0.25">
      <c r="B1256" s="1"/>
      <c r="I1256" s="14"/>
      <c r="J1256" s="15"/>
      <c r="K1256" s="15"/>
      <c r="L1256" s="15"/>
      <c r="M1256" s="16"/>
      <c r="O1256" s="13"/>
      <c r="V1256" s="9"/>
    </row>
    <row r="1257" spans="2:22" x14ac:dyDescent="0.25">
      <c r="B1257" s="1"/>
      <c r="I1257" s="14"/>
      <c r="J1257" s="15"/>
      <c r="K1257" s="15"/>
      <c r="L1257" s="15"/>
      <c r="M1257" s="16"/>
      <c r="O1257" s="13"/>
      <c r="V1257" s="9"/>
    </row>
    <row r="1258" spans="2:22" x14ac:dyDescent="0.25">
      <c r="B1258" s="1"/>
      <c r="I1258" s="14"/>
      <c r="J1258" s="15"/>
      <c r="K1258" s="15"/>
      <c r="L1258" s="15"/>
      <c r="M1258" s="16"/>
      <c r="O1258" s="13"/>
      <c r="V1258" s="9"/>
    </row>
    <row r="1259" spans="2:22" x14ac:dyDescent="0.25">
      <c r="B1259" s="1"/>
      <c r="I1259" s="14"/>
      <c r="J1259" s="15"/>
      <c r="K1259" s="15"/>
      <c r="L1259" s="15"/>
      <c r="M1259" s="16"/>
      <c r="O1259" s="13"/>
      <c r="V1259" s="9"/>
    </row>
    <row r="1260" spans="2:22" x14ac:dyDescent="0.25">
      <c r="B1260" s="1"/>
      <c r="I1260" s="14"/>
      <c r="J1260" s="15"/>
      <c r="K1260" s="15"/>
      <c r="L1260" s="15"/>
      <c r="M1260" s="16"/>
      <c r="O1260" s="13"/>
      <c r="V1260" s="9"/>
    </row>
    <row r="1261" spans="2:22" x14ac:dyDescent="0.25">
      <c r="B1261" s="1"/>
      <c r="I1261" s="14"/>
      <c r="J1261" s="15"/>
      <c r="K1261" s="15"/>
      <c r="L1261" s="15"/>
      <c r="M1261" s="16"/>
      <c r="O1261" s="13"/>
      <c r="V1261" s="9"/>
    </row>
    <row r="1262" spans="2:22" x14ac:dyDescent="0.25">
      <c r="B1262" s="1"/>
      <c r="I1262" s="14"/>
      <c r="J1262" s="15"/>
      <c r="K1262" s="15"/>
      <c r="L1262" s="15"/>
      <c r="M1262" s="16"/>
      <c r="O1262" s="13"/>
      <c r="V1262" s="9"/>
    </row>
    <row r="1263" spans="2:22" x14ac:dyDescent="0.25">
      <c r="B1263" s="1"/>
      <c r="I1263" s="14"/>
      <c r="J1263" s="15"/>
      <c r="K1263" s="15"/>
      <c r="L1263" s="15"/>
      <c r="M1263" s="16"/>
      <c r="O1263" s="13"/>
      <c r="V1263" s="9"/>
    </row>
    <row r="1264" spans="2:22" x14ac:dyDescent="0.25">
      <c r="B1264" s="1"/>
      <c r="I1264" s="14"/>
      <c r="J1264" s="15"/>
      <c r="K1264" s="15"/>
      <c r="L1264" s="15"/>
      <c r="M1264" s="16"/>
      <c r="O1264" s="13"/>
      <c r="V1264" s="9"/>
    </row>
    <row r="1265" spans="2:22" x14ac:dyDescent="0.25">
      <c r="B1265" s="1"/>
      <c r="I1265" s="14"/>
      <c r="J1265" s="15"/>
      <c r="K1265" s="15"/>
      <c r="L1265" s="15"/>
      <c r="M1265" s="16"/>
      <c r="O1265" s="13"/>
      <c r="V1265" s="9"/>
    </row>
    <row r="1266" spans="2:22" x14ac:dyDescent="0.25">
      <c r="B1266" s="1"/>
      <c r="I1266" s="14"/>
      <c r="J1266" s="15"/>
      <c r="K1266" s="15"/>
      <c r="L1266" s="15"/>
      <c r="M1266" s="16"/>
      <c r="O1266" s="13"/>
      <c r="V1266" s="9"/>
    </row>
    <row r="1267" spans="2:22" x14ac:dyDescent="0.25">
      <c r="B1267" s="1"/>
      <c r="I1267" s="14"/>
      <c r="J1267" s="15"/>
      <c r="K1267" s="15"/>
      <c r="L1267" s="15"/>
      <c r="M1267" s="16"/>
      <c r="O1267" s="13"/>
      <c r="V1267" s="9"/>
    </row>
    <row r="1268" spans="2:22" x14ac:dyDescent="0.25">
      <c r="B1268" s="1"/>
      <c r="I1268" s="14"/>
      <c r="J1268" s="15"/>
      <c r="K1268" s="15"/>
      <c r="L1268" s="15"/>
      <c r="M1268" s="16"/>
      <c r="O1268" s="13"/>
      <c r="V1268" s="9"/>
    </row>
    <row r="1269" spans="2:22" x14ac:dyDescent="0.25">
      <c r="B1269" s="1"/>
      <c r="I1269" s="14"/>
      <c r="J1269" s="15"/>
      <c r="K1269" s="15"/>
      <c r="L1269" s="15"/>
      <c r="M1269" s="16"/>
      <c r="O1269" s="13"/>
      <c r="V1269" s="9"/>
    </row>
    <row r="1270" spans="2:22" x14ac:dyDescent="0.25">
      <c r="B1270" s="1"/>
      <c r="I1270" s="14"/>
      <c r="J1270" s="15"/>
      <c r="K1270" s="15"/>
      <c r="L1270" s="15"/>
      <c r="M1270" s="16"/>
      <c r="O1270" s="13"/>
      <c r="V1270" s="9"/>
    </row>
    <row r="1271" spans="2:22" x14ac:dyDescent="0.25">
      <c r="B1271" s="1"/>
      <c r="I1271" s="14"/>
      <c r="J1271" s="15"/>
      <c r="K1271" s="15"/>
      <c r="L1271" s="15"/>
      <c r="M1271" s="16"/>
      <c r="O1271" s="13"/>
      <c r="V1271" s="9"/>
    </row>
    <row r="1272" spans="2:22" x14ac:dyDescent="0.25">
      <c r="B1272" s="1"/>
      <c r="I1272" s="14"/>
      <c r="J1272" s="15"/>
      <c r="K1272" s="15"/>
      <c r="L1272" s="15"/>
      <c r="M1272" s="16"/>
      <c r="O1272" s="13"/>
      <c r="V1272" s="9"/>
    </row>
    <row r="1273" spans="2:22" x14ac:dyDescent="0.25">
      <c r="B1273" s="1"/>
      <c r="I1273" s="14"/>
      <c r="J1273" s="15"/>
      <c r="K1273" s="15"/>
      <c r="L1273" s="15"/>
      <c r="M1273" s="16"/>
      <c r="O1273" s="13"/>
      <c r="V1273" s="9"/>
    </row>
    <row r="1274" spans="2:22" x14ac:dyDescent="0.25">
      <c r="B1274" s="1"/>
      <c r="I1274" s="14"/>
      <c r="J1274" s="15"/>
      <c r="K1274" s="15"/>
      <c r="L1274" s="15"/>
      <c r="M1274" s="16"/>
      <c r="O1274" s="13"/>
      <c r="V1274" s="9"/>
    </row>
    <row r="1275" spans="2:22" x14ac:dyDescent="0.25">
      <c r="B1275" s="1"/>
      <c r="I1275" s="14"/>
      <c r="J1275" s="15"/>
      <c r="K1275" s="15"/>
      <c r="L1275" s="15"/>
      <c r="M1275" s="16"/>
      <c r="O1275" s="13"/>
      <c r="V1275" s="9"/>
    </row>
    <row r="1276" spans="2:22" x14ac:dyDescent="0.25">
      <c r="B1276" s="1"/>
      <c r="I1276" s="14"/>
      <c r="J1276" s="15"/>
      <c r="K1276" s="15"/>
      <c r="L1276" s="15"/>
      <c r="M1276" s="16"/>
      <c r="O1276" s="13"/>
      <c r="V1276" s="9"/>
    </row>
    <row r="1277" spans="2:22" x14ac:dyDescent="0.25">
      <c r="B1277" s="1"/>
      <c r="I1277" s="14"/>
      <c r="J1277" s="15"/>
      <c r="K1277" s="15"/>
      <c r="L1277" s="15"/>
      <c r="M1277" s="16"/>
      <c r="O1277" s="13"/>
      <c r="V1277" s="9"/>
    </row>
    <row r="1278" spans="2:22" x14ac:dyDescent="0.25">
      <c r="B1278" s="1"/>
      <c r="I1278" s="14"/>
      <c r="J1278" s="15"/>
      <c r="K1278" s="15"/>
      <c r="L1278" s="15"/>
      <c r="M1278" s="16"/>
      <c r="O1278" s="13"/>
      <c r="V1278" s="9"/>
    </row>
    <row r="1279" spans="2:22" x14ac:dyDescent="0.25">
      <c r="B1279" s="1"/>
      <c r="I1279" s="14"/>
      <c r="J1279" s="15"/>
      <c r="K1279" s="15"/>
      <c r="L1279" s="15"/>
      <c r="M1279" s="16"/>
      <c r="O1279" s="13"/>
      <c r="V1279" s="9"/>
    </row>
    <row r="1280" spans="2:22" x14ac:dyDescent="0.25">
      <c r="B1280" s="1"/>
      <c r="I1280" s="14"/>
      <c r="J1280" s="15"/>
      <c r="K1280" s="15"/>
      <c r="L1280" s="15"/>
      <c r="M1280" s="16"/>
      <c r="O1280" s="13"/>
      <c r="V1280" s="9"/>
    </row>
    <row r="1281" spans="2:22" x14ac:dyDescent="0.25">
      <c r="B1281" s="1"/>
      <c r="I1281" s="14"/>
      <c r="J1281" s="15"/>
      <c r="K1281" s="15"/>
      <c r="L1281" s="15"/>
      <c r="M1281" s="16"/>
      <c r="O1281" s="13"/>
      <c r="V1281" s="9"/>
    </row>
    <row r="1282" spans="2:22" x14ac:dyDescent="0.25">
      <c r="B1282" s="1"/>
      <c r="I1282" s="14"/>
      <c r="J1282" s="15"/>
      <c r="K1282" s="15"/>
      <c r="L1282" s="15"/>
      <c r="M1282" s="16"/>
      <c r="O1282" s="13"/>
      <c r="V1282" s="9"/>
    </row>
    <row r="1283" spans="2:22" x14ac:dyDescent="0.25">
      <c r="B1283" s="1"/>
      <c r="I1283" s="14"/>
      <c r="J1283" s="15"/>
      <c r="K1283" s="15"/>
      <c r="L1283" s="15"/>
      <c r="M1283" s="16"/>
      <c r="O1283" s="13"/>
      <c r="V1283" s="9"/>
    </row>
    <row r="1284" spans="2:22" x14ac:dyDescent="0.25">
      <c r="B1284" s="1"/>
      <c r="I1284" s="14"/>
      <c r="J1284" s="15"/>
      <c r="K1284" s="15"/>
      <c r="L1284" s="15"/>
      <c r="M1284" s="16"/>
      <c r="O1284" s="13"/>
      <c r="V1284" s="9"/>
    </row>
    <row r="1285" spans="2:22" x14ac:dyDescent="0.25">
      <c r="B1285" s="1"/>
      <c r="I1285" s="14"/>
      <c r="J1285" s="15"/>
      <c r="K1285" s="15"/>
      <c r="L1285" s="15"/>
      <c r="M1285" s="16"/>
      <c r="O1285" s="13"/>
      <c r="V1285" s="9"/>
    </row>
    <row r="1286" spans="2:22" x14ac:dyDescent="0.25">
      <c r="B1286" s="1"/>
      <c r="I1286" s="14"/>
      <c r="J1286" s="15"/>
      <c r="K1286" s="15"/>
      <c r="L1286" s="15"/>
      <c r="M1286" s="16"/>
      <c r="O1286" s="13"/>
      <c r="V1286" s="9"/>
    </row>
    <row r="1287" spans="2:22" x14ac:dyDescent="0.25">
      <c r="B1287" s="1"/>
      <c r="I1287" s="14"/>
      <c r="J1287" s="15"/>
      <c r="K1287" s="15"/>
      <c r="L1287" s="15"/>
      <c r="M1287" s="16"/>
      <c r="O1287" s="13"/>
      <c r="V1287" s="9"/>
    </row>
    <row r="1288" spans="2:22" x14ac:dyDescent="0.25">
      <c r="B1288" s="1"/>
      <c r="I1288" s="14"/>
      <c r="J1288" s="15"/>
      <c r="K1288" s="15"/>
      <c r="L1288" s="15"/>
      <c r="M1288" s="16"/>
      <c r="O1288" s="13"/>
      <c r="V1288" s="9"/>
    </row>
    <row r="1289" spans="2:22" x14ac:dyDescent="0.25">
      <c r="B1289" s="1"/>
      <c r="I1289" s="14"/>
      <c r="J1289" s="15"/>
      <c r="K1289" s="15"/>
      <c r="L1289" s="15"/>
      <c r="M1289" s="16"/>
      <c r="O1289" s="13"/>
      <c r="V1289" s="9"/>
    </row>
    <row r="1290" spans="2:22" x14ac:dyDescent="0.25">
      <c r="B1290" s="1"/>
      <c r="I1290" s="14"/>
      <c r="J1290" s="15"/>
      <c r="K1290" s="15"/>
      <c r="L1290" s="15"/>
      <c r="M1290" s="16"/>
      <c r="O1290" s="13"/>
      <c r="V1290" s="9"/>
    </row>
    <row r="1291" spans="2:22" x14ac:dyDescent="0.25">
      <c r="B1291" s="1"/>
      <c r="I1291" s="14"/>
      <c r="J1291" s="15"/>
      <c r="K1291" s="15"/>
      <c r="L1291" s="15"/>
      <c r="M1291" s="16"/>
      <c r="O1291" s="13"/>
      <c r="V1291" s="9"/>
    </row>
    <row r="1292" spans="2:22" x14ac:dyDescent="0.25">
      <c r="B1292" s="1"/>
      <c r="I1292" s="14"/>
      <c r="J1292" s="15"/>
      <c r="K1292" s="15"/>
      <c r="L1292" s="15"/>
      <c r="M1292" s="16"/>
      <c r="O1292" s="13"/>
      <c r="V1292" s="9"/>
    </row>
    <row r="1293" spans="2:22" x14ac:dyDescent="0.25">
      <c r="B1293" s="1"/>
      <c r="I1293" s="14"/>
      <c r="J1293" s="15"/>
      <c r="K1293" s="15"/>
      <c r="L1293" s="15"/>
      <c r="M1293" s="16"/>
      <c r="O1293" s="13"/>
      <c r="V1293" s="9"/>
    </row>
    <row r="1294" spans="2:22" x14ac:dyDescent="0.25">
      <c r="B1294" s="1"/>
      <c r="I1294" s="14"/>
      <c r="J1294" s="15"/>
      <c r="K1294" s="15"/>
      <c r="L1294" s="15"/>
      <c r="M1294" s="16"/>
      <c r="O1294" s="13"/>
      <c r="V1294" s="9"/>
    </row>
    <row r="1295" spans="2:22" x14ac:dyDescent="0.25">
      <c r="B1295" s="1"/>
      <c r="I1295" s="14"/>
      <c r="J1295" s="15"/>
      <c r="K1295" s="15"/>
      <c r="L1295" s="15"/>
      <c r="M1295" s="16"/>
      <c r="O1295" s="13"/>
      <c r="V1295" s="9"/>
    </row>
    <row r="1296" spans="2:22" x14ac:dyDescent="0.25">
      <c r="B1296" s="1"/>
      <c r="I1296" s="14"/>
      <c r="J1296" s="15"/>
      <c r="K1296" s="15"/>
      <c r="L1296" s="15"/>
      <c r="M1296" s="16"/>
      <c r="O1296" s="13"/>
      <c r="V1296" s="9"/>
    </row>
    <row r="1297" spans="2:22" x14ac:dyDescent="0.25">
      <c r="B1297" s="1"/>
      <c r="I1297" s="14"/>
      <c r="J1297" s="15"/>
      <c r="K1297" s="15"/>
      <c r="L1297" s="15"/>
      <c r="M1297" s="16"/>
      <c r="O1297" s="13"/>
      <c r="V1297" s="9"/>
    </row>
    <row r="1298" spans="2:22" x14ac:dyDescent="0.25">
      <c r="B1298" s="1"/>
      <c r="I1298" s="14"/>
      <c r="J1298" s="15"/>
      <c r="K1298" s="15"/>
      <c r="L1298" s="15"/>
      <c r="M1298" s="16"/>
      <c r="O1298" s="13"/>
      <c r="V1298" s="9"/>
    </row>
    <row r="1299" spans="2:22" x14ac:dyDescent="0.25">
      <c r="B1299" s="1"/>
      <c r="I1299" s="14"/>
      <c r="J1299" s="15"/>
      <c r="K1299" s="15"/>
      <c r="L1299" s="15"/>
      <c r="M1299" s="16"/>
      <c r="O1299" s="13"/>
      <c r="V1299" s="9"/>
    </row>
    <row r="1300" spans="2:22" x14ac:dyDescent="0.25">
      <c r="B1300" s="1"/>
      <c r="I1300" s="14"/>
      <c r="J1300" s="15"/>
      <c r="K1300" s="15"/>
      <c r="L1300" s="15"/>
      <c r="M1300" s="16"/>
      <c r="O1300" s="13"/>
      <c r="V1300" s="9"/>
    </row>
    <row r="1301" spans="2:22" x14ac:dyDescent="0.25">
      <c r="B1301" s="1"/>
      <c r="I1301" s="14"/>
      <c r="J1301" s="15"/>
      <c r="K1301" s="15"/>
      <c r="L1301" s="15"/>
      <c r="M1301" s="16"/>
      <c r="O1301" s="13"/>
      <c r="V1301" s="9"/>
    </row>
    <row r="1302" spans="2:22" x14ac:dyDescent="0.25">
      <c r="B1302" s="1"/>
      <c r="I1302" s="14"/>
      <c r="J1302" s="15"/>
      <c r="K1302" s="15"/>
      <c r="L1302" s="15"/>
      <c r="M1302" s="16"/>
      <c r="O1302" s="13"/>
      <c r="V1302" s="9"/>
    </row>
    <row r="1303" spans="2:22" x14ac:dyDescent="0.25">
      <c r="B1303" s="1"/>
      <c r="I1303" s="14"/>
      <c r="J1303" s="15"/>
      <c r="K1303" s="15"/>
      <c r="L1303" s="15"/>
      <c r="M1303" s="16"/>
      <c r="O1303" s="13"/>
      <c r="V1303" s="9"/>
    </row>
    <row r="1304" spans="2:22" x14ac:dyDescent="0.25">
      <c r="B1304" s="1"/>
      <c r="I1304" s="14"/>
      <c r="J1304" s="15"/>
      <c r="K1304" s="15"/>
      <c r="L1304" s="15"/>
      <c r="M1304" s="16"/>
      <c r="O1304" s="13"/>
      <c r="V1304" s="9"/>
    </row>
    <row r="1305" spans="2:22" x14ac:dyDescent="0.25">
      <c r="B1305" s="1"/>
      <c r="I1305" s="14"/>
      <c r="J1305" s="15"/>
      <c r="K1305" s="15"/>
      <c r="L1305" s="15"/>
      <c r="M1305" s="16"/>
      <c r="O1305" s="13"/>
      <c r="V1305" s="9"/>
    </row>
    <row r="1306" spans="2:22" x14ac:dyDescent="0.25">
      <c r="B1306" s="1"/>
      <c r="I1306" s="14"/>
      <c r="J1306" s="15"/>
      <c r="K1306" s="15"/>
      <c r="L1306" s="15"/>
      <c r="M1306" s="16"/>
      <c r="O1306" s="13"/>
      <c r="V1306" s="9"/>
    </row>
    <row r="1307" spans="2:22" x14ac:dyDescent="0.25">
      <c r="B1307" s="1"/>
      <c r="I1307" s="14"/>
      <c r="J1307" s="15"/>
      <c r="K1307" s="15"/>
      <c r="L1307" s="15"/>
      <c r="M1307" s="16"/>
      <c r="O1307" s="13"/>
      <c r="V1307" s="9"/>
    </row>
    <row r="1308" spans="2:22" x14ac:dyDescent="0.25">
      <c r="B1308" s="1"/>
      <c r="I1308" s="14"/>
      <c r="J1308" s="15"/>
      <c r="K1308" s="15"/>
      <c r="L1308" s="15"/>
      <c r="M1308" s="16"/>
      <c r="O1308" s="13"/>
      <c r="V1308" s="9"/>
    </row>
    <row r="1309" spans="2:22" x14ac:dyDescent="0.25">
      <c r="B1309" s="1"/>
      <c r="I1309" s="14"/>
      <c r="J1309" s="15"/>
      <c r="K1309" s="15"/>
      <c r="L1309" s="15"/>
      <c r="M1309" s="16"/>
      <c r="O1309" s="13"/>
      <c r="V1309" s="9"/>
    </row>
    <row r="1310" spans="2:22" x14ac:dyDescent="0.25">
      <c r="B1310" s="1"/>
      <c r="I1310" s="14"/>
      <c r="J1310" s="15"/>
      <c r="K1310" s="15"/>
      <c r="L1310" s="15"/>
      <c r="M1310" s="16"/>
      <c r="O1310" s="13"/>
      <c r="V1310" s="9"/>
    </row>
    <row r="1311" spans="2:22" x14ac:dyDescent="0.25">
      <c r="B1311" s="1"/>
      <c r="I1311" s="14"/>
      <c r="J1311" s="15"/>
      <c r="K1311" s="15"/>
      <c r="L1311" s="15"/>
      <c r="M1311" s="16"/>
      <c r="O1311" s="13"/>
      <c r="V1311" s="9"/>
    </row>
    <row r="1312" spans="2:22" x14ac:dyDescent="0.25">
      <c r="B1312" s="1"/>
      <c r="I1312" s="14"/>
      <c r="J1312" s="15"/>
      <c r="K1312" s="15"/>
      <c r="L1312" s="15"/>
      <c r="M1312" s="16"/>
      <c r="O1312" s="13"/>
      <c r="V1312" s="9"/>
    </row>
    <row r="1313" spans="2:22" x14ac:dyDescent="0.25">
      <c r="B1313" s="1"/>
      <c r="I1313" s="14"/>
      <c r="J1313" s="15"/>
      <c r="K1313" s="15"/>
      <c r="L1313" s="15"/>
      <c r="M1313" s="16"/>
      <c r="O1313" s="13"/>
      <c r="V1313" s="9"/>
    </row>
    <row r="1314" spans="2:22" x14ac:dyDescent="0.25">
      <c r="B1314" s="1"/>
      <c r="I1314" s="14"/>
      <c r="J1314" s="15"/>
      <c r="K1314" s="15"/>
      <c r="L1314" s="15"/>
      <c r="M1314" s="16"/>
      <c r="O1314" s="13"/>
      <c r="V1314" s="9"/>
    </row>
    <row r="1315" spans="2:22" x14ac:dyDescent="0.25">
      <c r="B1315" s="1"/>
      <c r="I1315" s="14"/>
      <c r="J1315" s="15"/>
      <c r="K1315" s="15"/>
      <c r="L1315" s="15"/>
      <c r="M1315" s="16"/>
      <c r="O1315" s="13"/>
      <c r="V1315" s="9"/>
    </row>
    <row r="1316" spans="2:22" x14ac:dyDescent="0.25">
      <c r="B1316" s="1"/>
      <c r="I1316" s="14"/>
      <c r="J1316" s="15"/>
      <c r="K1316" s="15"/>
      <c r="L1316" s="15"/>
      <c r="M1316" s="16"/>
      <c r="O1316" s="13"/>
      <c r="V1316" s="9"/>
    </row>
    <row r="1317" spans="2:22" x14ac:dyDescent="0.25">
      <c r="B1317" s="1"/>
      <c r="I1317" s="14"/>
      <c r="J1317" s="15"/>
      <c r="K1317" s="15"/>
      <c r="L1317" s="15"/>
      <c r="M1317" s="16"/>
      <c r="O1317" s="13"/>
      <c r="V1317" s="9"/>
    </row>
    <row r="1318" spans="2:22" x14ac:dyDescent="0.25">
      <c r="B1318" s="1"/>
      <c r="I1318" s="14"/>
      <c r="J1318" s="15"/>
      <c r="K1318" s="15"/>
      <c r="L1318" s="15"/>
      <c r="M1318" s="16"/>
      <c r="O1318" s="13"/>
      <c r="V1318" s="9"/>
    </row>
    <row r="1319" spans="2:22" x14ac:dyDescent="0.25">
      <c r="B1319" s="1"/>
      <c r="I1319" s="14"/>
      <c r="J1319" s="15"/>
      <c r="K1319" s="15"/>
      <c r="L1319" s="15"/>
      <c r="M1319" s="16"/>
      <c r="O1319" s="13"/>
      <c r="V1319" s="9"/>
    </row>
    <row r="1320" spans="2:22" x14ac:dyDescent="0.25">
      <c r="B1320" s="1"/>
      <c r="I1320" s="14"/>
      <c r="J1320" s="15"/>
      <c r="K1320" s="15"/>
      <c r="L1320" s="15"/>
      <c r="M1320" s="16"/>
      <c r="O1320" s="13"/>
      <c r="V1320" s="9"/>
    </row>
    <row r="1321" spans="2:22" x14ac:dyDescent="0.25">
      <c r="B1321" s="1"/>
      <c r="I1321" s="14"/>
      <c r="J1321" s="15"/>
      <c r="K1321" s="15"/>
      <c r="L1321" s="15"/>
      <c r="M1321" s="16"/>
      <c r="O1321" s="13"/>
      <c r="V1321" s="9"/>
    </row>
    <row r="1322" spans="2:22" x14ac:dyDescent="0.25">
      <c r="B1322" s="1"/>
      <c r="I1322" s="14"/>
      <c r="J1322" s="15"/>
      <c r="K1322" s="15"/>
      <c r="L1322" s="15"/>
      <c r="M1322" s="16"/>
      <c r="O1322" s="13"/>
      <c r="V1322" s="9"/>
    </row>
    <row r="1323" spans="2:22" x14ac:dyDescent="0.25">
      <c r="B1323" s="1"/>
      <c r="I1323" s="14"/>
      <c r="J1323" s="15"/>
      <c r="K1323" s="15"/>
      <c r="L1323" s="15"/>
      <c r="M1323" s="16"/>
      <c r="O1323" s="13"/>
      <c r="V1323" s="9"/>
    </row>
    <row r="1324" spans="2:22" x14ac:dyDescent="0.25">
      <c r="B1324" s="1"/>
      <c r="I1324" s="14"/>
      <c r="J1324" s="15"/>
      <c r="K1324" s="15"/>
      <c r="L1324" s="15"/>
      <c r="M1324" s="16"/>
      <c r="O1324" s="13"/>
      <c r="V1324" s="9"/>
    </row>
  </sheetData>
  <mergeCells count="5">
    <mergeCell ref="V4:AA4"/>
    <mergeCell ref="I4:M4"/>
    <mergeCell ref="Q4:R4"/>
    <mergeCell ref="AH4:AN4"/>
    <mergeCell ref="AP4:AV4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Charts</vt:lpstr>
      </vt:variant>
      <vt:variant>
        <vt:i4>1</vt:i4>
      </vt:variant>
    </vt:vector>
  </HeadingPairs>
  <TitlesOfParts>
    <vt:vector size="3" baseType="lpstr">
      <vt:lpstr>Base</vt:lpstr>
      <vt:lpstr>Indice</vt:lpstr>
      <vt:lpstr>Ratio MktCapW</vt:lpstr>
    </vt:vector>
  </TitlesOfParts>
  <Company>ICBC Argentina S.A.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IT Operations and Technology</dc:creator>
  <cp:lastModifiedBy>Llambi, Ruben Orlando</cp:lastModifiedBy>
  <cp:lastPrinted>2025-11-11T12:36:55Z</cp:lastPrinted>
  <dcterms:created xsi:type="dcterms:W3CDTF">2015-11-02T15:10:18Z</dcterms:created>
  <dcterms:modified xsi:type="dcterms:W3CDTF">2026-10-02T20:29:09Z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SpreadsheetBuilder_1">
    <vt:lpwstr>eyIwIjoiSGlzdG9yeSIsIjEiOjAsIjIiOjEsIjMiOjAsIjQiOjAsIjUiOjEsIjYiOjEsIjciOjEsIjgiOjAsIjkiOjEsIjEwIjoxLCIxMSI6MCwiMTIiOjB9</vt:lpwstr>
  </property>
  <property fmtid="{D5CDD505-2E9C-101B-9397-08002B2CF9AE}" pid="3" name="SpreadsheetBuilder_2">
    <vt:lpwstr>eyIwIjoiSGlzdG9yeSIsIjEiOjAsIjIiOjEsIjMiOjAsIjQiOjEsIjUiOjEsIjYiOjEsIjciOjEsIjgiOjAsIjkiOjEsIjEwIjoxLCIxMSI6MCwiMTIiOjB9</vt:lpwstr>
  </property>
  <property fmtid="{D5CDD505-2E9C-101B-9397-08002B2CF9AE}" pid="4" name="SpreadsheetBuilder_3">
    <vt:lpwstr>eyIwIjoiSGlzdG9yeSIsIjEiOjAsIjIiOjEsIjMiOjAsIjQiOjEsIjUiOjEsIjYiOjEsIjciOjEsIjgiOjAsIjkiOjEsIjEwIjoxLCIxMSI6MCwiMTIiOjB9</vt:lpwstr>
  </property>
  <property fmtid="{D5CDD505-2E9C-101B-9397-08002B2CF9AE}" pid="5" name="SpreadsheetBuilder_4">
    <vt:lpwstr>eyIwIjoiSGlzdG9yeSIsIjEiOjAsIjIiOjEsIjMiOjAsIjQiOjEsIjUiOjEsIjYiOjEsIjciOjEsIjgiOjAsIjkiOjEsIjEwIjoxLCIxMSI6MCwiMTIiOjB9</vt:lpwstr>
  </property>
  <property fmtid="{D5CDD505-2E9C-101B-9397-08002B2CF9AE}" pid="6" name="SpreadsheetBuilder_5">
    <vt:lpwstr>eyIwIjoiSGlzdG9yeSIsIjEiOjAsIjIiOjEsIjMiOjAsIjQiOjEsIjUiOjEsIjYiOjEsIjciOjEsIjgiOjAsIjkiOjEsIjEwIjoxLCIxMSI6MCwiMTIiOjB9</vt:lpwstr>
  </property>
  <property fmtid="{D5CDD505-2E9C-101B-9397-08002B2CF9AE}" pid="7" name="SpreadsheetBuilder_6">
    <vt:lpwstr>eyIwIjoiSGlzdG9yeSIsIjEiOjAsIjIiOjEsIjMiOjAsIjQiOjEsIjUiOjEsIjYiOjEsIjciOjEsIjgiOjAsIjkiOjEsIjEwIjoxLCIxMSI6MCwiMTIiOjB9</vt:lpwstr>
  </property>
  <property fmtid="{D5CDD505-2E9C-101B-9397-08002B2CF9AE}" pid="8" name="SpreadsheetBuilder_7">
    <vt:lpwstr>eyIwIjoiSGlzdG9yeSIsIjEiOjAsIjIiOjEsIjMiOjAsIjQiOjEsIjUiOjEsIjYiOjEsIjciOjEsIjgiOjAsIjkiOjEsIjEwIjoxLCIxMSI6MCwiMTIiOjB9</vt:lpwstr>
  </property>
  <property fmtid="{D5CDD505-2E9C-101B-9397-08002B2CF9AE}" pid="9" name="SpreadsheetBuilder_8">
    <vt:lpwstr>eyIwIjoiSGlzdG9yeSIsIjEiOjAsIjIiOjEsIjMiOjAsIjQiOjEsIjUiOjEsIjYiOjEsIjciOjEsIjgiOjAsIjkiOjEsIjEwIjoxLCIxMSI6MCwiMTIiOjB9</vt:lpwstr>
  </property>
  <property fmtid="{D5CDD505-2E9C-101B-9397-08002B2CF9AE}" pid="10" name="SSR_MIGRATION_STATUS">
    <vt:lpwstr>2</vt:lpwstr>
  </property>
  <property fmtid="{D5CDD505-2E9C-101B-9397-08002B2CF9AE}" pid="11" name="SpreadsheetBuilder_9">
    <vt:lpwstr>eyIwIjoiSGlzdG9yeSIsIjEiOjAsIjIiOjEsIjMiOjAsIjQiOjAsIjUiOjEsIjYiOjEsIjciOjEsIjgiOjAsIjkiOjEsIjEwIjoxLCIxMSI6MCwiMTIiOjB9</vt:lpwstr>
  </property>
  <property fmtid="{D5CDD505-2E9C-101B-9397-08002B2CF9AE}" pid="12" name="SpreadsheetBuilder_10">
    <vt:lpwstr>eyIwIjoiSGlzdG9yeSIsIjEiOjAsIjIiOjEsIjMiOjAsIjQiOjAsIjUiOjEsIjYiOjEsIjciOjEsIjgiOjAsIjkiOjEsIjEwIjowLCIxMSI6MCwiMTIiOjB9</vt:lpwstr>
  </property>
</Properties>
</file>